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allorders!$A$1:$AG$1337</definedName>
    <definedName name="_xlnm._FilterDatabase" localSheetId="2" hidden="1">库存报告使用数据处理!$A$3:$I$157</definedName>
    <definedName name="_xlnm._FilterDatabase" localSheetId="4" hidden="1">'父sku-单价'!$A$1:$B$31</definedName>
  </definedNames>
  <calcPr calcId="144525" concurrentCalc="0"/>
</workbook>
</file>

<file path=xl/sharedStrings.xml><?xml version="1.0" encoding="utf-8"?>
<sst xmlns="http://schemas.openxmlformats.org/spreadsheetml/2006/main" count="6342">
  <si>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</si>
  <si>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</si>
  <si>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</si>
  <si>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</si>
  <si>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</si>
  <si>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</si>
  <si>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</si>
  <si>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</si>
  <si>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</si>
  <si>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</si>
  <si>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</si>
  <si>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</si>
  <si>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</si>
  <si>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</si>
  <si>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</si>
  <si>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</si>
  <si>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</si>
  <si>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</si>
  <si>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</si>
  <si>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</si>
  <si>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</si>
  <si>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</si>
  <si>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</si>
  <si>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</si>
  <si>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</si>
  <si>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</si>
  <si>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</si>
  <si>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</si>
  <si>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</si>
  <si>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</si>
  <si>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</si>
  <si>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</si>
  <si>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</si>
  <si>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114-1030989-1440214</t>
  </si>
  <si>
    <t>2018-06-11T23:44:40+00:00</t>
  </si>
  <si>
    <t>2018-06-13T09:13:56+00:00</t>
  </si>
  <si>
    <t>Shipped</t>
  </si>
  <si>
    <t>Amazon</t>
  </si>
  <si>
    <t>Amazon.com</t>
  </si>
  <si>
    <t>SecondDay</t>
  </si>
  <si>
    <t>Men's Long Sleeve Formal Business Dress Shirts White Small</t>
  </si>
  <si>
    <t>ST172-WT2-S</t>
  </si>
  <si>
    <t>B074SNVWHH</t>
  </si>
  <si>
    <t>USD</t>
  </si>
  <si>
    <t>BERNALILLO</t>
  </si>
  <si>
    <t>NM</t>
  </si>
  <si>
    <t>US</t>
  </si>
  <si>
    <t>112-9997306-4373028</t>
  </si>
  <si>
    <t>2018-06-11T22:40:27+00:00</t>
  </si>
  <si>
    <t>2018-06-14T00:16:29+00:00</t>
  </si>
  <si>
    <t>Luciphia 1 Pack 3 Blankets Super Soft Fluffy Premium Fleece Pet Blanket Flannel Throw for Dog Puppy Cat Paw Medium</t>
  </si>
  <si>
    <t>TZ-IUYL240LHY-PAW-M</t>
  </si>
  <si>
    <t>B079HPLTVC</t>
  </si>
  <si>
    <t>Campbell</t>
  </si>
  <si>
    <t>CA</t>
  </si>
  <si>
    <t>114-1198264-4157007</t>
  </si>
  <si>
    <t>2018-06-11T22:22:30+00:00</t>
  </si>
  <si>
    <t>2018-06-13T07:44:21+00:00</t>
  </si>
  <si>
    <t>luciphia 1 Pack 3 Blankets Super Soft Fluffy Premium Fleece Pet Blanket Flannel Throw for Dog Puppy Cat Dot2 Small</t>
  </si>
  <si>
    <t>TZ-IUYL240-DOT2-S</t>
  </si>
  <si>
    <t>B07DF9YBBV</t>
  </si>
  <si>
    <t>UNIVERSAL CITY</t>
  </si>
  <si>
    <t>TEXAS</t>
  </si>
  <si>
    <t>78148-4438</t>
  </si>
  <si>
    <t>112-4331253-8720225</t>
  </si>
  <si>
    <t>2018-06-11T21:55:24+00:00</t>
  </si>
  <si>
    <t>2018-06-13T04:52:46+00:00</t>
  </si>
  <si>
    <t>luciphia 1 Pack 3 Blankets Super Soft Fluffy Premium Fleece Pet Blanket Flannel Throw for Dog Puppy Cat Dot2 Large</t>
  </si>
  <si>
    <t>TZ-IUYL240-DOT2-L</t>
  </si>
  <si>
    <t>B07DFBKQ2D</t>
  </si>
  <si>
    <t>SAN CLEMENTE</t>
  </si>
  <si>
    <t>92672-6044</t>
  </si>
  <si>
    <t>111-5137739-8185813</t>
  </si>
  <si>
    <t>2018-06-11T21:08:59+00:00</t>
  </si>
  <si>
    <t>2018-06-14T06:38:27+00:00</t>
  </si>
  <si>
    <t>Luciphia 1 Pack 3 Blankets Super Soft Fluffy Premium Fleece Pet Blanket Flannel Throw for Dog Puppy Elephant Small</t>
  </si>
  <si>
    <t>TZ-IUYL240LHY-ELPH-S</t>
  </si>
  <si>
    <t>B07BGWTSX6</t>
  </si>
  <si>
    <t>CLOVIS</t>
  </si>
  <si>
    <t>93619-6904</t>
  </si>
  <si>
    <t>113-4383925-6907449</t>
  </si>
  <si>
    <t>2018-06-11T20:30:01+00:00</t>
  </si>
  <si>
    <t>2018-06-13T23:44:44+00:00</t>
  </si>
  <si>
    <t>3 Packs 3 Colors Super Soft Fluffy Premium Fleece Pet Blanket Flannel Throw for Dog Puppy Cat Star Small</t>
  </si>
  <si>
    <t>TZ-IUYL240-STAR-S</t>
  </si>
  <si>
    <t>B079HS8H93</t>
  </si>
  <si>
    <t>ALEXANDRIA</t>
  </si>
  <si>
    <t>VA</t>
  </si>
  <si>
    <t>22309-4361</t>
  </si>
  <si>
    <t>114-5458740-8713836</t>
  </si>
  <si>
    <t>2018-06-11T19:24:51+00:00</t>
  </si>
  <si>
    <t>2018-06-12T16:24:29+00:00</t>
  </si>
  <si>
    <t>Men's Long Sleeve Formal Business Dress Shirts Water White Small</t>
  </si>
  <si>
    <t>ST172-WT1-S</t>
  </si>
  <si>
    <t>B074SZCXH9</t>
  </si>
  <si>
    <t>STREAMWOOD</t>
  </si>
  <si>
    <t>IL</t>
  </si>
  <si>
    <t>60107-3202</t>
  </si>
  <si>
    <t>112-3936127-3707433</t>
  </si>
  <si>
    <t>2018-06-11T19:05:22+00:00</t>
  </si>
  <si>
    <t>2018-06-13T12:13:35+00:00</t>
  </si>
  <si>
    <t>Luciphia 1 Pack 3 Blankets Super Soft Fluffy Premium Fleece Pet Blanket Flannel Throw for Dog Puppy Cat Paw Small</t>
  </si>
  <si>
    <t>TZ-IUYL240LHY-PAW-S</t>
  </si>
  <si>
    <t>B079HQPJP2</t>
  </si>
  <si>
    <t>SEWAREN</t>
  </si>
  <si>
    <t>NJ</t>
  </si>
  <si>
    <t>07077-1344</t>
  </si>
  <si>
    <t>112-9217960-1111429</t>
  </si>
  <si>
    <t>2018-06-11T18:57:41+00:00</t>
  </si>
  <si>
    <t>2018-06-15T20:25:56+00:00</t>
  </si>
  <si>
    <t>Luciphia 1 Pack 3 Blankets Super Soft Fluffy Premium Fleece Pet Blanket Flannel Throw for Dog Puppy Cat Bone Small</t>
  </si>
  <si>
    <t>TZ-IUYL240LHY-BONE-S</t>
  </si>
  <si>
    <t>B079HQW62H</t>
  </si>
  <si>
    <t>Big Sky</t>
  </si>
  <si>
    <t>Montana</t>
  </si>
  <si>
    <t>璐拱????2018/06/03 2-51-42-74</t>
  </si>
  <si>
    <t>112-4051886-0971427</t>
  </si>
  <si>
    <t>2018-06-11T18:46:52+00:00</t>
  </si>
  <si>
    <t>2018-06-12T23:20:06+00:00</t>
  </si>
  <si>
    <t>Luciphia 1 Pack 3 Blankets Super Soft Fluffy Premium Fleece Pet Blanket Flannel Throw for Dog Puppy Elephant Large</t>
  </si>
  <si>
    <t>TZ-IUYL240-ELPH-L</t>
  </si>
  <si>
    <t>B07BGW4LWX</t>
  </si>
  <si>
    <t>PORTLAND</t>
  </si>
  <si>
    <t>OR</t>
  </si>
  <si>
    <t>97230-6660</t>
  </si>
  <si>
    <t>114-1335653-7993852</t>
  </si>
  <si>
    <t>2018-06-11T18:32:56+00:00</t>
  </si>
  <si>
    <t>2018-06-15T07:43:25+00:00</t>
  </si>
  <si>
    <t>Standard</t>
  </si>
  <si>
    <t>CROSS LANES</t>
  </si>
  <si>
    <t>WV</t>
  </si>
  <si>
    <t>25313-1733</t>
  </si>
  <si>
    <t>US Core Free Shipping Promotion A3JU1FCINF5SD0,璐拱????2018/06/03 2-51-42-74</t>
  </si>
  <si>
    <t>114-7836794-8735425</t>
  </si>
  <si>
    <t>2018-06-11T18:25:25+00:00</t>
  </si>
  <si>
    <t>2018-06-12T21:35:42+00:00</t>
  </si>
  <si>
    <t>HOBOKEN</t>
  </si>
  <si>
    <t>07030-5733</t>
  </si>
  <si>
    <t>112-0713644-1793818</t>
  </si>
  <si>
    <t>2018-06-11T17:53:15+00:00</t>
  </si>
  <si>
    <t>2018-06-14T02:10:43+00:00</t>
  </si>
  <si>
    <t>HOLLYWOOD</t>
  </si>
  <si>
    <t>FL</t>
  </si>
  <si>
    <t>33019-5038</t>
  </si>
  <si>
    <t>113-4626895-7097839</t>
  </si>
  <si>
    <t>2018-06-11T17:26:26+00:00</t>
  </si>
  <si>
    <t>2018-06-12T19:36:17+00:00</t>
  </si>
  <si>
    <t>1 Pack 3 Blankets Super Soft Fluffy Premium Fleece Pet Blanket Flannel Throw for Dog Puppy Dot Small</t>
  </si>
  <si>
    <t>TZ-IUYL240LHY-DOT-S</t>
  </si>
  <si>
    <t>B07CBPWQZT</t>
  </si>
  <si>
    <t>BROOKLYN</t>
  </si>
  <si>
    <t>NY</t>
  </si>
  <si>
    <t>11211-4302</t>
  </si>
  <si>
    <t>113-0329106-1329827</t>
  </si>
  <si>
    <t>2018-06-11T17:23:06+00:00</t>
  </si>
  <si>
    <t>2018-06-12T17:32:36+00:00</t>
  </si>
  <si>
    <t>NextDay</t>
  </si>
  <si>
    <t>CHICAGO</t>
  </si>
  <si>
    <t>60611-2441</t>
  </si>
  <si>
    <t>111-6173643-4679461</t>
  </si>
  <si>
    <t>2018-06-11T17:07:15+00:00</t>
  </si>
  <si>
    <t>2018-06-12T08:44:23+00:00</t>
  </si>
  <si>
    <t>Ridgewood</t>
  </si>
  <si>
    <t>114-1827492-6433810</t>
  </si>
  <si>
    <t>2018-06-11T17:02:46+00:00</t>
  </si>
  <si>
    <t>2018-06-13T16:39:35+00:00</t>
  </si>
  <si>
    <t>Women's Lightweight Floral Square Silk Scarf Shawl</t>
  </si>
  <si>
    <t>SCF-D01-009</t>
  </si>
  <si>
    <t>B075WPX32B</t>
  </si>
  <si>
    <t>Lake St Louis</t>
  </si>
  <si>
    <t>MO</t>
  </si>
  <si>
    <t>63367-2609</t>
  </si>
  <si>
    <t>璐拱????2018/06/09 3-41-21-264</t>
  </si>
  <si>
    <t>111-6252749-2797834</t>
  </si>
  <si>
    <t>2018-06-11T16:41:32+00:00</t>
  </si>
  <si>
    <t>2018-06-13T01:39:04+00:00</t>
  </si>
  <si>
    <t>SACRAMENTO</t>
  </si>
  <si>
    <t>95818-2845</t>
  </si>
  <si>
    <t>111-5642119-1439404</t>
  </si>
  <si>
    <t>2018-06-11T16:11:31+00:00</t>
  </si>
  <si>
    <t>2018-06-12T18:58:28+00:00</t>
  </si>
  <si>
    <t>TZ-IUYL240-PAW-S</t>
  </si>
  <si>
    <t>MT PLEASANT</t>
  </si>
  <si>
    <t>NC</t>
  </si>
  <si>
    <t>28124-9417</t>
  </si>
  <si>
    <t>114-9204693-7573033</t>
  </si>
  <si>
    <t>2018-06-11T15:40:11+00:00</t>
  </si>
  <si>
    <t>2018-06-15T21:41:04+00:00</t>
  </si>
  <si>
    <t>FOUNTAIN</t>
  </si>
  <si>
    <t>32438-1825</t>
  </si>
  <si>
    <t>111-9621687-4948245</t>
  </si>
  <si>
    <t>2018-06-11T15:10:53+00:00</t>
  </si>
  <si>
    <t>2018-06-13T06:28:18+00:00</t>
  </si>
  <si>
    <t>luciphia Pet Grooming Kit - Dog Cat Nail Clipper, Deshedding Brush, Dematting Comb Rake, Pin Brush Trimmer, Travel Storage Bag 6-in-1 Grooming Tools K</t>
  </si>
  <si>
    <t>HZB-QJTZ-IUYL300310</t>
  </si>
  <si>
    <t>B07B9WYZG3</t>
  </si>
  <si>
    <t>SAN DIEGO</t>
  </si>
  <si>
    <t>92109-5334</t>
  </si>
  <si>
    <t>112-4183048-1301035</t>
  </si>
  <si>
    <t>2018-06-11T14:53:02+00:00</t>
  </si>
  <si>
    <t>2018-06-14T21:24:30+00:00</t>
  </si>
  <si>
    <t>3 Packs 3 Colors Super Soft Fluffy Premium Fleece Pet Blanket Flannel Throw for Dog Puppy Cat Bone Medium</t>
  </si>
  <si>
    <t>TZ-IUYL240LHY-BONE-M</t>
  </si>
  <si>
    <t>B079HPCGB9</t>
  </si>
  <si>
    <t>EUSTIS</t>
  </si>
  <si>
    <t>32736-9753</t>
  </si>
  <si>
    <t>113-5694681-2692243</t>
  </si>
  <si>
    <t>2018-06-11T14:15:14+00:00</t>
  </si>
  <si>
    <t>2018-06-13T02:28:24+00:00</t>
  </si>
  <si>
    <t>luciphia 1 Pack 3 Blankets Super Soft Fluffy Premium Fleece Pet Blanket Flannel Throw for Dog Puppy Rabbit Small</t>
  </si>
  <si>
    <t>TZ-IUYL240-RABBIT-S</t>
  </si>
  <si>
    <t>B07DFCKR8T</t>
  </si>
  <si>
    <t>BATAVIA</t>
  </si>
  <si>
    <t>60510-2760</t>
  </si>
  <si>
    <t>112-0437633-3895461</t>
  </si>
  <si>
    <t>2018-06-11T14:13:19+00:00</t>
  </si>
  <si>
    <t>2018-06-14T22:32:01+00:00</t>
  </si>
  <si>
    <t>ODENTON</t>
  </si>
  <si>
    <t>MD</t>
  </si>
  <si>
    <t>111-3960880-9222604</t>
  </si>
  <si>
    <t>2018-06-11T13:57:38+00:00</t>
  </si>
  <si>
    <t>2018-06-20T16:48:47+00:00</t>
  </si>
  <si>
    <t>FORT WAYNE</t>
  </si>
  <si>
    <t>IN</t>
  </si>
  <si>
    <t>46815-5329</t>
  </si>
  <si>
    <t>US Core Free Shipping Promotion A3JU1FCINF5SD0</t>
  </si>
  <si>
    <t>111-8366353-1495413</t>
  </si>
  <si>
    <t>2018-06-11T13:45:08+00:00</t>
  </si>
  <si>
    <t>2018-06-12T17:00:58+00:00</t>
  </si>
  <si>
    <t>MiCotton Men's Casual Cotton Military Cargo Shorts Army Camo Muti-Pockects Work Shorts Army Green 38</t>
  </si>
  <si>
    <t>ST155-AG-38</t>
  </si>
  <si>
    <t>B0721B4X7S</t>
  </si>
  <si>
    <t>PINCKNEYVILLE</t>
  </si>
  <si>
    <t>62274-3024</t>
  </si>
  <si>
    <t>114-5810234-3885028</t>
  </si>
  <si>
    <t>2018-06-11T13:26:13+00:00</t>
  </si>
  <si>
    <t>2018-06-14T01:40:16+00:00</t>
  </si>
  <si>
    <t>LITHONIA</t>
  </si>
  <si>
    <t>GA</t>
  </si>
  <si>
    <t>30038-1940</t>
  </si>
  <si>
    <t>113-3182189-8598603</t>
  </si>
  <si>
    <t>2018-06-11T13:08:12+00:00</t>
  </si>
  <si>
    <t>2018-06-12T09:15:50+00:00</t>
  </si>
  <si>
    <t>Luciphia 1 Pack 3 Blankets Super Soft Fluffy Premium Fleece Pet Blanket Flannel Throw for Dog Puppy Elephant Medium</t>
  </si>
  <si>
    <t>TZ-IUYL240LHY-ELPH-M</t>
  </si>
  <si>
    <t>B07BGSSQLV</t>
  </si>
  <si>
    <t>Arlington</t>
  </si>
  <si>
    <t>TX</t>
  </si>
  <si>
    <t>111-3324306-8535439</t>
  </si>
  <si>
    <t>2018-06-11T12:57:51+00:00</t>
  </si>
  <si>
    <t>2018-06-13T19:11:06+00:00</t>
  </si>
  <si>
    <t>MOCOTONO Men's Short Sleeve Formal Dress Shirts Pink Medium</t>
  </si>
  <si>
    <t>ST173-PK-M</t>
  </si>
  <si>
    <t>B074SKGH3S</t>
  </si>
  <si>
    <t>PHILADELPHIA</t>
  </si>
  <si>
    <t>PA</t>
  </si>
  <si>
    <t>19143-1317</t>
  </si>
  <si>
    <t>112-4118226-7908229</t>
  </si>
  <si>
    <t>2018-06-11T12:54:33+00:00</t>
  </si>
  <si>
    <t>2018-06-12T12:14:40+00:00</t>
  </si>
  <si>
    <t>Luciphia 1 Pack 3 Blankets Super Soft Fluffy Premium Fleece Pet Blanket Flannel Throw for Dog Puppy Strawberry Medium</t>
  </si>
  <si>
    <t>TZ-IUYL240-STRAWBERRY-M</t>
  </si>
  <si>
    <t>B07CBR7LCS</t>
  </si>
  <si>
    <t>LINCOLN</t>
  </si>
  <si>
    <t>AL</t>
  </si>
  <si>
    <t>35096-5632</t>
  </si>
  <si>
    <t>112-0111016-3261054</t>
  </si>
  <si>
    <t>2018-06-11T12:29:05+00:00</t>
  </si>
  <si>
    <t>2018-06-12T03:59:23+00:00</t>
  </si>
  <si>
    <t>Luciphia 1 Pack 3 Blankets Super Soft Fluffy Premium Fleece Pet Blanket Flannel Throw for Dog Puppy Dot Large</t>
  </si>
  <si>
    <t>TZ-IUYL240-DOT-L</t>
  </si>
  <si>
    <t>B07C16NFVZ</t>
  </si>
  <si>
    <t>DECORAH</t>
  </si>
  <si>
    <t>IOWA</t>
  </si>
  <si>
    <t>52101-2535</t>
  </si>
  <si>
    <t>112-4089507-7333033</t>
  </si>
  <si>
    <t>2018-06-11T12:09:43+00:00</t>
  </si>
  <si>
    <t>2018-06-14T03:58:39+00:00</t>
  </si>
  <si>
    <t>Luciphia 1 Pack 3 Blankets Super Soft Fluffy Premium Fleece Pet Blanket Flannel Throw for Dog Puppy Strawberry Large</t>
  </si>
  <si>
    <t>TZ-IUYL240-STRAWBERRY-L</t>
  </si>
  <si>
    <t>B07C1P3Z1B</t>
  </si>
  <si>
    <t>LAINGSBURG</t>
  </si>
  <si>
    <t>MI</t>
  </si>
  <si>
    <t>48848-9251</t>
  </si>
  <si>
    <t>113-7885613-8480264</t>
  </si>
  <si>
    <t>2018-06-11T10:45:55+00:00</t>
  </si>
  <si>
    <t>2018-06-11T18:35:12+00:00</t>
  </si>
  <si>
    <t>Expedited</t>
  </si>
  <si>
    <t>LEVITTOWN</t>
  </si>
  <si>
    <t>19054-2106</t>
  </si>
  <si>
    <t>113-2064370-3079431</t>
  </si>
  <si>
    <t>2018-06-11T10:03:55+00:00</t>
  </si>
  <si>
    <t>2018-06-12T10:12:29+00:00</t>
  </si>
  <si>
    <t>luciphia 1 Pack 3 Blankets Super Soft Fluffy Premium Fleece Pet Blanket Flannel Throw for Dog Puppy Rabbit Medium</t>
  </si>
  <si>
    <t>TZ-IUYL240-RABBIT-M</t>
  </si>
  <si>
    <t>B07DF6XZQC</t>
  </si>
  <si>
    <t>GARDENA</t>
  </si>
  <si>
    <t>90249-3131</t>
  </si>
  <si>
    <t>114-6419991-1349849</t>
  </si>
  <si>
    <t>2018-06-12T23:36:13+00:00</t>
  </si>
  <si>
    <t>2018-06-13T21:48:28+00:00</t>
  </si>
  <si>
    <t>TZ-IUYL240-ELPH-M</t>
  </si>
  <si>
    <t>13673-4166</t>
  </si>
  <si>
    <t>113-0020211-9145828</t>
  </si>
  <si>
    <t>2018-06-12T23:04:42+00:00</t>
  </si>
  <si>
    <t>2018-06-13T04:32:28+00:00</t>
  </si>
  <si>
    <t>BLOUNTVILLE</t>
  </si>
  <si>
    <t>TN</t>
  </si>
  <si>
    <t>37617-5823</t>
  </si>
  <si>
    <t>113-4583761-3510629</t>
  </si>
  <si>
    <t>2018-06-12T22:51:38+00:00</t>
  </si>
  <si>
    <t>2018-06-13T15:48:49+00:00</t>
  </si>
  <si>
    <t>3 Packs 3 Colors Super Soft Fluffy Premium Fleece Pet Blanket Flannel Throw for Dog Puppy Cat Star Large</t>
  </si>
  <si>
    <t>TZ-IUYL240-STAR-L</t>
  </si>
  <si>
    <t>B079HRYZ8F</t>
  </si>
  <si>
    <t>VIRGINIA BEACH</t>
  </si>
  <si>
    <t>23451-6556</t>
  </si>
  <si>
    <t>112-6707154-2184247</t>
  </si>
  <si>
    <t>2018-06-12T22:06:11+00:00</t>
  </si>
  <si>
    <t>2018-06-14T02:44:00+00:00</t>
  </si>
  <si>
    <t>Hunter</t>
  </si>
  <si>
    <t>ND</t>
  </si>
  <si>
    <t>113-7722710-8541019</t>
  </si>
  <si>
    <t>2018-06-12T21:11:31+00:00</t>
  </si>
  <si>
    <t>2018-06-13T09:20:05+00:00</t>
  </si>
  <si>
    <t>Men's Solid Color Oxford Long Sleeve Button Down Casual Shirt Light Blue Small</t>
  </si>
  <si>
    <t>ST085-LB916-S</t>
  </si>
  <si>
    <t>B06XYZF3QP</t>
  </si>
  <si>
    <t>LEHI</t>
  </si>
  <si>
    <t>UT</t>
  </si>
  <si>
    <t>84043-3232</t>
  </si>
  <si>
    <t>113-2666214-4276268</t>
  </si>
  <si>
    <t>2018-06-12T20:37:10+00:00</t>
  </si>
  <si>
    <t>2018-06-13T19:48:26+00:00</t>
  </si>
  <si>
    <t>KEITHVILLE</t>
  </si>
  <si>
    <t>LA</t>
  </si>
  <si>
    <t>71047-4500</t>
  </si>
  <si>
    <t>111-2312192-8614635</t>
  </si>
  <si>
    <t>2018-06-12T20:36:36+00:00</t>
  </si>
  <si>
    <t>2018-06-15T00:51:54+00:00</t>
  </si>
  <si>
    <t>Glen Burnie</t>
  </si>
  <si>
    <t>21060-8119</t>
  </si>
  <si>
    <t>112-6110307-0251449</t>
  </si>
  <si>
    <t>2018-06-12T20:33:34+00:00</t>
  </si>
  <si>
    <t>2018-06-13T15:06:08+00:00</t>
  </si>
  <si>
    <t>Luciphia Retractable Pet Dog Walking Leash for Small Medium Large Dogs - Ergonomic Grip - Waste Bag Dispenser and Collapsible Water Bowl included</t>
  </si>
  <si>
    <t>LGQ-IUYL100-RD</t>
  </si>
  <si>
    <t>B0798PY6XT</t>
  </si>
  <si>
    <t>El Reno</t>
  </si>
  <si>
    <t>Oklahoma</t>
  </si>
  <si>
    <t>112-4019366-9690608</t>
  </si>
  <si>
    <t>2018-06-12T20:19:45+00:00</t>
  </si>
  <si>
    <t>2018-06-13T21:39:57+00:00</t>
  </si>
  <si>
    <t>60510-1710</t>
  </si>
  <si>
    <t>111-2550289-3357849</t>
  </si>
  <si>
    <t>2018-06-12T20:03:02+00:00</t>
  </si>
  <si>
    <t>2018-06-14T23:51:19+00:00</t>
  </si>
  <si>
    <t>Conyers</t>
  </si>
  <si>
    <t>113-6894497-5873052</t>
  </si>
  <si>
    <t>2018-06-12T19:53:09+00:00</t>
  </si>
  <si>
    <t>2018-06-13T14:54:51+00:00</t>
  </si>
  <si>
    <t>LITTLE EGG HARBOR</t>
  </si>
  <si>
    <t>112-5743122-0576217</t>
  </si>
  <si>
    <t>2018-06-12T19:50:55+00:00</t>
  </si>
  <si>
    <t>2018-06-14T00:59:51+00:00</t>
  </si>
  <si>
    <t>Luciphia 1 Pack 3 Blankets Super Soft Fluffy Premium Fleece Pet Blanket Flannel Throw for Dog Puppy Cat Star Medium</t>
  </si>
  <si>
    <t>TZ-IUYL240LHY-STAR-M</t>
  </si>
  <si>
    <t>B079HQGKS9</t>
  </si>
  <si>
    <t>ANN ARBOR</t>
  </si>
  <si>
    <t>48103-5869</t>
  </si>
  <si>
    <t>111-2043987-3209021</t>
  </si>
  <si>
    <t>2018-06-12T19:20:09+00:00</t>
  </si>
  <si>
    <t>2018-06-16T04:56:03+00:00</t>
  </si>
  <si>
    <t>Pet Food Bowl Stainless Steel Non Skid Pet Paws Doodler Dish Perfect for a Small Dog Cat Kitten Puppy (set of 2)</t>
  </si>
  <si>
    <t>GW-LULHY-4.5</t>
  </si>
  <si>
    <t>B078HNLGWS</t>
  </si>
  <si>
    <t>Peabody</t>
  </si>
  <si>
    <t>MA</t>
  </si>
  <si>
    <t>114-4685057-9217848</t>
  </si>
  <si>
    <t>2018-06-12T18:47:54+00:00</t>
  </si>
  <si>
    <t>2018-06-13T18:33:30+00:00</t>
  </si>
  <si>
    <t>RANCHO CUCAMONGA</t>
  </si>
  <si>
    <t>CALIFORNIA</t>
  </si>
  <si>
    <t>91701-3438</t>
  </si>
  <si>
    <t>113-5086128-0920226</t>
  </si>
  <si>
    <t>2018-06-12T17:50:10+00:00</t>
  </si>
  <si>
    <t>2018-06-13T20:23:58+00:00</t>
  </si>
  <si>
    <t>Luciphia 1 Pack 3 Blankets Super Soft Fluffy Premium Fleece Pet Blanket Flannel Throw for Dog Puppy Dot Medium</t>
  </si>
  <si>
    <t>TZ-IUYL240LHY-DOT-M</t>
  </si>
  <si>
    <t>B07CBPJCK5</t>
  </si>
  <si>
    <t>NORTH ROYALTON</t>
  </si>
  <si>
    <t>OH</t>
  </si>
  <si>
    <t>44133-3188</t>
  </si>
  <si>
    <t>111-5391098-1777849</t>
  </si>
  <si>
    <t>2018-06-12T17:31:44+00:00</t>
  </si>
  <si>
    <t>2018-06-13T23:01:13+00:00</t>
  </si>
  <si>
    <t>Men's Long Sleeve Formal Business Dress Shirts White X-Large</t>
  </si>
  <si>
    <t>ST172-WT2-XL</t>
  </si>
  <si>
    <t>B074SL2P7T</t>
  </si>
  <si>
    <t>RIDLEY PARK</t>
  </si>
  <si>
    <t>19078-1823</t>
  </si>
  <si>
    <t>113-8301332-6609067</t>
  </si>
  <si>
    <t>2018-06-12T17:20:30+00:00</t>
  </si>
  <si>
    <t>2018-06-13T00:07:05+00:00</t>
  </si>
  <si>
    <t>DAWSONVILLE</t>
  </si>
  <si>
    <t>30534-4530</t>
  </si>
  <si>
    <t>113-7847239-4153813</t>
  </si>
  <si>
    <t>2018-06-12T17:09:37+00:00</t>
  </si>
  <si>
    <t>2018-06-14T06:43:37+00:00</t>
  </si>
  <si>
    <t>Luciphia Cute PU Leather Dog Collar with Adorable Flowers</t>
  </si>
  <si>
    <t>XQ-IUYL260-PK-M</t>
  </si>
  <si>
    <t>B079GRXYH8</t>
  </si>
  <si>
    <t>ONTARIO</t>
  </si>
  <si>
    <t>91761-1837</t>
  </si>
  <si>
    <t>111-8402752-4445804</t>
  </si>
  <si>
    <t>2018-06-12T16:47:28+00:00</t>
  </si>
  <si>
    <t>2018-06-13T02:56:02+00:00</t>
  </si>
  <si>
    <t>LINDEN</t>
  </si>
  <si>
    <t>48451-8201</t>
  </si>
  <si>
    <t>TZ-IUYL240-STAR-M</t>
  </si>
  <si>
    <t>112-4157134-9408226</t>
  </si>
  <si>
    <t>2018-06-12T16:40:35+00:00</t>
  </si>
  <si>
    <t>2018-06-13T22:25:52+00:00</t>
  </si>
  <si>
    <t>XQ-IUYL260-PK-S</t>
  </si>
  <si>
    <t>B079GMMWG2</t>
  </si>
  <si>
    <t>SOUTH ORANGE</t>
  </si>
  <si>
    <t>113-9527324-1601063</t>
  </si>
  <si>
    <t>2018-06-12T16:30:27+00:00</t>
  </si>
  <si>
    <t>2018-06-14T03:21:31+00:00</t>
  </si>
  <si>
    <t>WOODBURY HEIGHTS</t>
  </si>
  <si>
    <t>08097-1401</t>
  </si>
  <si>
    <t>113-2642975-7452250</t>
  </si>
  <si>
    <t>2018-06-12T15:31:37+00:00</t>
  </si>
  <si>
    <t>2018-06-13T02:52:18+00:00</t>
  </si>
  <si>
    <t>luciphia 1 Pack 3 Blankets Super Soft Fluffy Premium Fleece Pet Blanket Flannel Throw for Dog Puppy Cat Bear Small</t>
  </si>
  <si>
    <t>TZ-IUYL240-BEAR-S</t>
  </si>
  <si>
    <t>B07DF6DDNM</t>
  </si>
  <si>
    <t>NEW YORK</t>
  </si>
  <si>
    <t>10065-8201</t>
  </si>
  <si>
    <t>111-9235389-1980251</t>
  </si>
  <si>
    <t>2018-06-12T15:31:33+00:00</t>
  </si>
  <si>
    <t>2018-06-12T23:38:41+00:00</t>
  </si>
  <si>
    <t>ELK GROVE VILLAGE</t>
  </si>
  <si>
    <t>60007-6400</t>
  </si>
  <si>
    <t>114-4429629-8247413</t>
  </si>
  <si>
    <t>2018-06-12T14:50:09+00:00</t>
  </si>
  <si>
    <t>2018-06-13T16:15:58+00:00</t>
  </si>
  <si>
    <t>SYRACUSE</t>
  </si>
  <si>
    <t>13202-1083</t>
  </si>
  <si>
    <t>111-5557995-4504265</t>
  </si>
  <si>
    <t>2018-06-12T14:35:48+00:00</t>
  </si>
  <si>
    <t>2018-06-13T15:51:47+00:00</t>
  </si>
  <si>
    <t>XQ-IUYL260-BK-M</t>
  </si>
  <si>
    <t>B079GQ697Z</t>
  </si>
  <si>
    <t>CAPE CORAL</t>
  </si>
  <si>
    <t>33904-3555</t>
  </si>
  <si>
    <t>113-1119482-5153064</t>
  </si>
  <si>
    <t>2018-06-12T14:15:51+00:00</t>
  </si>
  <si>
    <t>2018-06-13T22:30:39+00:00</t>
  </si>
  <si>
    <t>Mocotono Men's Short Sleeve Oxford Button Down Casual Shirt, Light Blue, Small</t>
  </si>
  <si>
    <t>ST170-LB-S</t>
  </si>
  <si>
    <t>B073PPS7FM</t>
  </si>
  <si>
    <t>BRIGHTON</t>
  </si>
  <si>
    <t>CO</t>
  </si>
  <si>
    <t>80601-6802</t>
  </si>
  <si>
    <t>111-9772288-8521028</t>
  </si>
  <si>
    <t>2018-06-12T14:13:26+00:00</t>
  </si>
  <si>
    <t>2018-06-13T16:00:11+00:00</t>
  </si>
  <si>
    <t>Arnold</t>
  </si>
  <si>
    <t>63010-4019</t>
  </si>
  <si>
    <t>113-2392920-6301804</t>
  </si>
  <si>
    <t>2018-06-12T12:36:54+00:00</t>
  </si>
  <si>
    <t>2018-06-13T01:48:32+00:00</t>
  </si>
  <si>
    <t>ISSAQUAH</t>
  </si>
  <si>
    <t>WA</t>
  </si>
  <si>
    <t>98029-7657</t>
  </si>
  <si>
    <t>112-3124576-4500207</t>
  </si>
  <si>
    <t>2018-06-12T11:56:00+00:00</t>
  </si>
  <si>
    <t>2018-06-16T09:35:25+00:00</t>
  </si>
  <si>
    <t>TZ-IUYL240-ELPH-S</t>
  </si>
  <si>
    <t>BRUNSWICK</t>
  </si>
  <si>
    <t>44212-5633</t>
  </si>
  <si>
    <t>111-0113137-4348258</t>
  </si>
  <si>
    <t>2018-06-12T05:21:38+00:00</t>
  </si>
  <si>
    <t>2018-06-17T02:49:09+00:00</t>
  </si>
  <si>
    <t>Issaquah</t>
  </si>
  <si>
    <t>114-8259903-1588202</t>
  </si>
  <si>
    <t>2018-06-12T05:14:40+00:00</t>
  </si>
  <si>
    <t>2018-06-17T22:21:07+00:00</t>
  </si>
  <si>
    <t>MIAMI</t>
  </si>
  <si>
    <t>33130-4507</t>
  </si>
  <si>
    <t>111-5322282-6181018</t>
  </si>
  <si>
    <t>2018-06-12T04:54:32+00:00</t>
  </si>
  <si>
    <t>2018-06-14T21:20:13+00:00</t>
  </si>
  <si>
    <t>BELLINGHAM</t>
  </si>
  <si>
    <t>98226-5521</t>
  </si>
  <si>
    <t>114-1596508-6405827</t>
  </si>
  <si>
    <t>2018-06-12T04:05:12+00:00</t>
  </si>
  <si>
    <t>2018-06-13T22:35:00+00:00</t>
  </si>
  <si>
    <t>Mesa</t>
  </si>
  <si>
    <t>Arizona</t>
  </si>
  <si>
    <t>111-7948503-2072241</t>
  </si>
  <si>
    <t>2018-06-12T04:05:00+00:00</t>
  </si>
  <si>
    <t>2018-06-13T06:33:05+00:00</t>
  </si>
  <si>
    <t>Minneapolis</t>
  </si>
  <si>
    <t>MN</t>
  </si>
  <si>
    <t>111-0055698-6176265</t>
  </si>
  <si>
    <t>2018-06-12T03:51:59+00:00</t>
  </si>
  <si>
    <t>2018-06-13T06:17:51+00:00</t>
  </si>
  <si>
    <t>MORENO VALLEY</t>
  </si>
  <si>
    <t>92557-3963</t>
  </si>
  <si>
    <t>111-2118404-6585867</t>
  </si>
  <si>
    <t>2018-06-12T03:28:53+00:00</t>
  </si>
  <si>
    <t>2018-06-13T19:10:25+00:00</t>
  </si>
  <si>
    <t>Men's Long Sleeve Formal Business Dress Shirts White XX-Large</t>
  </si>
  <si>
    <t>ST172-WT2-XXL</t>
  </si>
  <si>
    <t>B074SZQ5DF</t>
  </si>
  <si>
    <t>LIVONIA</t>
  </si>
  <si>
    <t>48150-3169</t>
  </si>
  <si>
    <t>111-3361142-0049842</t>
  </si>
  <si>
    <t>2018-06-12T03:17:58+00:00</t>
  </si>
  <si>
    <t>2018-06-13T02:26:02+00:00</t>
  </si>
  <si>
    <t>MEADVILLE</t>
  </si>
  <si>
    <t>16335-1129</t>
  </si>
  <si>
    <t>113-9529750-1592259</t>
  </si>
  <si>
    <t>2018-06-12T03:12:43+00:00</t>
  </si>
  <si>
    <t>2018-06-15T06:38:20+00:00</t>
  </si>
  <si>
    <t>FLINT</t>
  </si>
  <si>
    <t>MICHIGAN</t>
  </si>
  <si>
    <t>48532-2266</t>
  </si>
  <si>
    <t>113-8262874-2632238</t>
  </si>
  <si>
    <t>2018-06-12T03:04:31+00:00</t>
  </si>
  <si>
    <t>2018-06-13T03:47:26+00:00</t>
  </si>
  <si>
    <t>Luciphia 3 Packs 3 Colors Super Soft Fluffy Premium Fleece Pet Blanket Flannel Throw for Dog Puppy Cat Bone Large</t>
  </si>
  <si>
    <t>TZ-IUYL240-BONE-L</t>
  </si>
  <si>
    <t>B079HRST93</t>
  </si>
  <si>
    <t>AUSTIN</t>
  </si>
  <si>
    <t>78727-6926</t>
  </si>
  <si>
    <t>112-2474838-3709024</t>
  </si>
  <si>
    <t>2018-06-12T02:48:16+00:00</t>
  </si>
  <si>
    <t>2018-06-13T00:23:32+00:00</t>
  </si>
  <si>
    <t>MOCOTONO Men's Linen Pajamas Long Sleeve Sleep Pants Sleepwear</t>
  </si>
  <si>
    <t>Pajamas-sb001-KK-L</t>
  </si>
  <si>
    <t>B0747N5SR9</t>
  </si>
  <si>
    <t>Brooklyn</t>
  </si>
  <si>
    <t>112-9118876-5096215</t>
  </si>
  <si>
    <t>2018-06-12T02:28:36+00:00</t>
  </si>
  <si>
    <t>2018-06-13T16:32:07+00:00</t>
  </si>
  <si>
    <t>MOCOTONO Men's Short Sleeve Formal Dress Shirts Wine Red XX-Large</t>
  </si>
  <si>
    <t>ST173-WR-XXL</t>
  </si>
  <si>
    <t>B074SWV9C3</t>
  </si>
  <si>
    <t>LISLE</t>
  </si>
  <si>
    <t>60532-2318</t>
  </si>
  <si>
    <t>璐拱????2018/05/17 8-40-56-286</t>
  </si>
  <si>
    <t>Men's Short Sleeve Formal Dress Shirts Blue XX-Large</t>
  </si>
  <si>
    <t>ST173-BL-XXL</t>
  </si>
  <si>
    <t>B074ST3T2H</t>
  </si>
  <si>
    <t>113-3886691-6467436</t>
  </si>
  <si>
    <t>2018-06-12T02:15:23+00:00</t>
  </si>
  <si>
    <t>2018-06-12T23:24:41+00:00</t>
  </si>
  <si>
    <t>Gridley</t>
  </si>
  <si>
    <t>114-7909853-7168224</t>
  </si>
  <si>
    <t>2018-06-12T01:23:41+00:00</t>
  </si>
  <si>
    <t>2018-06-12T18:32:58+00:00</t>
  </si>
  <si>
    <t>ABINGDON</t>
  </si>
  <si>
    <t>MARYLAND</t>
  </si>
  <si>
    <t>21009-2746</t>
  </si>
  <si>
    <t>114-4068676-2581036</t>
  </si>
  <si>
    <t>2018-06-12T00:40:54+00:00</t>
  </si>
  <si>
    <t>2018-06-12T06:45:40+00:00</t>
  </si>
  <si>
    <t>Luciphia 3 Packs 3 Colors Super Soft Fluffy Premium Fleece Pet Blanket Flannel Throw for Dog Puppy Cat Paw Large</t>
  </si>
  <si>
    <t>TZ-IUYL240-PAW-L</t>
  </si>
  <si>
    <t>B079HP2RFZ</t>
  </si>
  <si>
    <t>RINGWOOD</t>
  </si>
  <si>
    <t>07456-1014</t>
  </si>
  <si>
    <t>113-5246047-1420242</t>
  </si>
  <si>
    <t>2018-06-12T00:30:42+00:00</t>
  </si>
  <si>
    <t>2018-06-12T14:48:20+00:00</t>
  </si>
  <si>
    <t>TZ-IUYL240LHY-PAW-L</t>
  </si>
  <si>
    <t>19122-4307</t>
  </si>
  <si>
    <t>111-9603397-7735405</t>
  </si>
  <si>
    <t>2018-06-12T00:05:49+00:00</t>
  </si>
  <si>
    <t>2018-06-12T08:35:45+00:00</t>
  </si>
  <si>
    <t>33172-5148</t>
  </si>
  <si>
    <t>112-7996620-2881855</t>
  </si>
  <si>
    <t>2018-06-13T23:33:37+00:00</t>
  </si>
  <si>
    <t>2018-06-17T10:19:27+00:00</t>
  </si>
  <si>
    <t>luciphia 1 Pack 3 Blankets Super Soft Fluffy Premium Fleece Pet Blanket Flannel Throw for Dog Puppy Cat Dot2 Medium</t>
  </si>
  <si>
    <t>TZ-IUYL240-DOT2-M</t>
  </si>
  <si>
    <t>B07DF81JBH</t>
  </si>
  <si>
    <t>KEY LARGO</t>
  </si>
  <si>
    <t>33037-3004</t>
  </si>
  <si>
    <t>111-9090481-0462643</t>
  </si>
  <si>
    <t>2018-06-13T23:22:09+00:00</t>
  </si>
  <si>
    <t>2018-06-15T04:09:27+00:00</t>
  </si>
  <si>
    <t>CHARLES CITY</t>
  </si>
  <si>
    <t>IA</t>
  </si>
  <si>
    <t>50616-8811</t>
  </si>
  <si>
    <t>113-6248659-2263405</t>
  </si>
  <si>
    <t>2018-06-13T22:53:59+00:00</t>
  </si>
  <si>
    <t>2018-06-14T03:54:13+00:00</t>
  </si>
  <si>
    <t>Rochester</t>
  </si>
  <si>
    <t>111-1951084-2202638</t>
  </si>
  <si>
    <t>2018-06-13T22:46:13+00:00</t>
  </si>
  <si>
    <t>2018-06-17T06:08:15+00:00</t>
  </si>
  <si>
    <t>Hilton Head Island</t>
  </si>
  <si>
    <t>SC</t>
  </si>
  <si>
    <t>112-4198293-6541034</t>
  </si>
  <si>
    <t>2018-06-13T22:45:53+00:00</t>
  </si>
  <si>
    <t>2018-06-19T06:06:10+00:00</t>
  </si>
  <si>
    <t>INDIANAPOLIS</t>
  </si>
  <si>
    <t>111-6764213-5115427</t>
  </si>
  <si>
    <t>2018-06-13T22:29:19+00:00</t>
  </si>
  <si>
    <t>2018-06-13T22:38:55+00:00</t>
  </si>
  <si>
    <t>Cancelled</t>
  </si>
  <si>
    <t>112-7957397-5342618</t>
  </si>
  <si>
    <t>2018-06-13T22:20:30+00:00</t>
  </si>
  <si>
    <t>2018-06-14T16:07:45+00:00</t>
  </si>
  <si>
    <t>Michigan</t>
  </si>
  <si>
    <t>113-4580885-5823453</t>
  </si>
  <si>
    <t>2018-06-13T21:58:18+00:00</t>
  </si>
  <si>
    <t>2018-06-14T22:28:36+00:00</t>
  </si>
  <si>
    <t>Women's Tops Long Sleeve A-Line Lace Stitching Trim Casual Tunic Dress XS Brown</t>
  </si>
  <si>
    <t>LYQ-WF7125-NO-XS</t>
  </si>
  <si>
    <t>B077XX5QDF</t>
  </si>
  <si>
    <t>DESTREHAN</t>
  </si>
  <si>
    <t>70047-5133</t>
  </si>
  <si>
    <t>114-3525503-1588264</t>
  </si>
  <si>
    <t>2018-06-13T21:35:21+00:00</t>
  </si>
  <si>
    <t>2018-06-14T02:55:32+00:00</t>
  </si>
  <si>
    <t>NASHUA</t>
  </si>
  <si>
    <t>NH</t>
  </si>
  <si>
    <t>03064-2565</t>
  </si>
  <si>
    <t>114-0960276-8351417</t>
  </si>
  <si>
    <t>2018-06-13T19:21:35+00:00</t>
  </si>
  <si>
    <t>2018-06-14T07:10:30+00:00</t>
  </si>
  <si>
    <t>WEST MILFORD</t>
  </si>
  <si>
    <t>07480-3505</t>
  </si>
  <si>
    <t>111-1518880-6877804</t>
  </si>
  <si>
    <t>2018-06-13T19:06:59+00:00</t>
  </si>
  <si>
    <t>2018-06-15T04:04:23+00:00</t>
  </si>
  <si>
    <t>Women's Large Print Floral Chiffon Scarf Poncho Shawl</t>
  </si>
  <si>
    <t>SCF-B01-011</t>
  </si>
  <si>
    <t>B075XDTMSM</t>
  </si>
  <si>
    <t>Berkeley</t>
  </si>
  <si>
    <t>111-8647757-8485051</t>
  </si>
  <si>
    <t>2018-06-13T19:03:30+00:00</t>
  </si>
  <si>
    <t>2018-06-14T06:26:26+00:00</t>
  </si>
  <si>
    <t>CHEPACHET</t>
  </si>
  <si>
    <t>RI</t>
  </si>
  <si>
    <t>02814-1267</t>
  </si>
  <si>
    <t>111-8017842-6773855</t>
  </si>
  <si>
    <t>2018-06-13T18:41:38+00:00</t>
  </si>
  <si>
    <t>2018-06-15T17:33:01+00:00</t>
  </si>
  <si>
    <t>LEAVENWORTH</t>
  </si>
  <si>
    <t>98826-9584</t>
  </si>
  <si>
    <t>113-5746951-5328249</t>
  </si>
  <si>
    <t>2018-06-13T18:30:25+00:00</t>
  </si>
  <si>
    <t>2018-06-14T02:05:01+00:00</t>
  </si>
  <si>
    <t>COSTA MESA</t>
  </si>
  <si>
    <t>92626-1797</t>
  </si>
  <si>
    <t>112-9296534-7342662</t>
  </si>
  <si>
    <t>2018-06-13T18:28:52+00:00</t>
  </si>
  <si>
    <t>2018-06-13T20:21:42+00:00</t>
  </si>
  <si>
    <t>ASHBURN</t>
  </si>
  <si>
    <t>20147-4728</t>
  </si>
  <si>
    <t>111-8588626-2535463</t>
  </si>
  <si>
    <t>2018-06-13T18:27:43+00:00</t>
  </si>
  <si>
    <t>2018-06-14T03:35:26+00:00</t>
  </si>
  <si>
    <t>SANTA MONICA</t>
  </si>
  <si>
    <t>90404-1759</t>
  </si>
  <si>
    <t>114-9021070-0761820</t>
  </si>
  <si>
    <t>2018-06-13T17:52:45+00:00</t>
  </si>
  <si>
    <t>2018-06-14T10:41:23+00:00</t>
  </si>
  <si>
    <t>EL PASO</t>
  </si>
  <si>
    <t>79924-5904</t>
  </si>
  <si>
    <t>112-0676649-7858616</t>
  </si>
  <si>
    <t>2018-06-13T17:47:07+00:00</t>
  </si>
  <si>
    <t>2018-06-17T19:23:07+00:00</t>
  </si>
  <si>
    <t>FORT BENTON</t>
  </si>
  <si>
    <t>MT</t>
  </si>
  <si>
    <t>113-4715952-5976245</t>
  </si>
  <si>
    <t>2018-06-13T15:55:49+00:00</t>
  </si>
  <si>
    <t>2018-06-14T06:39:53+00:00</t>
  </si>
  <si>
    <t>LAKE CHARLES</t>
  </si>
  <si>
    <t>70605-5709</t>
  </si>
  <si>
    <t>111-2655002-9661857</t>
  </si>
  <si>
    <t>2018-06-13T15:18:04+00:00</t>
  </si>
  <si>
    <t>2018-06-15T01:10:21+00:00</t>
  </si>
  <si>
    <t>CAMPBELL</t>
  </si>
  <si>
    <t>95008-1405</t>
  </si>
  <si>
    <t>111-0003530-4892261</t>
  </si>
  <si>
    <t>2018-06-13T14:53:51+00:00</t>
  </si>
  <si>
    <t>2018-06-14T00:29:12+00:00</t>
  </si>
  <si>
    <t>YALE</t>
  </si>
  <si>
    <t>48097-2802</t>
  </si>
  <si>
    <t>111-3478095-6236268</t>
  </si>
  <si>
    <t>2018-06-13T14:42:17+00:00</t>
  </si>
  <si>
    <t>2018-06-15T01:26:26+00:00</t>
  </si>
  <si>
    <t>113-7466405-4130624</t>
  </si>
  <si>
    <t>2018-06-13T14:32:54+00:00</t>
  </si>
  <si>
    <t>2018-06-14T04:27:07+00:00</t>
  </si>
  <si>
    <t>Dallas</t>
  </si>
  <si>
    <t>Texas</t>
  </si>
  <si>
    <t>111-8966112-3573033</t>
  </si>
  <si>
    <t>2018-06-13T14:09:49+00:00</t>
  </si>
  <si>
    <t>2018-06-16T01:02:24+00:00</t>
  </si>
  <si>
    <t>SAN ANTONIO</t>
  </si>
  <si>
    <t>112-9703673-9812258</t>
  </si>
  <si>
    <t>2018-06-13T14:07:52+00:00</t>
  </si>
  <si>
    <t>2018-06-16T03:12:32+00:00</t>
  </si>
  <si>
    <t>Men's Short Sleeve Formal Dress Shirts Pink X-Large</t>
  </si>
  <si>
    <t>ST173-PK-XL</t>
  </si>
  <si>
    <t>B074SZD1GM</t>
  </si>
  <si>
    <t>springfield</t>
  </si>
  <si>
    <t>ma</t>
  </si>
  <si>
    <t>114-1173176-8253857</t>
  </si>
  <si>
    <t>2018-06-13T14:04:43+00:00</t>
  </si>
  <si>
    <t>2018-06-14T16:56:31+00:00</t>
  </si>
  <si>
    <t>MINNEAPOLIS</t>
  </si>
  <si>
    <t>55427-3451</t>
  </si>
  <si>
    <t>113-0567238-2849807</t>
  </si>
  <si>
    <t>2018-06-13T13:39:11+00:00</t>
  </si>
  <si>
    <t>2018-06-14T06:42:39+00:00</t>
  </si>
  <si>
    <t>XQ-IUYL260-YL-M</t>
  </si>
  <si>
    <t>B079GPD2NN</t>
  </si>
  <si>
    <t>Breaux Bridge</t>
  </si>
  <si>
    <t>La</t>
  </si>
  <si>
    <t>112-1275600-7273848</t>
  </si>
  <si>
    <t>2018-06-13T13:33:52+00:00</t>
  </si>
  <si>
    <t>2018-06-20T03:13:21+00:00</t>
  </si>
  <si>
    <t>PRESTON</t>
  </si>
  <si>
    <t>CT</t>
  </si>
  <si>
    <t>06365-8709</t>
  </si>
  <si>
    <t>112-7103263-6821062</t>
  </si>
  <si>
    <t>2018-06-13T12:54:15+00:00</t>
  </si>
  <si>
    <t>2018-06-14T06:46:39+00:00</t>
  </si>
  <si>
    <t>Crockett</t>
  </si>
  <si>
    <t>111-7630042-9979442</t>
  </si>
  <si>
    <t>2018-06-13T12:45:59+00:00</t>
  </si>
  <si>
    <t>2018-06-14T02:30:15+00:00</t>
  </si>
  <si>
    <t>Homewood</t>
  </si>
  <si>
    <t>60430-1016</t>
  </si>
  <si>
    <t>111-7258397-1908201</t>
  </si>
  <si>
    <t>2018-06-13T12:25:27+00:00</t>
  </si>
  <si>
    <t>2018-06-13T18:37:51+00:00</t>
  </si>
  <si>
    <t>10019-3701</t>
  </si>
  <si>
    <t>114-3729986-4694608</t>
  </si>
  <si>
    <t>2018-06-13T12:18:23+00:00</t>
  </si>
  <si>
    <t>2018-06-14T08:15:16+00:00</t>
  </si>
  <si>
    <t>NORTH WALES</t>
  </si>
  <si>
    <t>19454-3442</t>
  </si>
  <si>
    <t>113-6437956-5382602</t>
  </si>
  <si>
    <t>2018-06-13T11:49:23+00:00</t>
  </si>
  <si>
    <t>2018-06-15T15:22:29+00:00</t>
  </si>
  <si>
    <t>Charlotte hall</t>
  </si>
  <si>
    <t>Maryland</t>
  </si>
  <si>
    <t>112-7974643-7415421</t>
  </si>
  <si>
    <t>2018-06-13T04:46:28+00:00</t>
  </si>
  <si>
    <t>2018-06-13T22:19:00+00:00</t>
  </si>
  <si>
    <t>Men's Short Sleeve Formal Dress Shirts Purple Small</t>
  </si>
  <si>
    <t>ST173-PP-S</t>
  </si>
  <si>
    <t>B074SL9Y3C</t>
  </si>
  <si>
    <t>MONROE</t>
  </si>
  <si>
    <t>97456-9627</t>
  </si>
  <si>
    <t>111-9179243-5924251</t>
  </si>
  <si>
    <t>2018-06-13T03:39:27+00:00</t>
  </si>
  <si>
    <t>2018-06-13T19:50:19+00:00</t>
  </si>
  <si>
    <t>orlando</t>
  </si>
  <si>
    <t>112-4951000-3789820</t>
  </si>
  <si>
    <t>2018-06-13T03:26:15+00:00</t>
  </si>
  <si>
    <t>2018-06-14T07:07:12+00:00</t>
  </si>
  <si>
    <t>TEMPLE</t>
  </si>
  <si>
    <t>76502-7970</t>
  </si>
  <si>
    <t>113-0985593-9718636</t>
  </si>
  <si>
    <t>2018-06-13T02:46:21+00:00</t>
  </si>
  <si>
    <t>2018-06-14T08:56:09+00:00</t>
  </si>
  <si>
    <t>WOODBURY</t>
  </si>
  <si>
    <t>55125-9551</t>
  </si>
  <si>
    <t>111-6725816-4245800</t>
  </si>
  <si>
    <t>2018-06-13T02:42:43+00:00</t>
  </si>
  <si>
    <t>2018-06-14T02:55:58+00:00</t>
  </si>
  <si>
    <t>HANOVER</t>
  </si>
  <si>
    <t>114-3763404-0913065</t>
  </si>
  <si>
    <t>2018-06-13T02:42:41+00:00</t>
  </si>
  <si>
    <t>2018-06-14T03:05:28+00:00</t>
  </si>
  <si>
    <t>BIRMINGHAM</t>
  </si>
  <si>
    <t>35226-5914</t>
  </si>
  <si>
    <t>113-2063650-9107416</t>
  </si>
  <si>
    <t>2018-06-13T02:27:50+00:00</t>
  </si>
  <si>
    <t>2018-06-14T05:44:42+00:00</t>
  </si>
  <si>
    <t>burbank</t>
  </si>
  <si>
    <t>ca</t>
  </si>
  <si>
    <t>111-0608111-0708229</t>
  </si>
  <si>
    <t>2018-06-13T02:08:59+00:00</t>
  </si>
  <si>
    <t>2018-06-13T23:30:12+00:00</t>
  </si>
  <si>
    <t>CORONA</t>
  </si>
  <si>
    <t>11368-4029</t>
  </si>
  <si>
    <t>112-9312498-6066646</t>
  </si>
  <si>
    <t>2018-06-13T01:57:40+00:00</t>
  </si>
  <si>
    <t>2018-06-14T06:28:49+00:00</t>
  </si>
  <si>
    <t>WOODWAY</t>
  </si>
  <si>
    <t>98020-7203</t>
  </si>
  <si>
    <t>114-7506269-7545842</t>
  </si>
  <si>
    <t>2018-06-13T01:47:37+00:00</t>
  </si>
  <si>
    <t>2018-06-15T06:36:41+00:00</t>
  </si>
  <si>
    <t>OMAHA</t>
  </si>
  <si>
    <t>NE</t>
  </si>
  <si>
    <t>68138-6032</t>
  </si>
  <si>
    <t>112-3773912-1061044</t>
  </si>
  <si>
    <t>2018-06-13T01:40:22+00:00</t>
  </si>
  <si>
    <t>2018-06-13T10:46:51+00:00</t>
  </si>
  <si>
    <t>CANTONMENT</t>
  </si>
  <si>
    <t>32533-2902</t>
  </si>
  <si>
    <t>114-9799812-9211458</t>
  </si>
  <si>
    <t>2018-06-13T01:23:49+00:00</t>
  </si>
  <si>
    <t>2018-06-14T14:51:53+00:00</t>
  </si>
  <si>
    <t>DUBLIN</t>
  </si>
  <si>
    <t>43016-6512</t>
  </si>
  <si>
    <t>114-5278788-2777042</t>
  </si>
  <si>
    <t>2018-06-13T01:17:55+00:00</t>
  </si>
  <si>
    <t>2018-06-14T18:48:52+00:00</t>
  </si>
  <si>
    <t>WHIPPANY</t>
  </si>
  <si>
    <t>NEW JERSEY</t>
  </si>
  <si>
    <t>07981-2208</t>
  </si>
  <si>
    <t>111-9645136-9235418</t>
  </si>
  <si>
    <t>2018-06-13T00:59:38+00:00</t>
  </si>
  <si>
    <t>2018-06-15T23:21:20+00:00</t>
  </si>
  <si>
    <t>THORNTON</t>
  </si>
  <si>
    <t>80229-3124</t>
  </si>
  <si>
    <t>113-3862011-8901866</t>
  </si>
  <si>
    <t>2018-06-14T23:56:07+00:00</t>
  </si>
  <si>
    <t>2018-06-19T08:36:54+00:00</t>
  </si>
  <si>
    <t>Unshipped</t>
  </si>
  <si>
    <t>ROCKVILLE</t>
  </si>
  <si>
    <t>20850-5615</t>
  </si>
  <si>
    <t>112-8817796-5765008</t>
  </si>
  <si>
    <t>2018-06-14T23:46:03+00:00</t>
  </si>
  <si>
    <t>2018-06-16T05:40:59+00:00</t>
  </si>
  <si>
    <t>13215-8665</t>
  </si>
  <si>
    <t>112-5548245-6496209</t>
  </si>
  <si>
    <t>2018-06-14T23:34:22+00:00</t>
  </si>
  <si>
    <t>2018-06-16T22:39:41+00:00</t>
  </si>
  <si>
    <t>OK</t>
  </si>
  <si>
    <t>112-5297896-1770661</t>
  </si>
  <si>
    <t>2018-06-14T23:34:08+00:00</t>
  </si>
  <si>
    <t>2018-06-18T16:07:10+00:00</t>
  </si>
  <si>
    <t>11238-2668</t>
  </si>
  <si>
    <t>111-9917804-6687459</t>
  </si>
  <si>
    <t>2018-06-14T23:20:52+00:00</t>
  </si>
  <si>
    <t>2018-06-15T17:54:41+00:00</t>
  </si>
  <si>
    <t>YOUNGSTOWN</t>
  </si>
  <si>
    <t>32466-2008</t>
  </si>
  <si>
    <t>111-6370721-5657026</t>
  </si>
  <si>
    <t>2018-06-14T23:11:23+00:00</t>
  </si>
  <si>
    <t>2018-06-15T03:29:32+00:00</t>
  </si>
  <si>
    <t>BRONX</t>
  </si>
  <si>
    <t>10455-5121</t>
  </si>
  <si>
    <t>112-0900261-6824234</t>
  </si>
  <si>
    <t>2018-06-14T23:00:43+00:00</t>
  </si>
  <si>
    <t>2018-06-16T00:45:00+00:00</t>
  </si>
  <si>
    <t>SAN JOSE</t>
  </si>
  <si>
    <t>95134-3056</t>
  </si>
  <si>
    <t>113-2976275-2476205</t>
  </si>
  <si>
    <t>2018-06-14T21:08:39+00:00</t>
  </si>
  <si>
    <t>2018-06-15T22:28:43+00:00</t>
  </si>
  <si>
    <t>Mocotono Men's Short Sleeve Oxford Button Down Casual Shirt, Light Gray, Small</t>
  </si>
  <si>
    <t>ST170-LG-S</t>
  </si>
  <si>
    <t>B073PPSG6W</t>
  </si>
  <si>
    <t>35205-5309</t>
  </si>
  <si>
    <t>113-5433693-3682666</t>
  </si>
  <si>
    <t>2018-06-14T20:29:24+00:00</t>
  </si>
  <si>
    <t>2018-06-18T09:47:07+00:00</t>
  </si>
  <si>
    <t>SUBIACO</t>
  </si>
  <si>
    <t>AU</t>
  </si>
  <si>
    <t>111-2732173-5696219</t>
  </si>
  <si>
    <t>2018-06-14T20:04:51+00:00</t>
  </si>
  <si>
    <t>2018-06-18T22:54:56+00:00</t>
  </si>
  <si>
    <t>XQ-IUYL260-YL-S</t>
  </si>
  <si>
    <t>B079GQYYYF</t>
  </si>
  <si>
    <t>GARDEN CITY</t>
  </si>
  <si>
    <t>31408-1905</t>
  </si>
  <si>
    <t>113-6173780-8665030</t>
  </si>
  <si>
    <t>2018-06-14T19:49:52+00:00</t>
  </si>
  <si>
    <t>2018-06-15T21:22:59+00:00</t>
  </si>
  <si>
    <t>XQ-IUYL260-RD-M</t>
  </si>
  <si>
    <t>B079GS81P9</t>
  </si>
  <si>
    <t>HUTCHINSON ISLAND</t>
  </si>
  <si>
    <t>34949-8226</t>
  </si>
  <si>
    <t>114-1358345-2518630</t>
  </si>
  <si>
    <t>2018-06-14T18:52:21+00:00</t>
  </si>
  <si>
    <t>2018-06-15T02:41:31+00:00</t>
  </si>
  <si>
    <t>CONROE</t>
  </si>
  <si>
    <t>77304-1311</t>
  </si>
  <si>
    <t>112-5526368-3550606</t>
  </si>
  <si>
    <t>2018-06-14T18:43:51+00:00</t>
  </si>
  <si>
    <t>2018-06-16T00:58:25+00:00</t>
  </si>
  <si>
    <t>San Antonio</t>
  </si>
  <si>
    <t>112-9926640-5441039</t>
  </si>
  <si>
    <t>2018-06-14T18:38:28+00:00</t>
  </si>
  <si>
    <t>2018-06-14T18:42:26+00:00</t>
  </si>
  <si>
    <t>111-0408011-1583468</t>
  </si>
  <si>
    <t>2018-06-14T18:18:26+00:00</t>
  </si>
  <si>
    <t>2018-06-18T23:40:16+00:00</t>
  </si>
  <si>
    <t>Luciphia Women's Tops Long Sleeve A-Line Lace Stitching Trim Casual Tunic Dress L Black</t>
  </si>
  <si>
    <t>LYQ-WF7125-KO-L</t>
  </si>
  <si>
    <t>B077XVSQHX</t>
  </si>
  <si>
    <t>MYRTLE BEACH</t>
  </si>
  <si>
    <t>29588-7767</t>
  </si>
  <si>
    <t>113-7908354-3661002</t>
  </si>
  <si>
    <t>2018-06-14T18:17:01+00:00</t>
  </si>
  <si>
    <t>2018-06-15T21:59:31+00:00</t>
  </si>
  <si>
    <t>ENGLEWOOD</t>
  </si>
  <si>
    <t>34223-2231</t>
  </si>
  <si>
    <t>113-9432616-7600253</t>
  </si>
  <si>
    <t>2018-06-14T18:14:13+00:00</t>
  </si>
  <si>
    <t>2018-06-16T07:02:45+00:00</t>
  </si>
  <si>
    <t>FOUNTAIN VALLEY</t>
  </si>
  <si>
    <t>92708-7713</t>
  </si>
  <si>
    <t>114-0077243-1423406</t>
  </si>
  <si>
    <t>2018-06-14T18:13:08+00:00</t>
  </si>
  <si>
    <t>2018-06-15T19:34:33+00:00</t>
  </si>
  <si>
    <t>CHANDLER</t>
  </si>
  <si>
    <t>AZ</t>
  </si>
  <si>
    <t>85224-4127</t>
  </si>
  <si>
    <t>113-6775582-9077013</t>
  </si>
  <si>
    <t>2018-06-14T17:15:52+00:00</t>
  </si>
  <si>
    <t>2018-06-15T05:23:17+00:00</t>
  </si>
  <si>
    <t>SAMMAMISH</t>
  </si>
  <si>
    <t>98074-6899</t>
  </si>
  <si>
    <t>112-3165287-9634655</t>
  </si>
  <si>
    <t>2018-06-14T16:59:13+00:00</t>
  </si>
  <si>
    <t>2018-06-17T03:00:52+00:00</t>
  </si>
  <si>
    <t>Greer</t>
  </si>
  <si>
    <t>112-6914121-4477043</t>
  </si>
  <si>
    <t>2018-06-14T16:19:33+00:00</t>
  </si>
  <si>
    <t>2018-06-16T22:32:18+00:00</t>
  </si>
  <si>
    <t>ASBURY PARK</t>
  </si>
  <si>
    <t>07712-4230</t>
  </si>
  <si>
    <t>111-9219786-0065838</t>
  </si>
  <si>
    <t>2018-06-14T15:39:27+00:00</t>
  </si>
  <si>
    <t>2018-06-16T05:59:01+00:00</t>
  </si>
  <si>
    <t>Folsom</t>
  </si>
  <si>
    <t>114-6036592-9520264</t>
  </si>
  <si>
    <t>2018-06-14T15:26:14+00:00</t>
  </si>
  <si>
    <t>2018-06-15T08:25:29+00:00</t>
  </si>
  <si>
    <t>HOUSTON</t>
  </si>
  <si>
    <t>77002-8246</t>
  </si>
  <si>
    <t>111-1258080-8377826</t>
  </si>
  <si>
    <t>2018-06-14T15:05:06+00:00</t>
  </si>
  <si>
    <t>2018-06-15T05:20:57+00:00</t>
  </si>
  <si>
    <t>Port Charlotte</t>
  </si>
  <si>
    <t>111-5477040-1491469</t>
  </si>
  <si>
    <t>2018-06-14T14:45:20+00:00</t>
  </si>
  <si>
    <t>2018-06-17T02:36:34+00:00</t>
  </si>
  <si>
    <t>JACKSONVILLE</t>
  </si>
  <si>
    <t>32210-4595</t>
  </si>
  <si>
    <t>113-6728623-4009824</t>
  </si>
  <si>
    <t>2018-06-14T14:44:45+00:00</t>
  </si>
  <si>
    <t>2018-06-14T18:52:36+00:00</t>
  </si>
  <si>
    <t>22314-1184</t>
  </si>
  <si>
    <t>112-6589896-5229023</t>
  </si>
  <si>
    <t>2018-06-14T14:31:52+00:00</t>
  </si>
  <si>
    <t>2018-06-15T18:23:41+00:00</t>
  </si>
  <si>
    <t>HICKSVILLE</t>
  </si>
  <si>
    <t>11801-6204</t>
  </si>
  <si>
    <t>111-7308860-0956204</t>
  </si>
  <si>
    <t>2018-06-14T14:30:02+00:00</t>
  </si>
  <si>
    <t>2018-06-18T05:36:17+00:00</t>
  </si>
  <si>
    <t>FORT VALLEY</t>
  </si>
  <si>
    <t>31030-5345</t>
  </si>
  <si>
    <t>112-0208011-8589016</t>
  </si>
  <si>
    <t>2018-06-14T14:25:45+00:00</t>
  </si>
  <si>
    <t>2018-06-15T19:28:12+00:00</t>
  </si>
  <si>
    <t>SAGLE</t>
  </si>
  <si>
    <t>ID</t>
  </si>
  <si>
    <t>83860-8708</t>
  </si>
  <si>
    <t>112-0692837-5541836</t>
  </si>
  <si>
    <t>2018-06-14T14:01:56+00:00</t>
  </si>
  <si>
    <t>2018-06-17T06:53:09+00:00</t>
  </si>
  <si>
    <t>FRIENDSVILLE</t>
  </si>
  <si>
    <t>37737-2810</t>
  </si>
  <si>
    <t>111-9636383-7255420</t>
  </si>
  <si>
    <t>2018-06-14T12:19:25+00:00</t>
  </si>
  <si>
    <t>2018-06-15T22:22:41+00:00</t>
  </si>
  <si>
    <t>ROCKFORD</t>
  </si>
  <si>
    <t>61107-6652</t>
  </si>
  <si>
    <t>113-8943169-0000226</t>
  </si>
  <si>
    <t>2018-06-14T11:41:10+00:00</t>
  </si>
  <si>
    <t>2018-06-16T02:23:01+00:00</t>
  </si>
  <si>
    <t>CHESTER</t>
  </si>
  <si>
    <t>23836-2808</t>
  </si>
  <si>
    <t>113-2883623-6505859</t>
  </si>
  <si>
    <t>2018-06-14T10:59:27+00:00</t>
  </si>
  <si>
    <t>2018-06-16T22:28:13+00:00</t>
  </si>
  <si>
    <t>SAULT SAINTE MARIE</t>
  </si>
  <si>
    <t>49783-1537</t>
  </si>
  <si>
    <t>111-4332999-6974646</t>
  </si>
  <si>
    <t>2018-06-14T09:07:17+00:00</t>
  </si>
  <si>
    <t>2018-06-15T18:24:07+00:00</t>
  </si>
  <si>
    <t>33126-5418</t>
  </si>
  <si>
    <t>114-0671495-3714620</t>
  </si>
  <si>
    <t>2018-06-14T07:06:30+00:00</t>
  </si>
  <si>
    <t>2018-06-14T22:22:41+00:00</t>
  </si>
  <si>
    <t>Men's Long Sleeve Formal Business Dress Shirts White Medium</t>
  </si>
  <si>
    <t>ST172-WT2-M</t>
  </si>
  <si>
    <t>B074SKGP6T</t>
  </si>
  <si>
    <t>MOUNTLAKE TERRACE</t>
  </si>
  <si>
    <t>98043-5701</t>
  </si>
  <si>
    <t>113-2119595-1574610</t>
  </si>
  <si>
    <t>2018-06-14T07:02:59+00:00</t>
  </si>
  <si>
    <t>2018-06-15T23:16:21+00:00</t>
  </si>
  <si>
    <t>HAYWARD</t>
  </si>
  <si>
    <t>94544-3549</t>
  </si>
  <si>
    <t>112-5543722-2015467</t>
  </si>
  <si>
    <t>2018-06-14T05:36:18+00:00</t>
  </si>
  <si>
    <t>2018-06-15T06:22:59+00:00</t>
  </si>
  <si>
    <t>Scottsdale</t>
  </si>
  <si>
    <t>Az</t>
  </si>
  <si>
    <t>114-5845144-9366665</t>
  </si>
  <si>
    <t>2018-06-14T05:23:15+00:00</t>
  </si>
  <si>
    <t>2018-06-14T23:50:28+00:00</t>
  </si>
  <si>
    <t>WEST VALLEY CITY</t>
  </si>
  <si>
    <t>UTAH</t>
  </si>
  <si>
    <t>84119-4819</t>
  </si>
  <si>
    <t>111-9499496-0122628</t>
  </si>
  <si>
    <t>2018-06-14T04:59:19+00:00</t>
  </si>
  <si>
    <t>2018-06-15T01:24:13+00:00</t>
  </si>
  <si>
    <t>CORVALLIS</t>
  </si>
  <si>
    <t>97333-4825</t>
  </si>
  <si>
    <t>113-0523626-6883428</t>
  </si>
  <si>
    <t>2018-06-14T04:17:29+00:00</t>
  </si>
  <si>
    <t>2018-06-14T20:16:59+00:00</t>
  </si>
  <si>
    <t>KEMAH</t>
  </si>
  <si>
    <t>77565-3167</t>
  </si>
  <si>
    <t>111-8622492-1976216</t>
  </si>
  <si>
    <t>2018-06-14T04:14:00+00:00</t>
  </si>
  <si>
    <t>2018-06-16T01:36:47+00:00</t>
  </si>
  <si>
    <t>PARKLAND</t>
  </si>
  <si>
    <t>FLORIDA</t>
  </si>
  <si>
    <t>33067-5001</t>
  </si>
  <si>
    <t>113-1956933-3937829</t>
  </si>
  <si>
    <t>2018-06-14T02:56:09+00:00</t>
  </si>
  <si>
    <t>2018-06-14T21:17:32+00:00</t>
  </si>
  <si>
    <t>Munds park</t>
  </si>
  <si>
    <t>112-9276498-4372230</t>
  </si>
  <si>
    <t>2018-06-14T02:44:38+00:00</t>
  </si>
  <si>
    <t>2018-06-14T21:38:39+00:00</t>
  </si>
  <si>
    <t>TZ-IUYL240LHY-BONE-L</t>
  </si>
  <si>
    <t>RIPON</t>
  </si>
  <si>
    <t>WI</t>
  </si>
  <si>
    <t>54971-9701</t>
  </si>
  <si>
    <t>111-8653327-5415405</t>
  </si>
  <si>
    <t>2018-06-14T02:41:43+00:00</t>
  </si>
  <si>
    <t>2018-06-14T14:01:42+00:00</t>
  </si>
  <si>
    <t>MANALAPAN</t>
  </si>
  <si>
    <t>07726-4313</t>
  </si>
  <si>
    <t>111-5869334-0898645</t>
  </si>
  <si>
    <t>2018-06-14T01:56:57+00:00</t>
  </si>
  <si>
    <t>2018-06-15T09:25:10+00:00</t>
  </si>
  <si>
    <t>DEER PARK</t>
  </si>
  <si>
    <t>11729-4138</t>
  </si>
  <si>
    <t>114-9916584-7643423</t>
  </si>
  <si>
    <t>2018-06-14T01:47:07+00:00</t>
  </si>
  <si>
    <t>2018-06-15T06:12:50+00:00</t>
  </si>
  <si>
    <t>78727-0159</t>
  </si>
  <si>
    <t>114-4669153-7276269</t>
  </si>
  <si>
    <t>2018-06-14T01:43:30+00:00</t>
  </si>
  <si>
    <t>2018-06-14T20:11:08+00:00</t>
  </si>
  <si>
    <t>KITTERY</t>
  </si>
  <si>
    <t>ME</t>
  </si>
  <si>
    <t>03904-5455</t>
  </si>
  <si>
    <t>114-1701924-8040254</t>
  </si>
  <si>
    <t>2018-06-14T01:26:55+00:00</t>
  </si>
  <si>
    <t>2018-06-14T23:30:38+00:00</t>
  </si>
  <si>
    <t>MIRAMAR</t>
  </si>
  <si>
    <t>33029-2716</t>
  </si>
  <si>
    <t>111-6631346-8281802</t>
  </si>
  <si>
    <t>2018-06-14T01:25:28+00:00</t>
  </si>
  <si>
    <t>2018-06-16T17:50:38+00:00</t>
  </si>
  <si>
    <t>TZ-IUYL240LHY-STAR-S</t>
  </si>
  <si>
    <t>OLD SAYBROOK</t>
  </si>
  <si>
    <t>06475-2926</t>
  </si>
  <si>
    <t>111-4632831-5953049</t>
  </si>
  <si>
    <t>2018-06-14T01:21:47+00:00</t>
  </si>
  <si>
    <t>2018-06-15T05:41:24+00:00</t>
  </si>
  <si>
    <t>92127-5945</t>
  </si>
  <si>
    <t>111-1487869-4538601</t>
  </si>
  <si>
    <t>2018-06-14T00:59:24+00:00</t>
  </si>
  <si>
    <t>2018-06-14T20:40:55+00:00</t>
  </si>
  <si>
    <t>MINBURN</t>
  </si>
  <si>
    <t>50167-8145</t>
  </si>
  <si>
    <t>114-1824228-1609852</t>
  </si>
  <si>
    <t>2018-06-14T00:49:49+00:00</t>
  </si>
  <si>
    <t>2018-06-14T23:58:53+00:00</t>
  </si>
  <si>
    <t>WHITE OAK</t>
  </si>
  <si>
    <t>PENNSYLVANIA</t>
  </si>
  <si>
    <t>15131-2707</t>
  </si>
  <si>
    <t>114-9450737-1766646</t>
  </si>
  <si>
    <t>2018-06-14T00:47:54+00:00</t>
  </si>
  <si>
    <t>2018-06-19T19:05:14+00:00</t>
  </si>
  <si>
    <t>BOSTON</t>
  </si>
  <si>
    <t>02110-2416</t>
  </si>
  <si>
    <t>112-1435359-3267433</t>
  </si>
  <si>
    <t>2018-06-14T00:32:13+00:00</t>
  </si>
  <si>
    <t>2018-06-14T22:34:17+00:00</t>
  </si>
  <si>
    <t>Pajamas-sb001-GR-L</t>
  </si>
  <si>
    <t>B0747L9WY7</t>
  </si>
  <si>
    <t>SOUTHAMPTON</t>
  </si>
  <si>
    <t>18966-3772</t>
  </si>
  <si>
    <t>112-9664353-9214620</t>
  </si>
  <si>
    <t>2018-06-14T00:31:53+00:00</t>
  </si>
  <si>
    <t>2018-06-15T09:40:30+00:00</t>
  </si>
  <si>
    <t>MOCOTONO Men's Long Sleeve Standard Fit Plaid Checked Button up Casual Shirts Green Medium</t>
  </si>
  <si>
    <t>ST006-GN-M</t>
  </si>
  <si>
    <t>B074NZX79C</t>
  </si>
  <si>
    <t>48161-2006</t>
  </si>
  <si>
    <t>S01-9466158-7612236</t>
  </si>
  <si>
    <t>xi6f1Kn365</t>
  </si>
  <si>
    <t>2018-06-15T01:46:25+00:00</t>
  </si>
  <si>
    <t>2018-06-22T10:44:59+00:00</t>
  </si>
  <si>
    <t>Non-Amazon</t>
  </si>
  <si>
    <t>XQ-IUYL260-GN-M</t>
  </si>
  <si>
    <t>B079GML28B</t>
  </si>
  <si>
    <t>112-1182602-3458640</t>
  </si>
  <si>
    <t>2018-06-15T23:43:05+00:00</t>
  </si>
  <si>
    <t>2018-06-16T12:28:55+00:00</t>
  </si>
  <si>
    <t>Simi Valley</t>
  </si>
  <si>
    <t>111-5107299-9284209</t>
  </si>
  <si>
    <t>2018-06-15T23:02:44+00:00</t>
  </si>
  <si>
    <t>2018-06-18T04:00:54+00:00</t>
  </si>
  <si>
    <t>CABLE</t>
  </si>
  <si>
    <t>43009-9759</t>
  </si>
  <si>
    <t>112-4522568-7402605</t>
  </si>
  <si>
    <t>2018-06-15T22:58:12+00:00</t>
  </si>
  <si>
    <t>2018-06-17T04:28:07+00:00</t>
  </si>
  <si>
    <t>77077-2125</t>
  </si>
  <si>
    <t>113-8702721-0156208</t>
  </si>
  <si>
    <t>2018-06-15T22:39:49+00:00</t>
  </si>
  <si>
    <t>2018-06-18T06:25:53+00:00</t>
  </si>
  <si>
    <t>greenville</t>
  </si>
  <si>
    <t>south carolina</t>
  </si>
  <si>
    <t>113-9934415-4314641</t>
  </si>
  <si>
    <t>2018-06-15T21:54:38+00:00</t>
  </si>
  <si>
    <t>2018-06-17T03:45:42+00:00</t>
  </si>
  <si>
    <t>MINEOLA</t>
  </si>
  <si>
    <t>11501-1107</t>
  </si>
  <si>
    <t>114-9975033-7665808</t>
  </si>
  <si>
    <t>2018-06-15T20:13:59+00:00</t>
  </si>
  <si>
    <t>2018-06-17T08:39:59+00:00</t>
  </si>
  <si>
    <t>113-0998380-6423461</t>
  </si>
  <si>
    <t>2018-06-15T20:07:08+00:00</t>
  </si>
  <si>
    <t>2018-06-17T06:34:01+00:00</t>
  </si>
  <si>
    <t>Valparaiso</t>
  </si>
  <si>
    <t>46385-7947</t>
  </si>
  <si>
    <t>112-9622836-9479460</t>
  </si>
  <si>
    <t>2018-06-15T19:42:51+00:00</t>
  </si>
  <si>
    <t>2018-06-17T08:38:36+00:00</t>
  </si>
  <si>
    <t>SCF-B01-002</t>
  </si>
  <si>
    <t>B075XFH141</t>
  </si>
  <si>
    <t>DURHAM</t>
  </si>
  <si>
    <t>27707-2824</t>
  </si>
  <si>
    <t>113-2292854-3437005</t>
  </si>
  <si>
    <t>2018-06-15T19:25:27+00:00</t>
  </si>
  <si>
    <t>2018-06-18T00:17:27+00:00</t>
  </si>
  <si>
    <t>Kingsland</t>
  </si>
  <si>
    <t>113-5014948-4547405</t>
  </si>
  <si>
    <t>2018-06-15T19:04:27+00:00</t>
  </si>
  <si>
    <t>2018-06-17T14:54:14+00:00</t>
  </si>
  <si>
    <t>CLERMONT</t>
  </si>
  <si>
    <t>34711-2420</t>
  </si>
  <si>
    <t>111-8045365-4506654</t>
  </si>
  <si>
    <t>2018-06-15T18:40:00+00:00</t>
  </si>
  <si>
    <t>2018-06-16T19:31:09+00:00</t>
  </si>
  <si>
    <t>STERLING</t>
  </si>
  <si>
    <t>01564-2504</t>
  </si>
  <si>
    <t>112-0670048-8997859</t>
  </si>
  <si>
    <t>2018-06-15T18:30:45+00:00</t>
  </si>
  <si>
    <t>2018-06-16T06:31:14+00:00</t>
  </si>
  <si>
    <t>Sacramento</t>
  </si>
  <si>
    <t>111-3352980-9147427</t>
  </si>
  <si>
    <t>2018-06-15T18:30:24+00:00</t>
  </si>
  <si>
    <t>2018-06-16T11:20:37+00:00</t>
  </si>
  <si>
    <t>GREENWOOD</t>
  </si>
  <si>
    <t>46142-3005</t>
  </si>
  <si>
    <t>112-7901779-2104233</t>
  </si>
  <si>
    <t>2018-06-15T18:04:00+00:00</t>
  </si>
  <si>
    <t>2018-06-16T01:17:23+00:00</t>
  </si>
  <si>
    <t>ABILENE</t>
  </si>
  <si>
    <t>79602-1909</t>
  </si>
  <si>
    <t>111-3288097-4262603</t>
  </si>
  <si>
    <t>2018-06-15T17:52:22+00:00</t>
  </si>
  <si>
    <t>2018-06-16T06:25:09+00:00</t>
  </si>
  <si>
    <t>RICHMOND</t>
  </si>
  <si>
    <t>77407-5367</t>
  </si>
  <si>
    <t>112-9797377-3267409</t>
  </si>
  <si>
    <t>2018-06-15T17:52:14+00:00</t>
  </si>
  <si>
    <t>2018-06-16T01:07:52+00:00</t>
  </si>
  <si>
    <t>PLEASANTON</t>
  </si>
  <si>
    <t>94588-4765</t>
  </si>
  <si>
    <t>113-9712579-7446614</t>
  </si>
  <si>
    <t>2018-06-15T17:17:08+00:00</t>
  </si>
  <si>
    <t>2018-06-16T04:35:07+00:00</t>
  </si>
  <si>
    <t>Windcrest</t>
  </si>
  <si>
    <t>112-1579261-9538650</t>
  </si>
  <si>
    <t>2018-06-15T17:00:11+00:00</t>
  </si>
  <si>
    <t>2018-06-16T16:04:03+00:00</t>
  </si>
  <si>
    <t>19132-1434</t>
  </si>
  <si>
    <t>113-2577738-7264225</t>
  </si>
  <si>
    <t>2018-06-15T16:42:43+00:00</t>
  </si>
  <si>
    <t>2018-06-16T21:26:19+00:00</t>
  </si>
  <si>
    <t>GILLETTE</t>
  </si>
  <si>
    <t>WY</t>
  </si>
  <si>
    <t>82718-6403</t>
  </si>
  <si>
    <t>111-8726540-9816260</t>
  </si>
  <si>
    <t>2018-06-15T16:07:07+00:00</t>
  </si>
  <si>
    <t>2018-06-20T00:26:29+00:00</t>
  </si>
  <si>
    <t>Fairbanks</t>
  </si>
  <si>
    <t>Alaska</t>
  </si>
  <si>
    <t>114-6272428-8877050</t>
  </si>
  <si>
    <t>2018-06-15T15:12:33+00:00</t>
  </si>
  <si>
    <t>2018-06-24T02:11:33+00:00</t>
  </si>
  <si>
    <t>NORTH BERGEN</t>
  </si>
  <si>
    <t>07047-5720</t>
  </si>
  <si>
    <t>114-2331440-6185038</t>
  </si>
  <si>
    <t>2018-06-15T14:56:02+00:00</t>
  </si>
  <si>
    <t>2018-06-18T21:49:45+00:00</t>
  </si>
  <si>
    <t>TZ-IUYL240LHY-STRAWBERRY-M</t>
  </si>
  <si>
    <t>95120-1948</t>
  </si>
  <si>
    <t>114-4642912-4113851</t>
  </si>
  <si>
    <t>2018-06-15T14:44:41+00:00</t>
  </si>
  <si>
    <t>2018-06-17T00:54:58+00:00</t>
  </si>
  <si>
    <t>NORFOLK</t>
  </si>
  <si>
    <t>23508-2426</t>
  </si>
  <si>
    <t>112-5123425-2958652</t>
  </si>
  <si>
    <t>2018-06-15T14:24:55+00:00</t>
  </si>
  <si>
    <t>2018-06-19T14:05:30+00:00</t>
  </si>
  <si>
    <t>GRAND JUNCTION</t>
  </si>
  <si>
    <t>81504-3511</t>
  </si>
  <si>
    <t>114-8152015-2658605</t>
  </si>
  <si>
    <t>2018-06-15T12:41:11+00:00</t>
  </si>
  <si>
    <t>2018-06-16T03:15:23+00:00</t>
  </si>
  <si>
    <t>XQ-IUYL260-RD-S</t>
  </si>
  <si>
    <t>B079GM3BXL</t>
  </si>
  <si>
    <t>Cass City</t>
  </si>
  <si>
    <t>111-8164394-2249023</t>
  </si>
  <si>
    <t>2018-06-15T12:16:48+00:00</t>
  </si>
  <si>
    <t>2018-06-19T19:50:40+00:00</t>
  </si>
  <si>
    <t>CHALMETTE</t>
  </si>
  <si>
    <t>70043-3428</t>
  </si>
  <si>
    <t>113-0776184-2205847</t>
  </si>
  <si>
    <t>2018-06-15T11:22:57+00:00</t>
  </si>
  <si>
    <t>2018-06-16T01:03:35+00:00</t>
  </si>
  <si>
    <t>GREEN BAY</t>
  </si>
  <si>
    <t>54301-3914</t>
  </si>
  <si>
    <t>114-7974476-6519432</t>
  </si>
  <si>
    <t>2018-06-15T10:17:00+00:00</t>
  </si>
  <si>
    <t>2018-06-15T23:53:54+00:00</t>
  </si>
  <si>
    <t>WINTER HAVEN</t>
  </si>
  <si>
    <t>33880-1152</t>
  </si>
  <si>
    <t>112-9710497-0413820</t>
  </si>
  <si>
    <t>2018-06-15T07:19:55+00:00</t>
  </si>
  <si>
    <t>2018-06-16T09:05:34+00:00</t>
  </si>
  <si>
    <t>BRISTOL</t>
  </si>
  <si>
    <t>06010-4941</t>
  </si>
  <si>
    <t>111-2420802-9610622</t>
  </si>
  <si>
    <t>2018-06-15T04:21:48+00:00</t>
  </si>
  <si>
    <t>2018-06-16T17:45:33+00:00</t>
  </si>
  <si>
    <t>ARROYO GRANDE</t>
  </si>
  <si>
    <t>93420-5197</t>
  </si>
  <si>
    <t>112-3602126-8041020</t>
  </si>
  <si>
    <t>2018-06-15T03:29:49+00:00</t>
  </si>
  <si>
    <t>2018-06-15T10:53:29+00:00</t>
  </si>
  <si>
    <t>GILMER</t>
  </si>
  <si>
    <t>75645-7437</t>
  </si>
  <si>
    <t>113-9096721-4356264</t>
  </si>
  <si>
    <t>2018-06-15T03:23:07+00:00</t>
  </si>
  <si>
    <t>2018-06-15T12:21:25+00:00</t>
  </si>
  <si>
    <t>LAVEEN</t>
  </si>
  <si>
    <t>85339-7011</t>
  </si>
  <si>
    <t>111-4396316-5340213</t>
  </si>
  <si>
    <t>2018-06-15T03:15:13+00:00</t>
  </si>
  <si>
    <t>2018-06-16T17:37:54+00:00</t>
  </si>
  <si>
    <t>SCF-B01-008</t>
  </si>
  <si>
    <t>B075XH35SF</t>
  </si>
  <si>
    <t>55404-1762</t>
  </si>
  <si>
    <t>SCF-B01-006</t>
  </si>
  <si>
    <t>B075XG5JVY</t>
  </si>
  <si>
    <t>113-3489379-1536254</t>
  </si>
  <si>
    <t>2018-06-15T02:44:23+00:00</t>
  </si>
  <si>
    <t>2018-06-18T21:04:22+00:00</t>
  </si>
  <si>
    <t>Luciphia 1 Pack 3 Blankets Super Soft Fluffy Premium Fleece Pet Blanket Flannel Throw for Dog Puppy Strawberry Small</t>
  </si>
  <si>
    <t>TZ-IUYL240-STRAWBERRY-S</t>
  </si>
  <si>
    <t>B07CBPP52D</t>
  </si>
  <si>
    <t>SOUTH SAN FRANCISCO</t>
  </si>
  <si>
    <t>94080-3211</t>
  </si>
  <si>
    <t>111-9270551-1246621</t>
  </si>
  <si>
    <t>2018-06-15T02:27:52+00:00</t>
  </si>
  <si>
    <t>2018-06-16T03:29:44+00:00</t>
  </si>
  <si>
    <t>LENEXA</t>
  </si>
  <si>
    <t>KS</t>
  </si>
  <si>
    <t>66215-2442</t>
  </si>
  <si>
    <t>113-5132206-0580214</t>
  </si>
  <si>
    <t>2018-06-15T02:21:47+00:00</t>
  </si>
  <si>
    <t>2018-06-15T06:06:38+00:00</t>
  </si>
  <si>
    <t>FARMVILLE</t>
  </si>
  <si>
    <t>112-3750155-5709863</t>
  </si>
  <si>
    <t>2018-06-15T01:31:47+00:00</t>
  </si>
  <si>
    <t>2018-06-16T02:23:13+00:00</t>
  </si>
  <si>
    <t>02114-3282</t>
  </si>
  <si>
    <t>112-8736871-3109024</t>
  </si>
  <si>
    <t>2018-06-15T01:11:06+00:00</t>
  </si>
  <si>
    <t>2018-06-15T01:29:11+00:00</t>
  </si>
  <si>
    <t>113-0394868-2261029</t>
  </si>
  <si>
    <t>2018-06-15T01:08:47+00:00</t>
  </si>
  <si>
    <t>2018-06-15T12:36:10+00:00</t>
  </si>
  <si>
    <t>SAN FRANCISCO</t>
  </si>
  <si>
    <t>94116-1218</t>
  </si>
  <si>
    <t>112-8157397-1530667</t>
  </si>
  <si>
    <t>2018-06-15T00:05:59+00:00</t>
  </si>
  <si>
    <t>2018-06-17T19:41:35+00:00</t>
  </si>
  <si>
    <t>MC CALLA</t>
  </si>
  <si>
    <t>35111-3052</t>
  </si>
  <si>
    <t>112-0477416-1769826</t>
  </si>
  <si>
    <t>2018-06-16T23:59:51+00:00</t>
  </si>
  <si>
    <t>2018-06-17T20:50:53+00:00</t>
  </si>
  <si>
    <t>DALLAS</t>
  </si>
  <si>
    <t>75252-8551</t>
  </si>
  <si>
    <t>113-2786427-4212213</t>
  </si>
  <si>
    <t>2018-06-16T23:38:59+00:00</t>
  </si>
  <si>
    <t>2018-06-17T05:28:39+00:00</t>
  </si>
  <si>
    <t>LOUDON</t>
  </si>
  <si>
    <t>37774-3520</t>
  </si>
  <si>
    <t>113-3120446-3217823</t>
  </si>
  <si>
    <t>2018-06-16T23:27:30+00:00</t>
  </si>
  <si>
    <t>2018-06-18T01:28:25+00:00</t>
  </si>
  <si>
    <t>luciphia Pet Food Bowl Stainless Steel Non Skid Pet Paws Doodler Dish Perfect for a Small Dog Cat Kitten Puppy (set of 2)</t>
  </si>
  <si>
    <t>SANTA CLARITA</t>
  </si>
  <si>
    <t>91387-1419</t>
  </si>
  <si>
    <t>113-8018853-4771447</t>
  </si>
  <si>
    <t>2018-06-16T21:50:56+00:00</t>
  </si>
  <si>
    <t>2018-06-18T16:25:26+00:00</t>
  </si>
  <si>
    <t>Hillsboro</t>
  </si>
  <si>
    <t>112-4756112-7072237</t>
  </si>
  <si>
    <t>2018-06-16T21:35:44+00:00</t>
  </si>
  <si>
    <t>2018-06-18T07:45:10+00:00</t>
  </si>
  <si>
    <t>BETHLEHEM</t>
  </si>
  <si>
    <t>18017-9198</t>
  </si>
  <si>
    <t>114-3209415-7903416</t>
  </si>
  <si>
    <t>2018-06-16T21:22:33+00:00</t>
  </si>
  <si>
    <t>2018-06-17T05:22:52+00:00</t>
  </si>
  <si>
    <t>BOCA RATON</t>
  </si>
  <si>
    <t>33487-1585</t>
  </si>
  <si>
    <t>114-3670651-5794643</t>
  </si>
  <si>
    <t>2018-06-16T21:02:10+00:00</t>
  </si>
  <si>
    <t>2018-06-19T16:31:29+00:00</t>
  </si>
  <si>
    <t>WATERLOO</t>
  </si>
  <si>
    <t>29384-3429</t>
  </si>
  <si>
    <t>111-8782638-1346603</t>
  </si>
  <si>
    <t>2018-06-16T20:57:06+00:00</t>
  </si>
  <si>
    <t>2018-06-17T15:04:21+00:00</t>
  </si>
  <si>
    <t>MAHWAH</t>
  </si>
  <si>
    <t>07430-2399</t>
  </si>
  <si>
    <t>114-5744802-5349805</t>
  </si>
  <si>
    <t>2018-06-16T20:35:37+00:00</t>
  </si>
  <si>
    <t>2018-06-16T20:36:40+00:00</t>
  </si>
  <si>
    <t>HENDERSONVILLE</t>
  </si>
  <si>
    <t>37075-5837</t>
  </si>
  <si>
    <t>113-8677230-1161800</t>
  </si>
  <si>
    <t>2018-06-16T20:17:33+00:00</t>
  </si>
  <si>
    <t>2018-06-16T20:31:14+00:00</t>
  </si>
  <si>
    <t>85339-5209</t>
  </si>
  <si>
    <t>111-5545580-9631433</t>
  </si>
  <si>
    <t>2018-06-16T19:47:48+00:00</t>
  </si>
  <si>
    <t>2018-06-17T20:36:56+00:00</t>
  </si>
  <si>
    <t>Woodland Hills</t>
  </si>
  <si>
    <t>112-0309882-8796249</t>
  </si>
  <si>
    <t>2018-06-16T19:44:41+00:00</t>
  </si>
  <si>
    <t>2018-06-18T18:57:22+00:00</t>
  </si>
  <si>
    <t>DOWNEY</t>
  </si>
  <si>
    <t>90240-2217</t>
  </si>
  <si>
    <t>114-7030517-7913832</t>
  </si>
  <si>
    <t>2018-06-16T19:31:28+00:00</t>
  </si>
  <si>
    <t>2018-06-18T09:00:29+00:00</t>
  </si>
  <si>
    <t>BLASDELL</t>
  </si>
  <si>
    <t>14219-2123</t>
  </si>
  <si>
    <t>113-7674864-1677817</t>
  </si>
  <si>
    <t>2018-06-16T18:54:38+00:00</t>
  </si>
  <si>
    <t>2018-06-19T00:45:22+00:00</t>
  </si>
  <si>
    <t>ACTON</t>
  </si>
  <si>
    <t>01720-5674</t>
  </si>
  <si>
    <t>114-6270574-0028264</t>
  </si>
  <si>
    <t>2018-06-16T18:40:36+00:00</t>
  </si>
  <si>
    <t>2018-06-18T22:35:22+00:00</t>
  </si>
  <si>
    <t>GLEN ALLEN</t>
  </si>
  <si>
    <t>23059-8512</t>
  </si>
  <si>
    <t>114-2831109-5014621</t>
  </si>
  <si>
    <t>2018-06-16T18:28:31+00:00</t>
  </si>
  <si>
    <t>2018-06-17T06:34:19+00:00</t>
  </si>
  <si>
    <t>92879-1066</t>
  </si>
  <si>
    <t>111-9445977-5329811</t>
  </si>
  <si>
    <t>2018-06-16T17:05:59+00:00</t>
  </si>
  <si>
    <t>2018-06-17T07:19:21+00:00</t>
  </si>
  <si>
    <t>Saint Albans</t>
  </si>
  <si>
    <t>112-5385662-1742653</t>
  </si>
  <si>
    <t>2018-06-16T17:03:03+00:00</t>
  </si>
  <si>
    <t>2018-06-17T09:03:23+00:00</t>
  </si>
  <si>
    <t>360 All Positions Detachable Ergonomic Baby Carrier For Infant Child Todller Blue 2</t>
  </si>
  <si>
    <t>BBBD-BUSB1605B-BL</t>
  </si>
  <si>
    <t>B07C178LY1</t>
  </si>
  <si>
    <t>Burlington</t>
  </si>
  <si>
    <t>112-8277770-2987444</t>
  </si>
  <si>
    <t>2018-06-16T16:51:38+00:00</t>
  </si>
  <si>
    <t>2018-06-18T01:22:25+00:00</t>
  </si>
  <si>
    <t>NORTH MIAMI</t>
  </si>
  <si>
    <t>33161-6081</t>
  </si>
  <si>
    <t>113-2513305-3649045</t>
  </si>
  <si>
    <t>2018-06-16T16:31:45+00:00</t>
  </si>
  <si>
    <t>2018-06-18T00:44:13+00:00</t>
  </si>
  <si>
    <t>11237-4943</t>
  </si>
  <si>
    <t>111-7757135-1353023</t>
  </si>
  <si>
    <t>2018-06-16T16:08:24+00:00</t>
  </si>
  <si>
    <t>2018-06-17T03:07:05+00:00</t>
  </si>
  <si>
    <t>SCF-B01-009</t>
  </si>
  <si>
    <t>B075XF8TFV</t>
  </si>
  <si>
    <t>Plymouth</t>
  </si>
  <si>
    <t>113-6280561-5791441</t>
  </si>
  <si>
    <t>2018-06-16T15:59:12+00:00</t>
  </si>
  <si>
    <t>2018-06-19T10:05:08+00:00</t>
  </si>
  <si>
    <t>KINGWOOD</t>
  </si>
  <si>
    <t>77345-2150</t>
  </si>
  <si>
    <t>112-9565415-2885821</t>
  </si>
  <si>
    <t>2018-06-16T15:40:02+00:00</t>
  </si>
  <si>
    <t>2018-06-17T06:50:40+00:00</t>
  </si>
  <si>
    <t>SPRING HILL</t>
  </si>
  <si>
    <t>37174-6104</t>
  </si>
  <si>
    <t>114-2845718-0626611</t>
  </si>
  <si>
    <t>2018-06-16T15:22:53+00:00</t>
  </si>
  <si>
    <t>2018-06-16T19:40:21+00:00</t>
  </si>
  <si>
    <t>77094-1282</t>
  </si>
  <si>
    <t>111-9490066-6726603</t>
  </si>
  <si>
    <t>2018-06-16T15:17:32+00:00</t>
  </si>
  <si>
    <t>2018-06-16T21:40:59+00:00</t>
  </si>
  <si>
    <t>114-9034830-1668223</t>
  </si>
  <si>
    <t>2018-06-16T15:17:29+00:00</t>
  </si>
  <si>
    <t>2018-06-18T19:25:47+00:00</t>
  </si>
  <si>
    <t>HOPKINSVILLE</t>
  </si>
  <si>
    <t>KY</t>
  </si>
  <si>
    <t>42240-5153</t>
  </si>
  <si>
    <t>114-7646190-4824243</t>
  </si>
  <si>
    <t>2018-06-16T15:10:29+00:00</t>
  </si>
  <si>
    <t>2018-06-17T13:05:21+00:00</t>
  </si>
  <si>
    <t>MARIETTA</t>
  </si>
  <si>
    <t>30068-2211</t>
  </si>
  <si>
    <t>113-8216185-1918665</t>
  </si>
  <si>
    <t>2018-06-16T14:15:41+00:00</t>
  </si>
  <si>
    <t>2018-06-17T09:07:14+00:00</t>
  </si>
  <si>
    <t>BEAVERTON</t>
  </si>
  <si>
    <t>97007-6171</t>
  </si>
  <si>
    <t>111-8172926-9381059</t>
  </si>
  <si>
    <t>2018-06-16T14:09:09+00:00</t>
  </si>
  <si>
    <t>2018-06-16T22:36:57+00:00</t>
  </si>
  <si>
    <t>77004-5843</t>
  </si>
  <si>
    <t>114-4821596-9833848</t>
  </si>
  <si>
    <t>2018-06-16T13:59:18+00:00</t>
  </si>
  <si>
    <t>2018-06-16T19:47:15+00:00</t>
  </si>
  <si>
    <t>CARLE PLACE</t>
  </si>
  <si>
    <t>11514-1438</t>
  </si>
  <si>
    <t>113-4346195-0417030</t>
  </si>
  <si>
    <t>2018-06-16T13:34:40+00:00</t>
  </si>
  <si>
    <t>2018-06-16T22:31:35+00:00</t>
  </si>
  <si>
    <t>LAKE STEVENS</t>
  </si>
  <si>
    <t>98258-3373</t>
  </si>
  <si>
    <t>114-8109710-9887454</t>
  </si>
  <si>
    <t>2018-06-16T13:30:08+00:00</t>
  </si>
  <si>
    <t>2018-06-19T20:02:05+00:00</t>
  </si>
  <si>
    <t>SPOKANE</t>
  </si>
  <si>
    <t>99205-1748</t>
  </si>
  <si>
    <t>114-2983193-8985829</t>
  </si>
  <si>
    <t>2018-06-16T13:29:15+00:00</t>
  </si>
  <si>
    <t>2018-06-17T09:35:19+00:00</t>
  </si>
  <si>
    <t>MENASHA</t>
  </si>
  <si>
    <t>54952-3337</t>
  </si>
  <si>
    <t>113-5243259-6561016</t>
  </si>
  <si>
    <t>2018-06-16T12:03:02+00:00</t>
  </si>
  <si>
    <t>2018-06-21T09:27:46+00:00</t>
  </si>
  <si>
    <t>TROY</t>
  </si>
  <si>
    <t>27371-8310</t>
  </si>
  <si>
    <t>111-4168284-1805001</t>
  </si>
  <si>
    <t>2018-06-16T07:35:44+00:00</t>
  </si>
  <si>
    <t>2018-06-18T19:26:03+00:00</t>
  </si>
  <si>
    <t>OCEANSIDE</t>
  </si>
  <si>
    <t>92057-3615</t>
  </si>
  <si>
    <t>111-4151850-7045018</t>
  </si>
  <si>
    <t>2018-06-16T05:38:50+00:00</t>
  </si>
  <si>
    <t>2018-06-18T19:29:18+00:00</t>
  </si>
  <si>
    <t>SARASOTA</t>
  </si>
  <si>
    <t>34238-5639</t>
  </si>
  <si>
    <t>114-4174044-8151451</t>
  </si>
  <si>
    <t>2018-06-16T05:21:27+00:00</t>
  </si>
  <si>
    <t>2018-06-19T02:21:51+00:00</t>
  </si>
  <si>
    <t>CLARINDA</t>
  </si>
  <si>
    <t>51632-4006</t>
  </si>
  <si>
    <t>111-4395406-0577068</t>
  </si>
  <si>
    <t>2018-06-16T04:47:46+00:00</t>
  </si>
  <si>
    <t>2018-06-17T03:02:24+00:00</t>
  </si>
  <si>
    <t>Rhome</t>
  </si>
  <si>
    <t>113-1915688-7333053</t>
  </si>
  <si>
    <t>2018-06-16T03:38:34+00:00</t>
  </si>
  <si>
    <t>2018-06-17T02:27:36+00:00</t>
  </si>
  <si>
    <t>RIPLEY</t>
  </si>
  <si>
    <t>25271-8404</t>
  </si>
  <si>
    <t>113-3770800-1796231</t>
  </si>
  <si>
    <t>2018-06-16T02:58:50+00:00</t>
  </si>
  <si>
    <t>2018-06-17T11:27:41+00:00</t>
  </si>
  <si>
    <t>PLANT CITY</t>
  </si>
  <si>
    <t>33566-7114</t>
  </si>
  <si>
    <t>114-5358076-7188243</t>
  </si>
  <si>
    <t>2018-06-16T02:48:16+00:00</t>
  </si>
  <si>
    <t>2018-06-16T09:12:27+00:00</t>
  </si>
  <si>
    <t>SCARSSDALE</t>
  </si>
  <si>
    <t>111-6395086-9849818</t>
  </si>
  <si>
    <t>2018-06-16T02:46:44+00:00</t>
  </si>
  <si>
    <t>2018-06-17T13:52:25+00:00</t>
  </si>
  <si>
    <t>JACKSON</t>
  </si>
  <si>
    <t>49203-5005</t>
  </si>
  <si>
    <t>114-8307879-7370614</t>
  </si>
  <si>
    <t>2018-06-16T02:32:53+00:00</t>
  </si>
  <si>
    <t>2018-06-17T22:12:27+00:00</t>
  </si>
  <si>
    <t>77345-3333</t>
  </si>
  <si>
    <t>113-8227524-8763416</t>
  </si>
  <si>
    <t>2018-06-16T02:13:57+00:00</t>
  </si>
  <si>
    <t>2018-06-18T16:16:50+00:00</t>
  </si>
  <si>
    <t>Grinnell</t>
  </si>
  <si>
    <t>Ks</t>
  </si>
  <si>
    <t>113-8450205-8220229</t>
  </si>
  <si>
    <t>2018-06-16T02:11:01+00:00</t>
  </si>
  <si>
    <t>2018-06-17T07:17:34+00:00</t>
  </si>
  <si>
    <t>Fountain Valley</t>
  </si>
  <si>
    <t>114-7284552-7018648</t>
  </si>
  <si>
    <t>2018-06-16T02:07:28+00:00</t>
  </si>
  <si>
    <t>2018-06-19T06:01:42+00:00</t>
  </si>
  <si>
    <t>Luciphia Women's Tops Long Sleeve A-Line Lace Stitching Trim Casual Tunic Dress M White</t>
  </si>
  <si>
    <t>LYQ-WF7125-WO-M</t>
  </si>
  <si>
    <t>B077XRYWSK</t>
  </si>
  <si>
    <t>Crestline</t>
  </si>
  <si>
    <t>California</t>
  </si>
  <si>
    <t>113-6943830-8771468</t>
  </si>
  <si>
    <t>2018-06-16T01:05:41+00:00</t>
  </si>
  <si>
    <t>2018-06-16T16:55:10+00:00</t>
  </si>
  <si>
    <t>Luciphia Pet Seat Cover With Side Flaps, Dog Viewing Window - Hammock Large Pet Back Seat Cover for Cars, Trucks, SUV - Non slip Waterproof</t>
  </si>
  <si>
    <t>DZ-IUYL210-BK</t>
  </si>
  <si>
    <t>B079JGMFTB</t>
  </si>
  <si>
    <t>WOBURN</t>
  </si>
  <si>
    <t>01801-4948</t>
  </si>
  <si>
    <t>114-0037942-8215464</t>
  </si>
  <si>
    <t>2018-06-16T00:31:32+00:00</t>
  </si>
  <si>
    <t>2018-06-16T16:11:17+00:00</t>
  </si>
  <si>
    <t>FONTANA</t>
  </si>
  <si>
    <t>92335-0239</t>
  </si>
  <si>
    <t>113-5760313-9753057</t>
  </si>
  <si>
    <t>2018-06-16T00:27:34+00:00</t>
  </si>
  <si>
    <t>2018-06-16T17:20:00+00:00</t>
  </si>
  <si>
    <t>Chandler</t>
  </si>
  <si>
    <t>113-4792325-2118615</t>
  </si>
  <si>
    <t>2018-06-16T00:08:58+00:00</t>
  </si>
  <si>
    <t>2018-06-17T02:38:46+00:00</t>
  </si>
  <si>
    <t>NIXA</t>
  </si>
  <si>
    <t>111-4727225-6369853</t>
  </si>
  <si>
    <t>2018-06-17T23:41:05+00:00</t>
  </si>
  <si>
    <t>2018-06-18T09:51:39+00:00</t>
  </si>
  <si>
    <t>GLENDALE</t>
  </si>
  <si>
    <t>91206-2305</t>
  </si>
  <si>
    <t>111-0954769-0039461</t>
  </si>
  <si>
    <t>2018-06-17T23:32:30+00:00</t>
  </si>
  <si>
    <t>2018-06-19T01:38:19+00:00</t>
  </si>
  <si>
    <t>01801-4548</t>
  </si>
  <si>
    <t>111-1373217-9694602</t>
  </si>
  <si>
    <t>2018-06-17T23:19:01+00:00</t>
  </si>
  <si>
    <t>2018-06-19T00:14:15+00:00</t>
  </si>
  <si>
    <t>Baldwin</t>
  </si>
  <si>
    <t>114-9390598-9104235</t>
  </si>
  <si>
    <t>2018-06-17T23:13:26+00:00</t>
  </si>
  <si>
    <t>2018-06-18T22:45:01+00:00</t>
  </si>
  <si>
    <t>Portland</t>
  </si>
  <si>
    <t>111-9548541-2335406</t>
  </si>
  <si>
    <t>2018-06-17T23:01:27+00:00</t>
  </si>
  <si>
    <t>2018-06-19T01:11:16+00:00</t>
  </si>
  <si>
    <t>BRANDON</t>
  </si>
  <si>
    <t>33511-4986</t>
  </si>
  <si>
    <t>114-2976098-0183409</t>
  </si>
  <si>
    <t>2018-06-17T22:59:53+00:00</t>
  </si>
  <si>
    <t>2018-06-19T00:19:59+00:00</t>
  </si>
  <si>
    <t>WILLISTON</t>
  </si>
  <si>
    <t>VT</t>
  </si>
  <si>
    <t>05495-9335</t>
  </si>
  <si>
    <t>111-2260900-1341833</t>
  </si>
  <si>
    <t>2018-06-17T22:58:01+00:00</t>
  </si>
  <si>
    <t>2018-06-18T04:04:48+00:00</t>
  </si>
  <si>
    <t>RENTON</t>
  </si>
  <si>
    <t>98059-4786</t>
  </si>
  <si>
    <t>114-1007688-3525005</t>
  </si>
  <si>
    <t>2018-06-17T22:12:00+00:00</t>
  </si>
  <si>
    <t>2018-06-19T19:37:32+00:00</t>
  </si>
  <si>
    <t>CARTERSVILLE</t>
  </si>
  <si>
    <t>30121-6078</t>
  </si>
  <si>
    <t>112-9283908-5253038</t>
  </si>
  <si>
    <t>2018-06-17T21:58:07+00:00</t>
  </si>
  <si>
    <t>2018-06-18T20:00:32+00:00</t>
  </si>
  <si>
    <t>95119-1524</t>
  </si>
  <si>
    <t>114-3611220-1821012</t>
  </si>
  <si>
    <t>2018-06-17T21:44:59+00:00</t>
  </si>
  <si>
    <t>2018-06-19T20:44:46+00:00</t>
  </si>
  <si>
    <t>Men's Short Sleeve Formal Dress Shirts Navy Medium</t>
  </si>
  <si>
    <t>ST173-NY-M</t>
  </si>
  <si>
    <t>B074SN3YQP</t>
  </si>
  <si>
    <t>ELIZABETHTON</t>
  </si>
  <si>
    <t>37643-2530</t>
  </si>
  <si>
    <t>112-8177057-4794620</t>
  </si>
  <si>
    <t>2018-06-17T21:42:13+00:00</t>
  </si>
  <si>
    <t>2018-06-18T18:28:57+00:00</t>
  </si>
  <si>
    <t>Bayonne</t>
  </si>
  <si>
    <t>113-2467445-1840224</t>
  </si>
  <si>
    <t>2018-06-17T21:32:10+00:00</t>
  </si>
  <si>
    <t>2018-06-19T12:25:03+00:00</t>
  </si>
  <si>
    <t>Luciphia Retractable Dog Walking Leash 16 ft for Small Medium Large Dogs - Up To 88 lb Dog - Ergonomic Grip - Waste Bag Dispenser and Collapsible Wate</t>
  </si>
  <si>
    <t>LGQ-IUYL100-BL</t>
  </si>
  <si>
    <t>B0798PCSXB</t>
  </si>
  <si>
    <t>Sierra Vista</t>
  </si>
  <si>
    <t>111-3394292-9909044</t>
  </si>
  <si>
    <t>2018-06-17T21:30:21+00:00</t>
  </si>
  <si>
    <t>2018-06-19T00:48:25+00:00</t>
  </si>
  <si>
    <t>Germantown</t>
  </si>
  <si>
    <t>113-1081073-1804248</t>
  </si>
  <si>
    <t>2018-06-17T21:23:07+00:00</t>
  </si>
  <si>
    <t>2018-06-18T20:24:03+00:00</t>
  </si>
  <si>
    <t>BASTROP</t>
  </si>
  <si>
    <t>78602-3997</t>
  </si>
  <si>
    <t>112-3109475-7827425</t>
  </si>
  <si>
    <t>2018-06-17T20:59:28+00:00</t>
  </si>
  <si>
    <t>2018-06-18T19:48:19+00:00</t>
  </si>
  <si>
    <t>SOUTH BURLINGTON</t>
  </si>
  <si>
    <t>05403-7859</t>
  </si>
  <si>
    <t>112-7702672-6397030</t>
  </si>
  <si>
    <t>2018-06-17T20:46:08+00:00</t>
  </si>
  <si>
    <t>2018-06-18T10:22:14+00:00</t>
  </si>
  <si>
    <t>HEATH</t>
  </si>
  <si>
    <t>75032-8865</t>
  </si>
  <si>
    <t>111-0418572-9770644</t>
  </si>
  <si>
    <t>2018-06-17T20:22:36+00:00</t>
  </si>
  <si>
    <t>2018-06-19T20:55:11+00:00</t>
  </si>
  <si>
    <t>MANCHESTER</t>
  </si>
  <si>
    <t>03102-8466</t>
  </si>
  <si>
    <t>113-5590851-5936241</t>
  </si>
  <si>
    <t>2018-06-17T19:16:11+00:00</t>
  </si>
  <si>
    <t>2018-06-18T10:52:58+00:00</t>
  </si>
  <si>
    <t>WAXAHACHIE</t>
  </si>
  <si>
    <t>75167-8127</t>
  </si>
  <si>
    <t>111-4220759-3686612</t>
  </si>
  <si>
    <t>2018-06-17T19:07:44+00:00</t>
  </si>
  <si>
    <t>2018-06-21T01:33:51+00:00</t>
  </si>
  <si>
    <t>luciphia Dog Bowl Stainless Steel With Rubber Base that Bowls Wont Slip Perfect for Middle Large Size Dogs Dog Food Bowl Water Bowl</t>
  </si>
  <si>
    <t>GW-LULHY-8.8</t>
  </si>
  <si>
    <t>B019V6P53K</t>
  </si>
  <si>
    <t>LOS ANGELES</t>
  </si>
  <si>
    <t>90023-3327</t>
  </si>
  <si>
    <t>114-7668513-0770617</t>
  </si>
  <si>
    <t>2018-06-17T18:47:31+00:00</t>
  </si>
  <si>
    <t>2018-06-18T18:24:03+00:00</t>
  </si>
  <si>
    <t>VIRGIE</t>
  </si>
  <si>
    <t>41572-9010</t>
  </si>
  <si>
    <t>112-8724224-6993067</t>
  </si>
  <si>
    <t>2018-06-17T18:42:59+00:00</t>
  </si>
  <si>
    <t>2018-06-19T13:41:57+00:00</t>
  </si>
  <si>
    <t>COLUMBUS</t>
  </si>
  <si>
    <t>43221-2689</t>
  </si>
  <si>
    <t>111-3234955-5993828</t>
  </si>
  <si>
    <t>2018-06-17T18:36:47+00:00</t>
  </si>
  <si>
    <t>2018-06-18T06:52:44+00:00</t>
  </si>
  <si>
    <t>Clarksville</t>
  </si>
  <si>
    <t>Tennessee</t>
  </si>
  <si>
    <t>111-2263271-5133038</t>
  </si>
  <si>
    <t>2018-06-17T17:59:20+00:00</t>
  </si>
  <si>
    <t>2018-06-18T21:28:36+00:00</t>
  </si>
  <si>
    <t>DORAL</t>
  </si>
  <si>
    <t>33126-1514</t>
  </si>
  <si>
    <t>112-1340416-0994663</t>
  </si>
  <si>
    <t>2018-06-17T17:24:06+00:00</t>
  </si>
  <si>
    <t>2018-06-18T04:43:01+00:00</t>
  </si>
  <si>
    <t>Venice</t>
  </si>
  <si>
    <t>114-6835366-0973007</t>
  </si>
  <si>
    <t>2018-06-17T17:13:49+00:00</t>
  </si>
  <si>
    <t>2018-06-18T19:37:33+00:00</t>
  </si>
  <si>
    <t>West Covina</t>
  </si>
  <si>
    <t>111-2729993-8361036</t>
  </si>
  <si>
    <t>2018-06-17T17:03:51+00:00</t>
  </si>
  <si>
    <t>2018-06-21T21:27:33+00:00</t>
  </si>
  <si>
    <t>Miami</t>
  </si>
  <si>
    <t>Fl</t>
  </si>
  <si>
    <t>111-4040400-6444255</t>
  </si>
  <si>
    <t>2018-06-17T16:19:54+00:00</t>
  </si>
  <si>
    <t>2018-06-19T20:18:49+00:00</t>
  </si>
  <si>
    <t>WINTER PARK</t>
  </si>
  <si>
    <t>32792-6027</t>
  </si>
  <si>
    <t>112-0615291-6700206</t>
  </si>
  <si>
    <t>2018-06-17T15:43:02+00:00</t>
  </si>
  <si>
    <t>2018-06-20T19:27:25+00:00</t>
  </si>
  <si>
    <t>60657-2016</t>
  </si>
  <si>
    <t>113-9379492-4513829</t>
  </si>
  <si>
    <t>2018-06-17T15:05:45+00:00</t>
  </si>
  <si>
    <t>2018-06-19T00:22:41+00:00</t>
  </si>
  <si>
    <t>mansfield</t>
  </si>
  <si>
    <t>111-0276177-6033018</t>
  </si>
  <si>
    <t>2018-06-17T14:56:43+00:00</t>
  </si>
  <si>
    <t>2018-06-19T14:13:52+00:00</t>
  </si>
  <si>
    <t>Grabill</t>
  </si>
  <si>
    <t>114-7873674-2836253</t>
  </si>
  <si>
    <t>2018-06-17T14:31:07+00:00</t>
  </si>
  <si>
    <t>2018-06-24T13:28:29+00:00</t>
  </si>
  <si>
    <t>NASHVILLE</t>
  </si>
  <si>
    <t>27856-9198</t>
  </si>
  <si>
    <t>114-6084215-1787418</t>
  </si>
  <si>
    <t>2018-06-17T14:24:47+00:00</t>
  </si>
  <si>
    <t>2018-06-19T21:44:30+00:00</t>
  </si>
  <si>
    <t>LA PORTE</t>
  </si>
  <si>
    <t>46350-8599</t>
  </si>
  <si>
    <t>114-6875500-5237057</t>
  </si>
  <si>
    <t>2018-06-17T14:22:52+00:00</t>
  </si>
  <si>
    <t>2018-06-18T16:52:46+00:00</t>
  </si>
  <si>
    <t>Charlottesville</t>
  </si>
  <si>
    <t>22903-7905</t>
  </si>
  <si>
    <t>114-6120726-3825021</t>
  </si>
  <si>
    <t>2018-06-17T13:36:22+00:00</t>
  </si>
  <si>
    <t>2018-06-18T21:32:52+00:00</t>
  </si>
  <si>
    <t>95124-1552</t>
  </si>
  <si>
    <t>111-5573367-6985828</t>
  </si>
  <si>
    <t>2018-06-17T13:25:53+00:00</t>
  </si>
  <si>
    <t>2018-06-17T22:34:18+00:00</t>
  </si>
  <si>
    <t>CASTLE ROCK</t>
  </si>
  <si>
    <t>80108-8440</t>
  </si>
  <si>
    <t>114-2124623-4725059</t>
  </si>
  <si>
    <t>2018-06-17T12:18:16+00:00</t>
  </si>
  <si>
    <t>2018-06-18T06:25:11+00:00</t>
  </si>
  <si>
    <t>23464-5428</t>
  </si>
  <si>
    <t>111-7520714-9793036</t>
  </si>
  <si>
    <t>2018-06-17T12:09:12+00:00</t>
  </si>
  <si>
    <t>2018-06-18T06:21:50+00:00</t>
  </si>
  <si>
    <t>CARNEYS POINT</t>
  </si>
  <si>
    <t>08069-2239</t>
  </si>
  <si>
    <t>113-4576016-1441059</t>
  </si>
  <si>
    <t>2018-06-17T11:36:29+00:00</t>
  </si>
  <si>
    <t>2018-06-18T06:47:27+00:00</t>
  </si>
  <si>
    <t>03062-2652</t>
  </si>
  <si>
    <t>111-8826665-0069010</t>
  </si>
  <si>
    <t>2018-06-17T10:30:47+00:00</t>
  </si>
  <si>
    <t>2018-06-18T01:15:55+00:00</t>
  </si>
  <si>
    <t>360 All Positions Detachable Ergonomic Baby Carrier For Infant Child Todller Coffee</t>
  </si>
  <si>
    <t>BBBD-BUSB1605A-CF</t>
  </si>
  <si>
    <t>B07C1LYHW7</t>
  </si>
  <si>
    <t>11214-1295</t>
  </si>
  <si>
    <t>111-2127003-1865805</t>
  </si>
  <si>
    <t>2018-06-17T10:13:40+00:00</t>
  </si>
  <si>
    <t>2018-06-17T10:19:22+00:00</t>
  </si>
  <si>
    <t>360 All Positions Detachable Ergonomic Baby Carrier For Infant Child Todller Red 2</t>
  </si>
  <si>
    <t>BBBD-BUSB1605B-RD</t>
  </si>
  <si>
    <t>B07CBPY63R</t>
  </si>
  <si>
    <t>111-0631334-0919424</t>
  </si>
  <si>
    <t>2018-06-17T09:59:09+00:00</t>
  </si>
  <si>
    <t>2018-06-20T07:03:53+00:00</t>
  </si>
  <si>
    <t>CENTRAL POINT</t>
  </si>
  <si>
    <t>97502-1067</t>
  </si>
  <si>
    <t>112-1616847-4862647</t>
  </si>
  <si>
    <t>2018-06-17T08:22:13+00:00</t>
  </si>
  <si>
    <t>2018-06-18T19:12:18+00:00</t>
  </si>
  <si>
    <t>PASADENA</t>
  </si>
  <si>
    <t>91106-3101</t>
  </si>
  <si>
    <t>113-6029213-8272209</t>
  </si>
  <si>
    <t>2018-06-17T06:04:20+00:00</t>
  </si>
  <si>
    <t>2018-06-19T04:03:16+00:00</t>
  </si>
  <si>
    <t>SHELBY TOWNSHIP</t>
  </si>
  <si>
    <t>48315-3651</t>
  </si>
  <si>
    <t>112-3547056-9119424</t>
  </si>
  <si>
    <t>2018-06-17T05:32:19+00:00</t>
  </si>
  <si>
    <t>2018-06-18T08:18:17+00:00</t>
  </si>
  <si>
    <t>Pennsville</t>
  </si>
  <si>
    <t>New Jersey</t>
  </si>
  <si>
    <t>111-0365901-4782649</t>
  </si>
  <si>
    <t>2018-06-17T04:35:48+00:00</t>
  </si>
  <si>
    <t>2018-06-18T17:41:57+00:00</t>
  </si>
  <si>
    <t>CRYSTAL</t>
  </si>
  <si>
    <t>55429-3608</t>
  </si>
  <si>
    <t>112-1316146-5191458</t>
  </si>
  <si>
    <t>2018-06-17T04:17:10+00:00</t>
  </si>
  <si>
    <t>2018-06-17T23:42:34+00:00</t>
  </si>
  <si>
    <t>94107-3492</t>
  </si>
  <si>
    <t>112-3922475-9018602</t>
  </si>
  <si>
    <t>2018-06-17T03:43:32+00:00</t>
  </si>
  <si>
    <t>2018-06-17T10:06:31+00:00</t>
  </si>
  <si>
    <t>Hamilton</t>
  </si>
  <si>
    <t>Ontario</t>
  </si>
  <si>
    <t>L8P 3N6</t>
  </si>
  <si>
    <t>113-6089813-0292230</t>
  </si>
  <si>
    <t>2018-06-17T03:42:00+00:00</t>
  </si>
  <si>
    <t>2018-06-18T07:36:02+00:00</t>
  </si>
  <si>
    <t>CHIMACUM</t>
  </si>
  <si>
    <t>98325-5400</t>
  </si>
  <si>
    <t>112-2649126-1209005</t>
  </si>
  <si>
    <t>2018-06-17T03:36:58+00:00</t>
  </si>
  <si>
    <t>2018-06-17T04:30:25+00:00</t>
  </si>
  <si>
    <t>113-8236484-8411455</t>
  </si>
  <si>
    <t>2018-06-17T03:31:14+00:00</t>
  </si>
  <si>
    <t>2018-06-19T01:08:53+00:00</t>
  </si>
  <si>
    <t>TAMPA</t>
  </si>
  <si>
    <t>33604-1320</t>
  </si>
  <si>
    <t>113-5756508-3581041</t>
  </si>
  <si>
    <t>2018-06-17T02:39:11+00:00</t>
  </si>
  <si>
    <t>2018-06-25T17:54:40+00:00</t>
  </si>
  <si>
    <t>Little Elm</t>
  </si>
  <si>
    <t>113-0471088-4241816</t>
  </si>
  <si>
    <t>2018-06-17T02:11:16+00:00</t>
  </si>
  <si>
    <t>2018-06-17T11:59:32+00:00</t>
  </si>
  <si>
    <t>MCCORDSVILLE</t>
  </si>
  <si>
    <t>46055-4462</t>
  </si>
  <si>
    <t>113-9043262-3343461</t>
  </si>
  <si>
    <t>2018-06-17T02:05:22+00:00</t>
  </si>
  <si>
    <t>2018-06-18T06:14:10+00:00</t>
  </si>
  <si>
    <t>GOLDSBORO</t>
  </si>
  <si>
    <t>27530-5336</t>
  </si>
  <si>
    <t>114-8995805-4752267</t>
  </si>
  <si>
    <t>2018-06-17T02:03:49+00:00</t>
  </si>
  <si>
    <t>2018-06-18T05:30:35+00:00</t>
  </si>
  <si>
    <t>Westminster</t>
  </si>
  <si>
    <t>112-4422441-0188265</t>
  </si>
  <si>
    <t>2018-06-17T01:59:35+00:00</t>
  </si>
  <si>
    <t>2018-06-21T16:35:26+00:00</t>
  </si>
  <si>
    <t>WARWICK</t>
  </si>
  <si>
    <t>10990-3451</t>
  </si>
  <si>
    <t>111-4709706-0572219</t>
  </si>
  <si>
    <t>2018-06-17T01:22:38+00:00</t>
  </si>
  <si>
    <t>2018-06-29T04:37:08+00:00</t>
  </si>
  <si>
    <t>CROMWELL</t>
  </si>
  <si>
    <t>06416-2432</t>
  </si>
  <si>
    <t>111-0194687-9992206</t>
  </si>
  <si>
    <t>2018-06-17T00:55:56+00:00</t>
  </si>
  <si>
    <t>2018-06-17T10:23:58+00:00</t>
  </si>
  <si>
    <t>78727-3006</t>
  </si>
  <si>
    <t>111-3966218-1685066</t>
  </si>
  <si>
    <t>2018-06-17T00:50:37+00:00</t>
  </si>
  <si>
    <t>2018-06-18T02:13:17+00:00</t>
  </si>
  <si>
    <t>SEATTLE</t>
  </si>
  <si>
    <t>98109-5001</t>
  </si>
  <si>
    <t>113-1918535-2861861</t>
  </si>
  <si>
    <t>2018-06-17T00:47:42+00:00</t>
  </si>
  <si>
    <t>2018-06-17T23:46:20+00:00</t>
  </si>
  <si>
    <t>PALM HARBOR</t>
  </si>
  <si>
    <t>34684-3939</t>
  </si>
  <si>
    <t>113-3899840-9128258</t>
  </si>
  <si>
    <t>2018-06-17T00:33:15+00:00</t>
  </si>
  <si>
    <t>2018-06-17T10:46:42+00:00</t>
  </si>
  <si>
    <t>COLUMBIA</t>
  </si>
  <si>
    <t>29201-1841</t>
  </si>
  <si>
    <t>114-7137166-4611421</t>
  </si>
  <si>
    <t>2018-06-18T23:50:04+00:00</t>
  </si>
  <si>
    <t>2018-06-20T04:09:17+00:00</t>
  </si>
  <si>
    <t>92120-1811</t>
  </si>
  <si>
    <t>113-9268385-4321854</t>
  </si>
  <si>
    <t>2018-06-18T23:19:00+00:00</t>
  </si>
  <si>
    <t>2018-06-20T01:23:07+00:00</t>
  </si>
  <si>
    <t>Bakersfield</t>
  </si>
  <si>
    <t>93305-1714</t>
  </si>
  <si>
    <t>111-2993501-3804237</t>
  </si>
  <si>
    <t>2018-06-18T23:10:23+00:00</t>
  </si>
  <si>
    <t>2018-06-19T10:36:50+00:00</t>
  </si>
  <si>
    <t>CANTON</t>
  </si>
  <si>
    <t>114-6821498-7149049</t>
  </si>
  <si>
    <t>2018-06-18T23:05:32+00:00</t>
  </si>
  <si>
    <t>2018-06-20T02:30:49+00:00</t>
  </si>
  <si>
    <t>Fort Myers</t>
  </si>
  <si>
    <t>Florida</t>
  </si>
  <si>
    <t>113-6873250-7074669</t>
  </si>
  <si>
    <t>2018-06-18T22:48:23+00:00</t>
  </si>
  <si>
    <t>2018-06-20T15:46:31+00:00</t>
  </si>
  <si>
    <t>Clarence</t>
  </si>
  <si>
    <t>112-7995773-2976266</t>
  </si>
  <si>
    <t>2018-06-18T22:29:23+00:00</t>
  </si>
  <si>
    <t>2018-06-19T21:28:16+00:00</t>
  </si>
  <si>
    <t>NORTH CHARLESTON</t>
  </si>
  <si>
    <t>29410-2060</t>
  </si>
  <si>
    <t>113-3973160-9815454</t>
  </si>
  <si>
    <t>2018-06-18T22:25:58+00:00</t>
  </si>
  <si>
    <t>2018-06-20T01:22:23+00:00</t>
  </si>
  <si>
    <t>CONSHOHOCKEN</t>
  </si>
  <si>
    <t>19428-4903</t>
  </si>
  <si>
    <t>113-6976759-4774613</t>
  </si>
  <si>
    <t>2018-06-18T22:24:58+00:00</t>
  </si>
  <si>
    <t>2018-06-19T09:35:41+00:00</t>
  </si>
  <si>
    <t>Men's Long Sleeve Formal Business Dress Shirts White Large</t>
  </si>
  <si>
    <t>ST172-WT2-L</t>
  </si>
  <si>
    <t>B074SWFPBG</t>
  </si>
  <si>
    <t>San Jose</t>
  </si>
  <si>
    <t>95113-2533</t>
  </si>
  <si>
    <t>111-7027606-1361854</t>
  </si>
  <si>
    <t>2018-06-18T22:21:42+00:00</t>
  </si>
  <si>
    <t>2018-06-20T07:39:55+00:00</t>
  </si>
  <si>
    <t>02116-2672</t>
  </si>
  <si>
    <t>111-8562665-7417050</t>
  </si>
  <si>
    <t>2018-06-18T22:21:14+00:00</t>
  </si>
  <si>
    <t>2018-06-19T20:36:22+00:00</t>
  </si>
  <si>
    <t>LUSBY</t>
  </si>
  <si>
    <t>20657-2674</t>
  </si>
  <si>
    <t>113-7157328-0437038</t>
  </si>
  <si>
    <t>2018-06-18T22:16:57+00:00</t>
  </si>
  <si>
    <t>2018-06-19T21:24:48+00:00</t>
  </si>
  <si>
    <t>ROCK RAPIDS</t>
  </si>
  <si>
    <t>51246-2090</t>
  </si>
  <si>
    <t>111-8335982-2931418</t>
  </si>
  <si>
    <t>2018-06-18T22:12:17+00:00</t>
  </si>
  <si>
    <t>2018-06-19T03:48:10+00:00</t>
  </si>
  <si>
    <t>Men's Long Sleeve Formal Business Dress Shirts Water White Large</t>
  </si>
  <si>
    <t>ST172-WT1-L</t>
  </si>
  <si>
    <t>B074SWPTKB</t>
  </si>
  <si>
    <t>SOUTH POINT</t>
  </si>
  <si>
    <t>45680-7497</t>
  </si>
  <si>
    <t>113-6566894-1835424</t>
  </si>
  <si>
    <t>2018-06-18T21:33:13+00:00</t>
  </si>
  <si>
    <t>2018-06-19T20:42:51+00:00</t>
  </si>
  <si>
    <t>NEW ORLEANS</t>
  </si>
  <si>
    <t>70124-1937</t>
  </si>
  <si>
    <t>112-4464546-7305042</t>
  </si>
  <si>
    <t>2018-06-18T20:39:08+00:00</t>
  </si>
  <si>
    <t>2018-06-20T04:14:18+00:00</t>
  </si>
  <si>
    <t>San Francisco</t>
  </si>
  <si>
    <t>113-7749476-8412218</t>
  </si>
  <si>
    <t>2018-06-18T20:33:15+00:00</t>
  </si>
  <si>
    <t>2018-06-20T06:39:55+00:00</t>
  </si>
  <si>
    <t>Santa Ana</t>
  </si>
  <si>
    <t>112-9960473-2137027</t>
  </si>
  <si>
    <t>2018-06-18T20:21:51+00:00</t>
  </si>
  <si>
    <t>2018-06-19T05:54:36+00:00</t>
  </si>
  <si>
    <t>19122-1239</t>
  </si>
  <si>
    <t>114-6764726-6553835</t>
  </si>
  <si>
    <t>2018-06-18T19:56:59+00:00</t>
  </si>
  <si>
    <t>2018-06-19T06:40:58+00:00</t>
  </si>
  <si>
    <t>TAFT</t>
  </si>
  <si>
    <t>78390-3136</t>
  </si>
  <si>
    <t>112-4894464-0261821</t>
  </si>
  <si>
    <t>2018-06-18T19:56:48+00:00</t>
  </si>
  <si>
    <t>2018-06-19T21:27:40+00:00</t>
  </si>
  <si>
    <t>GILBERT</t>
  </si>
  <si>
    <t>85295-1425</t>
  </si>
  <si>
    <t>114-9439275-0857840</t>
  </si>
  <si>
    <t>2018-06-18T19:49:31+00:00</t>
  </si>
  <si>
    <t>2018-06-19T21:36:51+00:00</t>
  </si>
  <si>
    <t>MANHATTAN</t>
  </si>
  <si>
    <t>66502-5600</t>
  </si>
  <si>
    <t>113-4772607-1297005</t>
  </si>
  <si>
    <t>2018-06-18T19:34:06+00:00</t>
  </si>
  <si>
    <t>2018-06-19T19:47:35+00:00</t>
  </si>
  <si>
    <t>TZ-IUYL240LHY-DOT-L</t>
  </si>
  <si>
    <t>112-1574950-5651423</t>
  </si>
  <si>
    <t>2018-06-18T19:08:07+00:00</t>
  </si>
  <si>
    <t>2018-06-19T15:29:22+00:00</t>
  </si>
  <si>
    <t>REDONDO BEACH</t>
  </si>
  <si>
    <t>90277-2646</t>
  </si>
  <si>
    <t>111-7081449-2377814</t>
  </si>
  <si>
    <t>2018-06-18T18:39:00+00:00</t>
  </si>
  <si>
    <t>2018-06-22T22:37:17+00:00</t>
  </si>
  <si>
    <t>33166-6673</t>
  </si>
  <si>
    <t>111-6878956-4507451</t>
  </si>
  <si>
    <t>2018-06-18T18:20:51+00:00</t>
  </si>
  <si>
    <t>2018-06-20T06:33:34+00:00</t>
  </si>
  <si>
    <t>DRAPER</t>
  </si>
  <si>
    <t>84020-5649</t>
  </si>
  <si>
    <t>111-6758798-5021067</t>
  </si>
  <si>
    <t>2018-06-18T18:16:19+00:00</t>
  </si>
  <si>
    <t>2018-06-19T09:40:25+00:00</t>
  </si>
  <si>
    <t>33026-3649</t>
  </si>
  <si>
    <t>114-1395971-5516226</t>
  </si>
  <si>
    <t>2018-06-18T17:39:39+00:00</t>
  </si>
  <si>
    <t>2018-06-19T20:36:09+00:00</t>
  </si>
  <si>
    <t>EUREKA</t>
  </si>
  <si>
    <t>95501-2234</t>
  </si>
  <si>
    <t>114-9647933-3479417</t>
  </si>
  <si>
    <t>2018-06-18T17:14:38+00:00</t>
  </si>
  <si>
    <t>2018-06-19T09:24:04+00:00</t>
  </si>
  <si>
    <t>PORT LAVACA</t>
  </si>
  <si>
    <t>77979-2728</t>
  </si>
  <si>
    <t>112-7413976-8381011</t>
  </si>
  <si>
    <t>2018-06-18T17:13:13+00:00</t>
  </si>
  <si>
    <t>2018-06-19T04:56:39+00:00</t>
  </si>
  <si>
    <t>Cincinnati</t>
  </si>
  <si>
    <t>113-8955449-3196206</t>
  </si>
  <si>
    <t>2018-06-18T17:07:25+00:00</t>
  </si>
  <si>
    <t>2018-06-20T02:53:16+00:00</t>
  </si>
  <si>
    <t>JERSEY CITY</t>
  </si>
  <si>
    <t>07310-2743</t>
  </si>
  <si>
    <t>113-9862615-1137044</t>
  </si>
  <si>
    <t>2018-06-18T16:59:55+00:00</t>
  </si>
  <si>
    <t>2018-06-20T08:03:15+00:00</t>
  </si>
  <si>
    <t>luciphia 1 Pack 3 Blankets Super Soft Fluffy Premium Fleece Pet Blanket Flannel Throw for Dog Puppy Cat Bear Medium</t>
  </si>
  <si>
    <t>TZ-IUYL240-BEAR-M</t>
  </si>
  <si>
    <t>B07DFC3CFS</t>
  </si>
  <si>
    <t>34684-4200</t>
  </si>
  <si>
    <t>113-7797739-5202604</t>
  </si>
  <si>
    <t>2018-06-18T16:52:24+00:00</t>
  </si>
  <si>
    <t>2018-06-19T19:08:04+00:00</t>
  </si>
  <si>
    <t>LOMA LINDA</t>
  </si>
  <si>
    <t>92354-6543</t>
  </si>
  <si>
    <t>111-4990322-7083469</t>
  </si>
  <si>
    <t>2018-06-18T16:40:22+00:00</t>
  </si>
  <si>
    <t>2018-06-19T10:41:05+00:00</t>
  </si>
  <si>
    <t>PEQUOT LAKES</t>
  </si>
  <si>
    <t>56472-3034</t>
  </si>
  <si>
    <t>111-3724481-8609809</t>
  </si>
  <si>
    <t>2018-06-18T15:20:23+00:00</t>
  </si>
  <si>
    <t>2018-06-19T06:35:08+00:00</t>
  </si>
  <si>
    <t>43202-1222</t>
  </si>
  <si>
    <t>114-5599824-2048213</t>
  </si>
  <si>
    <t>2018-06-18T15:14:43+00:00</t>
  </si>
  <si>
    <t>2018-06-18T21:37:11+00:00</t>
  </si>
  <si>
    <t>ROSEVILLE</t>
  </si>
  <si>
    <t>95661-3415</t>
  </si>
  <si>
    <t>113-0123168-2322623</t>
  </si>
  <si>
    <t>2018-06-18T15:01:11+00:00</t>
  </si>
  <si>
    <t>2018-06-18T21:28:16+00:00</t>
  </si>
  <si>
    <t>MONTGOMERY</t>
  </si>
  <si>
    <t>36116-5170</t>
  </si>
  <si>
    <t>112-7742340-0756247</t>
  </si>
  <si>
    <t>2018-06-18T15:00:18+00:00</t>
  </si>
  <si>
    <t>2018-06-19T07:38:28+00:00</t>
  </si>
  <si>
    <t>91205-2450</t>
  </si>
  <si>
    <t>112-1711398-2953850</t>
  </si>
  <si>
    <t>2018-06-18T14:50:15+00:00</t>
  </si>
  <si>
    <t>2018-06-19T04:40:46+00:00</t>
  </si>
  <si>
    <t>WOODSTOCK</t>
  </si>
  <si>
    <t>21163-1483</t>
  </si>
  <si>
    <t>113-8938629-6694610</t>
  </si>
  <si>
    <t>2018-06-18T14:44:24+00:00</t>
  </si>
  <si>
    <t>2018-06-18T19:07:52+00:00</t>
  </si>
  <si>
    <t>OVIEDO</t>
  </si>
  <si>
    <t>32765-7029</t>
  </si>
  <si>
    <t>113-9237265-7050621</t>
  </si>
  <si>
    <t>2018-06-18T14:08:57+00:00</t>
  </si>
  <si>
    <t>2018-06-20T07:21:55+00:00</t>
  </si>
  <si>
    <t>32789-5814</t>
  </si>
  <si>
    <t>113-5607796-9269063</t>
  </si>
  <si>
    <t>2018-06-18T13:37:40+00:00</t>
  </si>
  <si>
    <t>2018-06-19T06:33:12+00:00</t>
  </si>
  <si>
    <t>RIALTO</t>
  </si>
  <si>
    <t>92376-3611</t>
  </si>
  <si>
    <t>112-0892853-3881868</t>
  </si>
  <si>
    <t>2018-06-18T12:10:30+00:00</t>
  </si>
  <si>
    <t>2018-06-19T20:10:07+00:00</t>
  </si>
  <si>
    <t>MAYS LANDING</t>
  </si>
  <si>
    <t>08330-3820</t>
  </si>
  <si>
    <t>113-4926423-7749066</t>
  </si>
  <si>
    <t>2018-06-18T10:08:56+00:00</t>
  </si>
  <si>
    <t>2018-06-19T20:56:12+00:00</t>
  </si>
  <si>
    <t>03062-2661</t>
  </si>
  <si>
    <t>璐拱????2018/06/03 2-51-42-74,璐拱????2018/06/07 14-38-29-995</t>
  </si>
  <si>
    <t>璐拱????2018/06/07 14-38-29-995</t>
  </si>
  <si>
    <t>113-3909116-4029008</t>
  </si>
  <si>
    <t>2018-06-18T07:11:55+00:00</t>
  </si>
  <si>
    <t>2018-06-18T17:16:50+00:00</t>
  </si>
  <si>
    <t>113-3085648-0122651</t>
  </si>
  <si>
    <t>2018-06-18T06:25:47+00:00</t>
  </si>
  <si>
    <t>2018-06-22T05:50:11+00:00</t>
  </si>
  <si>
    <t>SCF-B01-005</t>
  </si>
  <si>
    <t>B075XGCNH2</t>
  </si>
  <si>
    <t>Redmond</t>
  </si>
  <si>
    <t>114-5551790-1799434</t>
  </si>
  <si>
    <t>2018-06-18T06:12:04+00:00</t>
  </si>
  <si>
    <t>2018-06-19T00:26:43+00:00</t>
  </si>
  <si>
    <t>GREENFIELD</t>
  </si>
  <si>
    <t>53228-3141</t>
  </si>
  <si>
    <t>114-3949205-8193860</t>
  </si>
  <si>
    <t>2018-06-18T05:41:44+00:00</t>
  </si>
  <si>
    <t>2018-06-18T18:13:44+00:00</t>
  </si>
  <si>
    <t>80602-8854</t>
  </si>
  <si>
    <t>114-7984800-8834664</t>
  </si>
  <si>
    <t>2018-06-18T05:34:32+00:00</t>
  </si>
  <si>
    <t>2018-06-19T05:34:03+00:00</t>
  </si>
  <si>
    <t>95112-3524</t>
  </si>
  <si>
    <t>113-5557083-8084211</t>
  </si>
  <si>
    <t>2018-06-18T04:42:37+00:00</t>
  </si>
  <si>
    <t>2018-06-19T01:37:35+00:00</t>
  </si>
  <si>
    <t>SANTA YNEZ</t>
  </si>
  <si>
    <t>93460-9316</t>
  </si>
  <si>
    <t>114-8665752-4328201</t>
  </si>
  <si>
    <t>2018-06-18T04:05:28+00:00</t>
  </si>
  <si>
    <t>2018-06-18T15:30:10+00:00</t>
  </si>
  <si>
    <t>43235-6937</t>
  </si>
  <si>
    <t>114-3966841-0159437</t>
  </si>
  <si>
    <t>2018-06-18T03:58:40+00:00</t>
  </si>
  <si>
    <t>2018-06-19T04:19:26+00:00</t>
  </si>
  <si>
    <t>61107-5899</t>
  </si>
  <si>
    <t>112-1205624-3315460</t>
  </si>
  <si>
    <t>2018-06-18T03:57:11+00:00</t>
  </si>
  <si>
    <t>2018-06-20T22:44:40+00:00</t>
  </si>
  <si>
    <t>TZ-IUYL240LHY-ELPH-L</t>
  </si>
  <si>
    <t>VENTNOR CITY</t>
  </si>
  <si>
    <t>08406-1849</t>
  </si>
  <si>
    <t>113-7979043-2012212</t>
  </si>
  <si>
    <t>2018-06-18T02:52:26+00:00</t>
  </si>
  <si>
    <t>2018-06-19T07:22:46+00:00</t>
  </si>
  <si>
    <t>BARNESVILLE</t>
  </si>
  <si>
    <t>43713-1345</t>
  </si>
  <si>
    <t>112-4148181-1922607</t>
  </si>
  <si>
    <t>2018-06-18T02:43:28+00:00</t>
  </si>
  <si>
    <t>2018-06-20T22:41:59+00:00</t>
  </si>
  <si>
    <t>LITTLE ELM</t>
  </si>
  <si>
    <t>75068-6012</t>
  </si>
  <si>
    <t>112-7183664-8032228</t>
  </si>
  <si>
    <t>2018-06-18T02:42:41+00:00</t>
  </si>
  <si>
    <t>2018-06-19T03:43:46+00:00</t>
  </si>
  <si>
    <t>SCF-B01-004</t>
  </si>
  <si>
    <t>B075XH1TBD</t>
  </si>
  <si>
    <t>SCF-B01-007</t>
  </si>
  <si>
    <t>B075XCJ63F</t>
  </si>
  <si>
    <t>111-5361293-9825068</t>
  </si>
  <si>
    <t>2018-06-18T02:38:43+00:00</t>
  </si>
  <si>
    <t>2018-06-18T22:51:59+00:00</t>
  </si>
  <si>
    <t>HILO</t>
  </si>
  <si>
    <t>HI</t>
  </si>
  <si>
    <t>96720-1453</t>
  </si>
  <si>
    <t>111-7317873-8833000</t>
  </si>
  <si>
    <t>2018-06-18T02:15:02+00:00</t>
  </si>
  <si>
    <t>2018-06-19T06:30:25+00:00</t>
  </si>
  <si>
    <t>33126-6070</t>
  </si>
  <si>
    <t>114-1595034-0066600</t>
  </si>
  <si>
    <t>2018-06-18T00:30:28+00:00</t>
  </si>
  <si>
    <t>2018-06-18T09:47:25+00:00</t>
  </si>
  <si>
    <t>ST JOHNSBURY</t>
  </si>
  <si>
    <t>05819-2147</t>
  </si>
  <si>
    <t>114-2308035-1935440</t>
  </si>
  <si>
    <t>2018-06-18T00:12:30+00:00</t>
  </si>
  <si>
    <t>2018-06-19T20:54:28+00:00</t>
  </si>
  <si>
    <t>TEWKSBURY</t>
  </si>
  <si>
    <t>01876-2114</t>
  </si>
  <si>
    <t>114-8705768-1319424</t>
  </si>
  <si>
    <t>2018-06-18T00:08:23+00:00</t>
  </si>
  <si>
    <t>2018-06-19T16:09:34+00:00</t>
  </si>
  <si>
    <t>LEONARDTOWN</t>
  </si>
  <si>
    <t>20650-4732</t>
  </si>
  <si>
    <t>114-5930250-9019412</t>
  </si>
  <si>
    <t>2018-06-19T23:07:43+00:00</t>
  </si>
  <si>
    <t>2018-06-21T07:36:32+00:00</t>
  </si>
  <si>
    <t>HOLLY SPRINGS</t>
  </si>
  <si>
    <t>27540-4451</t>
  </si>
  <si>
    <t>112-8146868-9631413</t>
  </si>
  <si>
    <t>2018-06-19T22:54:11+00:00</t>
  </si>
  <si>
    <t>2018-06-21T06:14:02+00:00</t>
  </si>
  <si>
    <t>Luciphia Women's Tops Long Sleeve A-Line Lace Stitching Trim Casual Tunic Dress L Brown</t>
  </si>
  <si>
    <t>LYQ-WF7125-NO-L</t>
  </si>
  <si>
    <t>B077XRZBGV</t>
  </si>
  <si>
    <t>Pacoima</t>
  </si>
  <si>
    <t>111-8850267-1235435</t>
  </si>
  <si>
    <t>2018-06-19T22:30:22+00:00</t>
  </si>
  <si>
    <t>2018-06-20T23:42:14+00:00</t>
  </si>
  <si>
    <t>78746-6757</t>
  </si>
  <si>
    <t>114-9795286-8125054</t>
  </si>
  <si>
    <t>2018-06-19T22:26:20+00:00</t>
  </si>
  <si>
    <t>2018-06-21T05:40:41+00:00</t>
  </si>
  <si>
    <t>97206-2333</t>
  </si>
  <si>
    <t>112-3574781-5595428</t>
  </si>
  <si>
    <t>2018-06-19T21:48:02+00:00</t>
  </si>
  <si>
    <t>2018-06-21T04:16:24+00:00</t>
  </si>
  <si>
    <t>TACOMA</t>
  </si>
  <si>
    <t>98404-5405</t>
  </si>
  <si>
    <t>113-0854655-2555453</t>
  </si>
  <si>
    <t>2018-06-19T21:40:30+00:00</t>
  </si>
  <si>
    <t>2018-06-21T03:55:52+00:00</t>
  </si>
  <si>
    <t>MARCELLUS</t>
  </si>
  <si>
    <t>13108-9709</t>
  </si>
  <si>
    <t>111-7835644-0777852</t>
  </si>
  <si>
    <t>2018-06-19T21:14:10+00:00</t>
  </si>
  <si>
    <t>2018-06-20T07:38:02+00:00</t>
  </si>
  <si>
    <t>STEM</t>
  </si>
  <si>
    <t>27581-9659</t>
  </si>
  <si>
    <t>111-4895772-9391435</t>
  </si>
  <si>
    <t>2018-06-19T20:18:32+00:00</t>
  </si>
  <si>
    <t>2018-06-20T21:41:49+00:00</t>
  </si>
  <si>
    <t>PLANO</t>
  </si>
  <si>
    <t>75074-7473</t>
  </si>
  <si>
    <t>114-8811394-7879468</t>
  </si>
  <si>
    <t>2018-06-19T19:40:09+00:00</t>
  </si>
  <si>
    <t>2018-06-21T01:27:18+00:00</t>
  </si>
  <si>
    <t>WESTLAKE VILLAGE</t>
  </si>
  <si>
    <t>91361-2128</t>
  </si>
  <si>
    <t>111-9034548-3398667</t>
  </si>
  <si>
    <t>2018-06-19T19:17:36+00:00</t>
  </si>
  <si>
    <t>2018-06-21T03:04:37+00:00</t>
  </si>
  <si>
    <t>HUNTSVILLE</t>
  </si>
  <si>
    <t>35824-2946</t>
  </si>
  <si>
    <t>111-0691889-2585055</t>
  </si>
  <si>
    <t>2018-06-19T18:44:39+00:00</t>
  </si>
  <si>
    <t>2018-06-19T21:12:21+00:00</t>
  </si>
  <si>
    <t>luciphia 1 Pack 3 Blankets Super Soft Fluffy Premium Fleece Pet Blanket Flannel Throw for Dog Puppy Cat Bear Large</t>
  </si>
  <si>
    <t>TZ-IUYL240-BEAR-L</t>
  </si>
  <si>
    <t>B07DFBHNBF</t>
  </si>
  <si>
    <t>HIDDEN HILLS</t>
  </si>
  <si>
    <t>91302-1125</t>
  </si>
  <si>
    <t>112-9940021-9749065</t>
  </si>
  <si>
    <t>2018-06-19T18:17:17+00:00</t>
  </si>
  <si>
    <t>2018-06-22T06:38:42+00:00</t>
  </si>
  <si>
    <t>FOREST LAKE</t>
  </si>
  <si>
    <t>114-3416886-3801038</t>
  </si>
  <si>
    <t>2018-06-19T18:08:18+00:00</t>
  </si>
  <si>
    <t>2018-06-20T07:32:00+00:00</t>
  </si>
  <si>
    <t>NEWPORT BEACH</t>
  </si>
  <si>
    <t>92660-0273</t>
  </si>
  <si>
    <t>113-1076725-4876226</t>
  </si>
  <si>
    <t>2018-06-19T17:57:03+00:00</t>
  </si>
  <si>
    <t>2018-06-19T23:59:45+00:00</t>
  </si>
  <si>
    <t>PEMBROKE PINES</t>
  </si>
  <si>
    <t>111-9893433-4441808</t>
  </si>
  <si>
    <t>2018-06-19T17:56:53+00:00</t>
  </si>
  <si>
    <t>2018-06-21T06:57:10+00:00</t>
  </si>
  <si>
    <t>Hudson</t>
  </si>
  <si>
    <t>114-6735244-2329042</t>
  </si>
  <si>
    <t>2018-06-19T17:41:43+00:00</t>
  </si>
  <si>
    <t>2018-06-20T07:02:31+00:00</t>
  </si>
  <si>
    <t>BABYLAB 360 All Positions Detachable Ergonomic Baby Carrier For Infant Child Todller Red</t>
  </si>
  <si>
    <t>BBBD-1605A-RD</t>
  </si>
  <si>
    <t>B07C178M2R</t>
  </si>
  <si>
    <t>SANTA CLAUS</t>
  </si>
  <si>
    <t>47579-6063</t>
  </si>
  <si>
    <t>113-8436278-3057809</t>
  </si>
  <si>
    <t>2018-06-19T17:40:39+00:00</t>
  </si>
  <si>
    <t>2018-06-21T04:55:27+00:00</t>
  </si>
  <si>
    <t>113-1744671-4141836</t>
  </si>
  <si>
    <t>2018-06-19T17:06:16+00:00</t>
  </si>
  <si>
    <t>2018-06-21T10:32:17+00:00</t>
  </si>
  <si>
    <t>VANCOUVER</t>
  </si>
  <si>
    <t>98661-5754</t>
  </si>
  <si>
    <t>113-2774075-4721813</t>
  </si>
  <si>
    <t>2018-06-19T16:53:43+00:00</t>
  </si>
  <si>
    <t>2018-06-19T20:42:44+00:00</t>
  </si>
  <si>
    <t>MOORESVILLE</t>
  </si>
  <si>
    <t>46158-1460</t>
  </si>
  <si>
    <t>112-7468283-6062600</t>
  </si>
  <si>
    <t>2018-06-19T16:52:49+00:00</t>
  </si>
  <si>
    <t>2018-06-21T22:19:11+00:00</t>
  </si>
  <si>
    <t>DANA POINT</t>
  </si>
  <si>
    <t>92629-5326</t>
  </si>
  <si>
    <t>113-0658222-0060258</t>
  </si>
  <si>
    <t>2018-06-19T16:10:51+00:00</t>
  </si>
  <si>
    <t>2018-06-19T21:25:21+00:00</t>
  </si>
  <si>
    <t>XQ-IUYL260-BK-S</t>
  </si>
  <si>
    <t>B079GPRVHY</t>
  </si>
  <si>
    <t>MCHENRY</t>
  </si>
  <si>
    <t>60050-7471</t>
  </si>
  <si>
    <t>111-7324238-8621067</t>
  </si>
  <si>
    <t>2018-06-19T15:46:55+00:00</t>
  </si>
  <si>
    <t>2018-06-19T15:50:17+00:00</t>
  </si>
  <si>
    <t>111-1872281-3219449</t>
  </si>
  <si>
    <t>2018-06-19T15:03:25+00:00</t>
  </si>
  <si>
    <t>2018-06-19T22:31:40+00:00</t>
  </si>
  <si>
    <t>REGO PARK</t>
  </si>
  <si>
    <t>11374-3512</t>
  </si>
  <si>
    <t>113-1962531-4183459</t>
  </si>
  <si>
    <t>2018-06-19T14:56:26+00:00</t>
  </si>
  <si>
    <t>2018-06-19T22:34:23+00:00</t>
  </si>
  <si>
    <t>REISTERSTOWN</t>
  </si>
  <si>
    <t>21136-6401</t>
  </si>
  <si>
    <t>112-1285776-0871467</t>
  </si>
  <si>
    <t>2018-06-19T14:08:56+00:00</t>
  </si>
  <si>
    <t>2018-06-20T03:29:25+00:00</t>
  </si>
  <si>
    <t>ROCHESTER</t>
  </si>
  <si>
    <t>14609-4858</t>
  </si>
  <si>
    <t>113-3309326-6153002</t>
  </si>
  <si>
    <t>2018-06-19T13:49:31+00:00</t>
  </si>
  <si>
    <t>2018-06-20T07:31:55+00:00</t>
  </si>
  <si>
    <t>CRYSTAL RIVER</t>
  </si>
  <si>
    <t>34428-2986</t>
  </si>
  <si>
    <t>114-1226805-4877039</t>
  </si>
  <si>
    <t>2018-06-19T13:48:03+00:00</t>
  </si>
  <si>
    <t>2018-06-20T03:48:51+00:00</t>
  </si>
  <si>
    <t>LGQ-IUYL100-YL</t>
  </si>
  <si>
    <t>B0798NZTJD</t>
  </si>
  <si>
    <t>32225-5299</t>
  </si>
  <si>
    <t>114-3996066-1435431</t>
  </si>
  <si>
    <t>2018-06-19T13:37:05+00:00</t>
  </si>
  <si>
    <t>2018-06-19T21:29:52+00:00</t>
  </si>
  <si>
    <t>KEYPORT</t>
  </si>
  <si>
    <t>07735-6017</t>
  </si>
  <si>
    <t>112-5828193-9315447</t>
  </si>
  <si>
    <t>2018-06-19T13:18:16+00:00</t>
  </si>
  <si>
    <t>2018-06-20T22:37:35+00:00</t>
  </si>
  <si>
    <t>east aurora</t>
  </si>
  <si>
    <t>113-5194034-2433856</t>
  </si>
  <si>
    <t>2018-06-19T13:03:20+00:00</t>
  </si>
  <si>
    <t>2018-06-20T23:40:11+00:00</t>
  </si>
  <si>
    <t>Medford</t>
  </si>
  <si>
    <t>97504-3663</t>
  </si>
  <si>
    <t>111-3408265-3795441</t>
  </si>
  <si>
    <t>2018-06-19T12:56:54+00:00</t>
  </si>
  <si>
    <t>2018-06-20T08:11:52+00:00</t>
  </si>
  <si>
    <t>11223-4624</t>
  </si>
  <si>
    <t>112-8768358-1196257</t>
  </si>
  <si>
    <t>2018-06-19T11:10:08+00:00</t>
  </si>
  <si>
    <t>2018-06-19T18:43:09+00:00</t>
  </si>
  <si>
    <t>LAKE HOPATCONG</t>
  </si>
  <si>
    <t>07849-1416</t>
  </si>
  <si>
    <t>114-5718114-6245020</t>
  </si>
  <si>
    <t>2018-06-19T11:06:02+00:00</t>
  </si>
  <si>
    <t>2018-06-20T07:04:05+00:00</t>
  </si>
  <si>
    <t>SOUTHFIELD</t>
  </si>
  <si>
    <t>48033-3366</t>
  </si>
  <si>
    <t>112-0784827-2921053</t>
  </si>
  <si>
    <t>2018-06-19T11:01:11+00:00</t>
  </si>
  <si>
    <t>2018-06-19T23:48:11+00:00</t>
  </si>
  <si>
    <t>Johnstown</t>
  </si>
  <si>
    <t>114-5071786-4902622</t>
  </si>
  <si>
    <t>2018-06-19T10:56:50+00:00</t>
  </si>
  <si>
    <t>2018-06-22T21:44:20+00:00</t>
  </si>
  <si>
    <t>GW-LULHY-5.1</t>
  </si>
  <si>
    <t>B078H79DCY</t>
  </si>
  <si>
    <t>Grantham</t>
  </si>
  <si>
    <t>112-7853717-7051466</t>
  </si>
  <si>
    <t>2018-06-19T10:15:30+00:00</t>
  </si>
  <si>
    <t>2018-06-20T02:33:43+00:00</t>
  </si>
  <si>
    <t>COLLEGE STATION</t>
  </si>
  <si>
    <t>111-8814436-8510614</t>
  </si>
  <si>
    <t>2018-06-19T09:28:11+00:00</t>
  </si>
  <si>
    <t>2018-06-21T15:56:37+00:00</t>
  </si>
  <si>
    <t>LANCASTER</t>
  </si>
  <si>
    <t>93534-5432</t>
  </si>
  <si>
    <t>111-5734606-3993033</t>
  </si>
  <si>
    <t>2018-06-19T06:27:05+00:00</t>
  </si>
  <si>
    <t>2018-06-20T04:39:58+00:00</t>
  </si>
  <si>
    <t>94131-2715</t>
  </si>
  <si>
    <t>111-9235726-7989024</t>
  </si>
  <si>
    <t>2018-06-19T06:19:28+00:00</t>
  </si>
  <si>
    <t>2018-06-19T22:20:51+00:00</t>
  </si>
  <si>
    <t>GLEN OAKS</t>
  </si>
  <si>
    <t>11004-1252</t>
  </si>
  <si>
    <t>112-4231497-8285837</t>
  </si>
  <si>
    <t>2018-06-19T05:46:10+00:00</t>
  </si>
  <si>
    <t>2018-06-20T22:37:33+00:00</t>
  </si>
  <si>
    <t>sauk village</t>
  </si>
  <si>
    <t>113-6823564-2395427</t>
  </si>
  <si>
    <t>2018-06-19T04:29:49+00:00</t>
  </si>
  <si>
    <t>2018-06-20T05:33:51+00:00</t>
  </si>
  <si>
    <t>luciphia 1 Pack 3 Blankets Super Soft Fluffy Premium Fleece Pet Blanket Flannel Throw for Dog Puppy Love Small</t>
  </si>
  <si>
    <t>TZ-IUYL240-LOVE-S</t>
  </si>
  <si>
    <t>B07DL5G8KV</t>
  </si>
  <si>
    <t>AURORA</t>
  </si>
  <si>
    <t>60506-6031</t>
  </si>
  <si>
    <t>112-2241592-9476243</t>
  </si>
  <si>
    <t>2018-06-19T04:12:26+00:00</t>
  </si>
  <si>
    <t>2018-06-20T03:18:35+00:00</t>
  </si>
  <si>
    <t>Brockway</t>
  </si>
  <si>
    <t>Pa</t>
  </si>
  <si>
    <t>114-8428429-1329814</t>
  </si>
  <si>
    <t>2018-06-19T04:08:53+00:00</t>
  </si>
  <si>
    <t>2018-06-20T18:09:14+00:00</t>
  </si>
  <si>
    <t>CEDAR PARK</t>
  </si>
  <si>
    <t>78613-1779</t>
  </si>
  <si>
    <t>112-0993819-1839404</t>
  </si>
  <si>
    <t>2018-06-19T03:03:01+00:00</t>
  </si>
  <si>
    <t>2018-06-19T19:26:44+00:00</t>
  </si>
  <si>
    <t>33155-1943</t>
  </si>
  <si>
    <t>114-9122588-2049052</t>
  </si>
  <si>
    <t>2018-06-19T02:53:20+00:00</t>
  </si>
  <si>
    <t>2018-06-19T08:35:58+00:00</t>
  </si>
  <si>
    <t>SAINT GEORGE</t>
  </si>
  <si>
    <t>84770-6793</t>
  </si>
  <si>
    <t>113-8695299-0296265</t>
  </si>
  <si>
    <t>2018-06-19T02:52:22+00:00</t>
  </si>
  <si>
    <t>2018-06-20T19:30:08+00:00</t>
  </si>
  <si>
    <t>INDIANA</t>
  </si>
  <si>
    <t>15701-4710</t>
  </si>
  <si>
    <t>113-2419147-7099449</t>
  </si>
  <si>
    <t>2018-06-19T02:32:26+00:00</t>
  </si>
  <si>
    <t>2018-06-19T18:53:42+00:00</t>
  </si>
  <si>
    <t>NORTH AUGUSTA</t>
  </si>
  <si>
    <t>29860-7718</t>
  </si>
  <si>
    <t>113-3642469-5216257</t>
  </si>
  <si>
    <t>2018-06-19T02:21:31+00:00</t>
  </si>
  <si>
    <t>2018-06-20T03:27:16+00:00</t>
  </si>
  <si>
    <t>FRANKLIN</t>
  </si>
  <si>
    <t>37064-4102</t>
  </si>
  <si>
    <t>112-2389254-8614630</t>
  </si>
  <si>
    <t>2018-06-19T02:19:59+00:00</t>
  </si>
  <si>
    <t>2018-06-20T01:34:13+00:00</t>
  </si>
  <si>
    <t>75206-6107</t>
  </si>
  <si>
    <t>113-4885880-7334657</t>
  </si>
  <si>
    <t>2018-06-19T02:11:13+00:00</t>
  </si>
  <si>
    <t>2018-06-19T07:26:01+00:00</t>
  </si>
  <si>
    <t>West Warwick</t>
  </si>
  <si>
    <t>112-0213568-4773816</t>
  </si>
  <si>
    <t>2018-06-19T01:52:10+00:00</t>
  </si>
  <si>
    <t>2018-06-24T12:29:30+00:00</t>
  </si>
  <si>
    <t>TAHOE CITY</t>
  </si>
  <si>
    <t>96145-0311</t>
  </si>
  <si>
    <t>113-7093005-8269041</t>
  </si>
  <si>
    <t>2018-06-19T01:44:09+00:00</t>
  </si>
  <si>
    <t>2018-06-20T14:45:49+00:00</t>
  </si>
  <si>
    <t>REDLANDS</t>
  </si>
  <si>
    <t>92373-5735</t>
  </si>
  <si>
    <t>114-9103296-9793032</t>
  </si>
  <si>
    <t>2018-06-19T01:29:00+00:00</t>
  </si>
  <si>
    <t>2018-06-21T07:41:07+00:00</t>
  </si>
  <si>
    <t>SOMERVILLE</t>
  </si>
  <si>
    <t>02144-2436</t>
  </si>
  <si>
    <t>113-4206409-9183410</t>
  </si>
  <si>
    <t>2018-06-19T01:07:17+00:00</t>
  </si>
  <si>
    <t>2018-06-20T05:05:36+00:00</t>
  </si>
  <si>
    <t>CARSON CITY</t>
  </si>
  <si>
    <t>NV</t>
  </si>
  <si>
    <t>89706-2519</t>
  </si>
  <si>
    <t>112-1716181-2018652</t>
  </si>
  <si>
    <t>2018-06-19T00:26:30+00:00</t>
  </si>
  <si>
    <t>2018-06-20T07:04:53+00:00</t>
  </si>
  <si>
    <t>Exeter</t>
  </si>
  <si>
    <t>112-7428434-1953044</t>
  </si>
  <si>
    <t>2018-06-19T00:15:44+00:00</t>
  </si>
  <si>
    <t>2018-06-21T02:09:23+00:00</t>
  </si>
  <si>
    <t>SHINGLE SPRINGS</t>
  </si>
  <si>
    <t>95682-8592</t>
  </si>
  <si>
    <t>114-8324338-3206600</t>
  </si>
  <si>
    <t>2018-06-19T00:10:23+00:00</t>
  </si>
  <si>
    <t>2018-06-20T21:37:08+00:00</t>
  </si>
  <si>
    <t>LAS VEGAS</t>
  </si>
  <si>
    <t>89121-3007</t>
  </si>
  <si>
    <t>112-3768385-5045808</t>
  </si>
  <si>
    <t>2018-06-19T00:09:13+00:00</t>
  </si>
  <si>
    <t>2018-06-20T07:00:25+00:00</t>
  </si>
  <si>
    <t>BONHAM</t>
  </si>
  <si>
    <t>75418-5199</t>
  </si>
  <si>
    <t>113-7882190-4542634</t>
  </si>
  <si>
    <t>2018-06-20T23:53:24+00:00</t>
  </si>
  <si>
    <t>2018-06-21T15:30:06+00:00</t>
  </si>
  <si>
    <t>Va</t>
  </si>
  <si>
    <t>112-9986042-9999420</t>
  </si>
  <si>
    <t>2018-06-20T23:31:38+00:00</t>
  </si>
  <si>
    <t>2018-06-22T00:36:39+00:00</t>
  </si>
  <si>
    <t>BALTIMORE</t>
  </si>
  <si>
    <t>21226-1339</t>
  </si>
  <si>
    <t>113-8915914-0159442</t>
  </si>
  <si>
    <t>2018-06-20T23:27:38+00:00</t>
  </si>
  <si>
    <t>2018-06-21T18:53:14+00:00</t>
  </si>
  <si>
    <t>SANTA FE SPRINGS</t>
  </si>
  <si>
    <t>90670-6909</t>
  </si>
  <si>
    <t>114-5987234-7639445</t>
  </si>
  <si>
    <t>2018-06-20T22:47:12+00:00</t>
  </si>
  <si>
    <t>2018-06-21T07:24:46+00:00</t>
  </si>
  <si>
    <t>Downers Grove</t>
  </si>
  <si>
    <t>112-8770447-5667447</t>
  </si>
  <si>
    <t>2018-06-20T21:55:09+00:00</t>
  </si>
  <si>
    <t>2018-06-22T06:36:29+00:00</t>
  </si>
  <si>
    <t>112-6761637-7378619</t>
  </si>
  <si>
    <t>2018-06-20T21:42:04+00:00</t>
  </si>
  <si>
    <t>2018-06-21T10:19:54+00:00</t>
  </si>
  <si>
    <t>SANTA ROSA BEACH</t>
  </si>
  <si>
    <t>32459-5605</t>
  </si>
  <si>
    <t>112-6398129-4946644</t>
  </si>
  <si>
    <t>2018-06-20T21:41:27+00:00</t>
  </si>
  <si>
    <t>2018-06-22T02:28:45+00:00</t>
  </si>
  <si>
    <t>CLEVELAND</t>
  </si>
  <si>
    <t>113-3756098-8728264</t>
  </si>
  <si>
    <t>2018-06-20T21:40:34+00:00</t>
  </si>
  <si>
    <t>2018-06-22T23:24:17+00:00</t>
  </si>
  <si>
    <t>REVERE</t>
  </si>
  <si>
    <t>02151-1705</t>
  </si>
  <si>
    <t>111-5257688-8903427</t>
  </si>
  <si>
    <t>2018-06-20T21:38:01+00:00</t>
  </si>
  <si>
    <t>2018-06-21T17:04:12+00:00</t>
  </si>
  <si>
    <t>28734-0319</t>
  </si>
  <si>
    <t>114-0634158-0956207</t>
  </si>
  <si>
    <t>2018-06-20T21:19:28+00:00</t>
  </si>
  <si>
    <t>2018-06-21T05:31:57+00:00</t>
  </si>
  <si>
    <t>92101-7849</t>
  </si>
  <si>
    <t>114-1546013-5389819</t>
  </si>
  <si>
    <t>2018-06-20T20:57:20+00:00</t>
  </si>
  <si>
    <t>2018-06-21T02:57:32+00:00</t>
  </si>
  <si>
    <t>NOVI</t>
  </si>
  <si>
    <t>48374-3435</t>
  </si>
  <si>
    <t>113-0234125-7259454</t>
  </si>
  <si>
    <t>2018-06-20T20:30:58+00:00</t>
  </si>
  <si>
    <t>2018-06-22T01:27:25+00:00</t>
  </si>
  <si>
    <t>55414-3118</t>
  </si>
  <si>
    <t>112-1850458-8048226</t>
  </si>
  <si>
    <t>2018-06-20T20:26:51+00:00</t>
  </si>
  <si>
    <t>2018-06-21T13:21:00+00:00</t>
  </si>
  <si>
    <t>10011-4548</t>
  </si>
  <si>
    <t>113-0730130-7908230</t>
  </si>
  <si>
    <t>2018-06-20T19:49:50+00:00</t>
  </si>
  <si>
    <t>2018-06-21T19:46:06+00:00</t>
  </si>
  <si>
    <t>11238-3816</t>
  </si>
  <si>
    <t>114-1369704-9184253</t>
  </si>
  <si>
    <t>2018-06-20T18:48:52+00:00</t>
  </si>
  <si>
    <t>2018-06-22T00:17:36+00:00</t>
  </si>
  <si>
    <t>SPRINGFIELD</t>
  </si>
  <si>
    <t>65807-3638</t>
  </si>
  <si>
    <t>113-2824543-2712251</t>
  </si>
  <si>
    <t>2018-06-20T18:46:42+00:00</t>
  </si>
  <si>
    <t>2018-06-24T20:58:15+00:00</t>
  </si>
  <si>
    <t>KATY</t>
  </si>
  <si>
    <t>77493-2679</t>
  </si>
  <si>
    <t>111-0953548-5161060</t>
  </si>
  <si>
    <t>2018-06-20T18:06:21+00:00</t>
  </si>
  <si>
    <t>2018-06-23T22:25:53+00:00</t>
  </si>
  <si>
    <t>33122-1556</t>
  </si>
  <si>
    <t>111-6232218-3173046</t>
  </si>
  <si>
    <t>2018-06-20T18:05:56+00:00</t>
  </si>
  <si>
    <t>2018-06-20T20:37:35+00:00</t>
  </si>
  <si>
    <t>CITRUS HEIGHTS</t>
  </si>
  <si>
    <t>95621-4251</t>
  </si>
  <si>
    <t>114-1921129-6545823</t>
  </si>
  <si>
    <t>2018-06-20T18:01:20+00:00</t>
  </si>
  <si>
    <t>2018-06-22T19:19:10+00:00</t>
  </si>
  <si>
    <t>NORTHGLENN</t>
  </si>
  <si>
    <t>80233-1335</t>
  </si>
  <si>
    <t>114-0331837-8709848</t>
  </si>
  <si>
    <t>2018-06-20T17:15:22+00:00</t>
  </si>
  <si>
    <t>2018-06-24T01:54:15+00:00</t>
  </si>
  <si>
    <t>SUNRISE</t>
  </si>
  <si>
    <t>33323-1104</t>
  </si>
  <si>
    <t>111-8073931-6381863</t>
  </si>
  <si>
    <t>2018-06-20T17:10:23+00:00</t>
  </si>
  <si>
    <t>2018-06-23T21:40:24+00:00</t>
  </si>
  <si>
    <t>ENFIELD</t>
  </si>
  <si>
    <t>03748-3563</t>
  </si>
  <si>
    <t>113-1956701-7769839</t>
  </si>
  <si>
    <t>2018-06-20T17:07:11+00:00</t>
  </si>
  <si>
    <t>2018-06-21T03:48:56+00:00</t>
  </si>
  <si>
    <t>OLATHE</t>
  </si>
  <si>
    <t>66062-6718</t>
  </si>
  <si>
    <t>114-3961568-1648244</t>
  </si>
  <si>
    <t>2018-06-20T17:01:20+00:00</t>
  </si>
  <si>
    <t>2018-06-21T23:40:10+00:00</t>
  </si>
  <si>
    <t>LEOMINSTER</t>
  </si>
  <si>
    <t>01453-4866</t>
  </si>
  <si>
    <t>113-1309174-3307432</t>
  </si>
  <si>
    <t>2018-06-20T16:59:31+00:00</t>
  </si>
  <si>
    <t>2018-06-21T04:13:18+00:00</t>
  </si>
  <si>
    <t>ROCK HILL</t>
  </si>
  <si>
    <t>29730-8125</t>
  </si>
  <si>
    <t>112-8857213-6122636</t>
  </si>
  <si>
    <t>2018-06-20T16:53:10+00:00</t>
  </si>
  <si>
    <t>2018-06-20T23:01:08+00:00</t>
  </si>
  <si>
    <t>EIELSON AFB</t>
  </si>
  <si>
    <t>AK</t>
  </si>
  <si>
    <t>99702-3108</t>
  </si>
  <si>
    <t>114-1490684-9669061</t>
  </si>
  <si>
    <t>2018-06-20T16:48:59+00:00</t>
  </si>
  <si>
    <t>2018-06-21T21:30:00+00:00</t>
  </si>
  <si>
    <t>Naples</t>
  </si>
  <si>
    <t>34119-3310</t>
  </si>
  <si>
    <t>111-7088072-9693845</t>
  </si>
  <si>
    <t>2018-06-20T16:08:46+00:00</t>
  </si>
  <si>
    <t>2018-06-24T17:50:01+00:00</t>
  </si>
  <si>
    <t>HOULTON</t>
  </si>
  <si>
    <t>04730-1937</t>
  </si>
  <si>
    <t>111-7736581-0565059</t>
  </si>
  <si>
    <t>2018-06-20T15:46:36+00:00</t>
  </si>
  <si>
    <t>2018-06-21T04:51:15+00:00</t>
  </si>
  <si>
    <t>MONTESANO</t>
  </si>
  <si>
    <t>98563-9722</t>
  </si>
  <si>
    <t>114-3021129-8299434</t>
  </si>
  <si>
    <t>2018-06-20T15:20:40+00:00</t>
  </si>
  <si>
    <t>2018-06-21T10:32:55+00:00</t>
  </si>
  <si>
    <t>Men's Long Sleeve Formal Business Dress Shirts Purple Medium</t>
  </si>
  <si>
    <t>ST172-PP-M</t>
  </si>
  <si>
    <t>B074SMT9CV</t>
  </si>
  <si>
    <t>27217-3158</t>
  </si>
  <si>
    <t>Men's Long Sleeve Formal Business Dress Shirts Navy Small</t>
  </si>
  <si>
    <t>ST172-NY-S</t>
  </si>
  <si>
    <t>B074SYY7Q7</t>
  </si>
  <si>
    <t>112-3608434-2801041</t>
  </si>
  <si>
    <t>2018-06-20T15:15:54+00:00</t>
  </si>
  <si>
    <t>2018-06-21T06:36:43+00:00</t>
  </si>
  <si>
    <t>37075-4589</t>
  </si>
  <si>
    <t>112-4806150-8546618</t>
  </si>
  <si>
    <t>2018-06-20T15:15:11+00:00</t>
  </si>
  <si>
    <t>2018-06-20T20:58:36+00:00</t>
  </si>
  <si>
    <t>TZ-IUYL240LHY-STAR-L</t>
  </si>
  <si>
    <t>HUDSON</t>
  </si>
  <si>
    <t>03051-3259</t>
  </si>
  <si>
    <t>111-9644662-4338627</t>
  </si>
  <si>
    <t>2018-06-20T15:04:04+00:00</t>
  </si>
  <si>
    <t>2018-06-22T02:55:41+00:00</t>
  </si>
  <si>
    <t>MORTON GROVE</t>
  </si>
  <si>
    <t>60053-2946</t>
  </si>
  <si>
    <t>114-5004984-0813028</t>
  </si>
  <si>
    <t>2018-06-20T14:25:32+00:00</t>
  </si>
  <si>
    <t>2018-06-22T12:44:42+00:00</t>
  </si>
  <si>
    <t>GW-LULHY-7.6</t>
  </si>
  <si>
    <t>B019V6RKPQ</t>
  </si>
  <si>
    <t>CAMBRIDGE</t>
  </si>
  <si>
    <t>02141-1861</t>
  </si>
  <si>
    <t>111-9789357-9116202</t>
  </si>
  <si>
    <t>2018-06-20T13:42:32+00:00</t>
  </si>
  <si>
    <t>2018-06-21T09:13:03+00:00</t>
  </si>
  <si>
    <t>NAPLES</t>
  </si>
  <si>
    <t>34116-7510</t>
  </si>
  <si>
    <t>112-9823525-1497828</t>
  </si>
  <si>
    <t>2018-06-20T13:32:45+00:00</t>
  </si>
  <si>
    <t>2018-06-20T23:05:48+00:00</t>
  </si>
  <si>
    <t>33029-5922</t>
  </si>
  <si>
    <t>111-3182676-7465801</t>
  </si>
  <si>
    <t>2018-06-20T12:45:16+00:00</t>
  </si>
  <si>
    <t>2018-06-21T06:25:33+00:00</t>
  </si>
  <si>
    <t>MONAHANS</t>
  </si>
  <si>
    <t>79756-5302</t>
  </si>
  <si>
    <t>113-7762269-5089863</t>
  </si>
  <si>
    <t>2018-06-20T12:00:57+00:00</t>
  </si>
  <si>
    <t>2018-06-21T10:34:07+00:00</t>
  </si>
  <si>
    <t>Houston</t>
  </si>
  <si>
    <t>111-4186276-4422611</t>
  </si>
  <si>
    <t>2018-06-20T11:57:12+00:00</t>
  </si>
  <si>
    <t>2018-06-21T20:23:52+00:00</t>
  </si>
  <si>
    <t>MEDWAY</t>
  </si>
  <si>
    <t>02053-2281</t>
  </si>
  <si>
    <t>112-2751580-8241860</t>
  </si>
  <si>
    <t>2018-06-20T11:17:00+00:00</t>
  </si>
  <si>
    <t>2018-06-21T06:39:46+00:00</t>
  </si>
  <si>
    <t>111-5329096-2057067</t>
  </si>
  <si>
    <t>2018-06-20T08:11:28+00:00</t>
  </si>
  <si>
    <t>2018-06-22T05:01:24+00:00</t>
  </si>
  <si>
    <t>DZ-IUYL220-GR</t>
  </si>
  <si>
    <t>B079JLS34D</t>
  </si>
  <si>
    <t>Singapore</t>
  </si>
  <si>
    <t>SG</t>
  </si>
  <si>
    <t>112-8095360-1897834</t>
  </si>
  <si>
    <t>2018-06-20T07:05:31+00:00</t>
  </si>
  <si>
    <t>2018-06-20T21:50:25+00:00</t>
  </si>
  <si>
    <t>PANAMA CITY</t>
  </si>
  <si>
    <t>32401-2013</t>
  </si>
  <si>
    <t>113-0026418-8265049</t>
  </si>
  <si>
    <t>2018-06-20T07:02:21+00:00</t>
  </si>
  <si>
    <t>2018-06-21T06:13:49+00:00</t>
  </si>
  <si>
    <t>SCF-D01-007</t>
  </si>
  <si>
    <t>B075WPHHKW</t>
  </si>
  <si>
    <t>TARZANA</t>
  </si>
  <si>
    <t>91356-2531</t>
  </si>
  <si>
    <t>111-4030955-9044265</t>
  </si>
  <si>
    <t>2018-06-20T06:33:07+00:00</t>
  </si>
  <si>
    <t>2018-06-20T18:26:53+00:00</t>
  </si>
  <si>
    <t>77340-6672</t>
  </si>
  <si>
    <t>111-0635407-8653826</t>
  </si>
  <si>
    <t>2018-06-20T06:07:46+00:00</t>
  </si>
  <si>
    <t>2018-06-21T07:47:56+00:00</t>
  </si>
  <si>
    <t>WINCHESTER</t>
  </si>
  <si>
    <t>92596-9206</t>
  </si>
  <si>
    <t>114-1578156-3450661</t>
  </si>
  <si>
    <t>2018-06-20T05:41:18+00:00</t>
  </si>
  <si>
    <t>2018-06-21T01:18:50+00:00</t>
  </si>
  <si>
    <t>BRIDGE CITY</t>
  </si>
  <si>
    <t>77611-2206</t>
  </si>
  <si>
    <t>113-8607715-8150659</t>
  </si>
  <si>
    <t>2018-06-20T04:33:28+00:00</t>
  </si>
  <si>
    <t>2018-06-21T06:56:24+00:00</t>
  </si>
  <si>
    <t>GRAND RAPIDS</t>
  </si>
  <si>
    <t>MINNESOTA</t>
  </si>
  <si>
    <t>55744-5399</t>
  </si>
  <si>
    <t>112-2046841-5755428</t>
  </si>
  <si>
    <t>2018-06-20T04:04:49+00:00</t>
  </si>
  <si>
    <t>2018-06-20T17:29:56+00:00</t>
  </si>
  <si>
    <t>112-3956185-7110665</t>
  </si>
  <si>
    <t>2018-06-20T03:58:53+00:00</t>
  </si>
  <si>
    <t>2018-06-22T06:46:18+00:00</t>
  </si>
  <si>
    <t>DAVISON</t>
  </si>
  <si>
    <t>48423-2850</t>
  </si>
  <si>
    <t>114-6287958-3281023</t>
  </si>
  <si>
    <t>2018-06-20T03:36:13+00:00</t>
  </si>
  <si>
    <t>2018-06-21T00:57:20+00:00</t>
  </si>
  <si>
    <t>22312-2621</t>
  </si>
  <si>
    <t>112-0590862-4829007</t>
  </si>
  <si>
    <t>2018-06-20T03:28:26+00:00</t>
  </si>
  <si>
    <t>2018-06-20T23:49:02+00:00</t>
  </si>
  <si>
    <t>114-9462740-9516228</t>
  </si>
  <si>
    <t>2018-06-20T03:23:40+00:00</t>
  </si>
  <si>
    <t>2018-06-24T03:45:26+00:00</t>
  </si>
  <si>
    <t>East Bethel</t>
  </si>
  <si>
    <t>111-3048131-6477007</t>
  </si>
  <si>
    <t>2018-06-20T03:16:53+00:00</t>
  </si>
  <si>
    <t>2018-06-21T14:16:51+00:00</t>
  </si>
  <si>
    <t>CHAMPAIGN</t>
  </si>
  <si>
    <t>61820-6104</t>
  </si>
  <si>
    <t>113-5738103-9638610</t>
  </si>
  <si>
    <t>2018-06-20T02:39:45+00:00</t>
  </si>
  <si>
    <t>2018-06-21T08:20:16+00:00</t>
  </si>
  <si>
    <t>PRINCE GEORGE</t>
  </si>
  <si>
    <t>111-8854214-3825051</t>
  </si>
  <si>
    <t>2018-06-20T02:29:24+00:00</t>
  </si>
  <si>
    <t>2018-06-20T09:37:02+00:00</t>
  </si>
  <si>
    <t>DE PERE</t>
  </si>
  <si>
    <t>54115-3748</t>
  </si>
  <si>
    <t>112-5760189-7247457</t>
  </si>
  <si>
    <t>2018-06-20T02:08:23+00:00</t>
  </si>
  <si>
    <t>2018-06-20T19:09:14+00:00</t>
  </si>
  <si>
    <t>HACKENSACK</t>
  </si>
  <si>
    <t>07601-2237</t>
  </si>
  <si>
    <t>112-1554570-7885812</t>
  </si>
  <si>
    <t>2018-06-20T01:45:53+00:00</t>
  </si>
  <si>
    <t>2018-06-21T05:15:20+00:00</t>
  </si>
  <si>
    <t>Los Angeles</t>
  </si>
  <si>
    <t>112-7744785-1829839</t>
  </si>
  <si>
    <t>2018-06-20T01:40:09+00:00</t>
  </si>
  <si>
    <t>2018-06-20T16:28:45+00:00</t>
  </si>
  <si>
    <t>NORWOOD</t>
  </si>
  <si>
    <t>02062-5661</t>
  </si>
  <si>
    <t>113-8365398-9555453</t>
  </si>
  <si>
    <t>2018-06-20T01:38:18+00:00</t>
  </si>
  <si>
    <t>2018-06-20T09:46:29+00:00</t>
  </si>
  <si>
    <t>Barboursville</t>
  </si>
  <si>
    <t>114-7792844-3819401</t>
  </si>
  <si>
    <t>2018-06-20T01:36:16+00:00</t>
  </si>
  <si>
    <t>2018-06-21T21:15:24+00:00</t>
  </si>
  <si>
    <t>NORTH MIAMI BEACH</t>
  </si>
  <si>
    <t>33169-6045</t>
  </si>
  <si>
    <t>112-3476797-2881004</t>
  </si>
  <si>
    <t>2018-06-20T01:29:34+00:00</t>
  </si>
  <si>
    <t>2018-06-20T05:29:05+00:00</t>
  </si>
  <si>
    <t>BELLEVUE</t>
  </si>
  <si>
    <t>98005-1811</t>
  </si>
  <si>
    <t>114-1042087-6545068</t>
  </si>
  <si>
    <t>2018-06-20T01:08:05+00:00</t>
  </si>
  <si>
    <t>2018-06-20T11:42:35+00:00</t>
  </si>
  <si>
    <t>MINNEOLA</t>
  </si>
  <si>
    <t>34715-5798</t>
  </si>
  <si>
    <t>114-8207131-7964250</t>
  </si>
  <si>
    <t>2018-06-20T01:06:28+00:00</t>
  </si>
  <si>
    <t>2018-06-25T16:19:36+00:00</t>
  </si>
  <si>
    <t>OAK RIDGE</t>
  </si>
  <si>
    <t>07438-9180</t>
  </si>
  <si>
    <t>113-4757041-8450647</t>
  </si>
  <si>
    <t>2018-06-20T00:51:59+00:00</t>
  </si>
  <si>
    <t>2018-06-21T12:21:02+00:00</t>
  </si>
  <si>
    <t>TAYLORSVILLE</t>
  </si>
  <si>
    <t>84123-4725</t>
  </si>
  <si>
    <t>114-2774894-9604264</t>
  </si>
  <si>
    <t>2018-06-20T00:48:23+00:00</t>
  </si>
  <si>
    <t>2018-06-21T04:13:29+00:00</t>
  </si>
  <si>
    <t>FREELAND</t>
  </si>
  <si>
    <t>48623-9129</t>
  </si>
  <si>
    <t>112-1982373-4547458</t>
  </si>
  <si>
    <t>2018-06-20T00:15:16+00:00</t>
  </si>
  <si>
    <t>2018-06-20T06:37:43+00:00</t>
  </si>
  <si>
    <t>SPOTSYLVANIA</t>
  </si>
  <si>
    <t>VIRGINIA</t>
  </si>
  <si>
    <t>22551-8051</t>
  </si>
  <si>
    <t>112-9757308-0818619</t>
  </si>
  <si>
    <t>2018-06-21T23:34:43+00:00</t>
  </si>
  <si>
    <t>2018-06-22T05:49:22+00:00</t>
  </si>
  <si>
    <t>70124-3417</t>
  </si>
  <si>
    <t>113-5097698-4225057</t>
  </si>
  <si>
    <t>2018-06-21T23:22:40+00:00</t>
  </si>
  <si>
    <t>2018-06-23T21:09:03+00:00</t>
  </si>
  <si>
    <t>LAS CRUCES</t>
  </si>
  <si>
    <t>88011-5066</t>
  </si>
  <si>
    <t>113-2883184-4978643</t>
  </si>
  <si>
    <t>2018-06-21T23:20:23+00:00</t>
  </si>
  <si>
    <t>2018-06-27T23:13:34+00:00</t>
  </si>
  <si>
    <t>Ellicott City</t>
  </si>
  <si>
    <t>113-5340897-9577850</t>
  </si>
  <si>
    <t>2018-06-21T23:04:11+00:00</t>
  </si>
  <si>
    <t>2018-06-23T02:13:39+00:00</t>
  </si>
  <si>
    <t>95831-2134</t>
  </si>
  <si>
    <t>111-1073799-8361002</t>
  </si>
  <si>
    <t>2018-06-21T22:51:56+00:00</t>
  </si>
  <si>
    <t>2018-06-23T04:35:21+00:00</t>
  </si>
  <si>
    <t>PORT TOWNSEND</t>
  </si>
  <si>
    <t>98368-4811</t>
  </si>
  <si>
    <t>112-7693624-3157847</t>
  </si>
  <si>
    <t>2018-06-21T22:25:01+00:00</t>
  </si>
  <si>
    <t>2018-06-26T04:34:44+00:00</t>
  </si>
  <si>
    <t>ALSIP</t>
  </si>
  <si>
    <t>60803-2144</t>
  </si>
  <si>
    <t>113-2651229-1717814</t>
  </si>
  <si>
    <t>2018-06-21T22:04:53+00:00</t>
  </si>
  <si>
    <t>2018-06-22T20:31:15+00:00</t>
  </si>
  <si>
    <t>97219-5367</t>
  </si>
  <si>
    <t>114-2172804-8293057</t>
  </si>
  <si>
    <t>2018-06-21T21:51:21+00:00</t>
  </si>
  <si>
    <t>2018-06-23T04:14:07+00:00</t>
  </si>
  <si>
    <t>SPRING</t>
  </si>
  <si>
    <t>112-5465941-3260240</t>
  </si>
  <si>
    <t>2018-06-21T21:49:27+00:00</t>
  </si>
  <si>
    <t>2018-06-24T16:51:04+00:00</t>
  </si>
  <si>
    <t>113-5156999-8440257</t>
  </si>
  <si>
    <t>2018-06-21T20:56:30+00:00</t>
  </si>
  <si>
    <t>2018-06-25T03:38:22+00:00</t>
  </si>
  <si>
    <t>BLUFFTON</t>
  </si>
  <si>
    <t>29909-4624</t>
  </si>
  <si>
    <t>111-8563002-1383431</t>
  </si>
  <si>
    <t>2018-06-21T20:35:15+00:00</t>
  </si>
  <si>
    <t>2018-06-21T20:41:18+00:00</t>
  </si>
  <si>
    <t>MIDDLEBURY</t>
  </si>
  <si>
    <t>06762-1801</t>
  </si>
  <si>
    <t>111-6857086-5463440</t>
  </si>
  <si>
    <t>2018-06-21T19:27:56+00:00</t>
  </si>
  <si>
    <t>2018-06-22T20:15:07+00:00</t>
  </si>
  <si>
    <t>LLANO</t>
  </si>
  <si>
    <t>78643-2425</t>
  </si>
  <si>
    <t>112-9102345-7635416</t>
  </si>
  <si>
    <t>2018-06-21T19:26:50+00:00</t>
  </si>
  <si>
    <t>2018-06-22T01:09:32+00:00</t>
  </si>
  <si>
    <t>ORLANDO</t>
  </si>
  <si>
    <t>32835-1459</t>
  </si>
  <si>
    <t>112-6213715-7773831</t>
  </si>
  <si>
    <t>2018-06-21T19:17:19+00:00</t>
  </si>
  <si>
    <t>2018-06-24T05:22:47+00:00</t>
  </si>
  <si>
    <t>Santee</t>
  </si>
  <si>
    <t>112-0581736-1152239</t>
  </si>
  <si>
    <t>2018-06-21T19:15:15+00:00</t>
  </si>
  <si>
    <t>2018-06-25T17:14:12+00:00</t>
  </si>
  <si>
    <t>53209-2743</t>
  </si>
  <si>
    <t>113-7030645-7630658</t>
  </si>
  <si>
    <t>2018-06-21T18:55:01+00:00</t>
  </si>
  <si>
    <t>2018-06-22T16:28:22+00:00</t>
  </si>
  <si>
    <t>78758-5516</t>
  </si>
  <si>
    <t>112-6416075-6957045</t>
  </si>
  <si>
    <t>2018-06-21T18:22:52+00:00</t>
  </si>
  <si>
    <t>2018-06-23T00:14:13+00:00</t>
  </si>
  <si>
    <t>GULFPORT</t>
  </si>
  <si>
    <t>33707-2451</t>
  </si>
  <si>
    <t>114-9051389-9640251</t>
  </si>
  <si>
    <t>2018-06-21T17:55:05+00:00</t>
  </si>
  <si>
    <t>2018-06-22T22:33:09+00:00</t>
  </si>
  <si>
    <t>GRAND PRAIRIE</t>
  </si>
  <si>
    <t>75054-7235</t>
  </si>
  <si>
    <t>112-9927453-2129811</t>
  </si>
  <si>
    <t>2018-06-21T17:05:00+00:00</t>
  </si>
  <si>
    <t>2018-06-21T18:21:20+00:00</t>
  </si>
  <si>
    <t>112-1885770-6303401</t>
  </si>
  <si>
    <t>2018-06-21T17:02:23+00:00</t>
  </si>
  <si>
    <t>2018-06-22T20:06:24+00:00</t>
  </si>
  <si>
    <t>WICKLIFFE</t>
  </si>
  <si>
    <t>44092-2424</t>
  </si>
  <si>
    <t>112-4525488-1122653</t>
  </si>
  <si>
    <t>2018-06-21T17:01:14+00:00</t>
  </si>
  <si>
    <t>2018-06-22T16:27:19+00:00</t>
  </si>
  <si>
    <t>19122-4308</t>
  </si>
  <si>
    <t>111-8048744-5285065</t>
  </si>
  <si>
    <t>2018-06-21T16:35:43+00:00</t>
  </si>
  <si>
    <t>2018-06-23T20:56:29+00:00</t>
  </si>
  <si>
    <t>TUCSON</t>
  </si>
  <si>
    <t>85745-9649</t>
  </si>
  <si>
    <t>111-1202674-3526625</t>
  </si>
  <si>
    <t>2018-06-21T15:17:43+00:00</t>
  </si>
  <si>
    <t>2018-06-22T08:42:01+00:00</t>
  </si>
  <si>
    <t>AUSTINTOWN</t>
  </si>
  <si>
    <t>44515-5815</t>
  </si>
  <si>
    <t>114-5903149-7977019</t>
  </si>
  <si>
    <t>2018-06-21T15:12:30+00:00</t>
  </si>
  <si>
    <t>2018-06-22T19:24:31+00:00</t>
  </si>
  <si>
    <t>114-9061204-5791456</t>
  </si>
  <si>
    <t>2018-06-21T14:15:28+00:00</t>
  </si>
  <si>
    <t>2018-06-22T22:02:54+00:00</t>
  </si>
  <si>
    <t>NORTH HILLS</t>
  </si>
  <si>
    <t>11040-2623</t>
  </si>
  <si>
    <t>113-6423106-0231410</t>
  </si>
  <si>
    <t>2018-06-21T13:50:37+00:00</t>
  </si>
  <si>
    <t>2018-06-21T19:36:57+00:00</t>
  </si>
  <si>
    <t>33993-1841</t>
  </si>
  <si>
    <t>113-5228750-6817837</t>
  </si>
  <si>
    <t>2018-06-21T13:19:47+00:00</t>
  </si>
  <si>
    <t>2018-06-22T23:12:05+00:00</t>
  </si>
  <si>
    <t>Luciphia Women's Tops Long Sleeve A-Line Lace Stitching Trim Casual Tunic Dress XS White</t>
  </si>
  <si>
    <t>LYQ-WF7125-WO-XS</t>
  </si>
  <si>
    <t>B077XRZ4P9</t>
  </si>
  <si>
    <t>STAFFORD</t>
  </si>
  <si>
    <t>22556-6123</t>
  </si>
  <si>
    <t>114-1844731-3688224</t>
  </si>
  <si>
    <t>2018-06-21T13:09:15+00:00</t>
  </si>
  <si>
    <t>2018-06-22T01:55:11+00:00</t>
  </si>
  <si>
    <t>Helena</t>
  </si>
  <si>
    <t>35080-4142</t>
  </si>
  <si>
    <t>114-1737818-0840256</t>
  </si>
  <si>
    <t>2018-06-21T12:45:56+00:00</t>
  </si>
  <si>
    <t>2018-06-22T05:43:01+00:00</t>
  </si>
  <si>
    <t>Cicero</t>
  </si>
  <si>
    <t>New York</t>
  </si>
  <si>
    <t>111-3704785-1293047</t>
  </si>
  <si>
    <t>2018-06-21T11:56:40+00:00</t>
  </si>
  <si>
    <t>2018-06-23T00:28:22+00:00</t>
  </si>
  <si>
    <t>NORTH BRUNSWICK</t>
  </si>
  <si>
    <t>08902-1454</t>
  </si>
  <si>
    <t>113-7713129-2162631</t>
  </si>
  <si>
    <t>2018-06-21T10:33:33+00:00</t>
  </si>
  <si>
    <t>2018-06-22T14:33:35+00:00</t>
  </si>
  <si>
    <t>112-2797719-3588227</t>
  </si>
  <si>
    <t>2018-06-21T06:15:52+00:00</t>
  </si>
  <si>
    <t>2018-06-23T01:56:06+00:00</t>
  </si>
  <si>
    <t>PROVIDENCE</t>
  </si>
  <si>
    <t>02907-3560</t>
  </si>
  <si>
    <t>111-3080771-6390611</t>
  </si>
  <si>
    <t>2018-06-21T05:59:00+00:00</t>
  </si>
  <si>
    <t>2018-06-21T19:28:36+00:00</t>
  </si>
  <si>
    <t>98058-7311</t>
  </si>
  <si>
    <t>114-7346719-7230658</t>
  </si>
  <si>
    <t>2018-06-21T03:46:58+00:00</t>
  </si>
  <si>
    <t>2018-06-21T20:55:37+00:00</t>
  </si>
  <si>
    <t>FOREST PARK</t>
  </si>
  <si>
    <t>60130-1107</t>
  </si>
  <si>
    <t>112-9866107-5504257</t>
  </si>
  <si>
    <t>2018-06-21T03:46:01+00:00</t>
  </si>
  <si>
    <t>2018-06-22T06:38:22+00:00</t>
  </si>
  <si>
    <t>Walkersville</t>
  </si>
  <si>
    <t>113-7905387-5629030</t>
  </si>
  <si>
    <t>2018-06-21T02:25:29+00:00</t>
  </si>
  <si>
    <t>2018-06-22T04:23:55+00:00</t>
  </si>
  <si>
    <t>RICHARDSON</t>
  </si>
  <si>
    <t>75080-2939</t>
  </si>
  <si>
    <t>111-9771873-4391407</t>
  </si>
  <si>
    <t>2018-06-21T02:00:25+00:00</t>
  </si>
  <si>
    <t>2018-06-21T08:46:28+00:00</t>
  </si>
  <si>
    <t>LUDLOW</t>
  </si>
  <si>
    <t>01056-1372</t>
  </si>
  <si>
    <t>111-1108124-0937841</t>
  </si>
  <si>
    <t>2018-06-21T01:42:07+00:00</t>
  </si>
  <si>
    <t>2018-06-21T10:43:05+00:00</t>
  </si>
  <si>
    <t>111-0245701-4047435</t>
  </si>
  <si>
    <t>2018-06-21T13:48:00+00:00</t>
  </si>
  <si>
    <t>114-2440188-1455410</t>
  </si>
  <si>
    <t>2018-06-21T01:07:35+00:00</t>
  </si>
  <si>
    <t>2018-06-22T20:27:04+00:00</t>
  </si>
  <si>
    <t>CAPE GIRARDEAU</t>
  </si>
  <si>
    <t>63701-2645</t>
  </si>
  <si>
    <t>114-1221674-7577801</t>
  </si>
  <si>
    <t>2018-06-21T00:56:04+00:00</t>
  </si>
  <si>
    <t>2018-06-24T09:22:14+00:00</t>
  </si>
  <si>
    <t>Whitesboro</t>
  </si>
  <si>
    <t>112-0630175-7221854</t>
  </si>
  <si>
    <t>2018-06-21T00:46:12+00:00</t>
  </si>
  <si>
    <t>2018-06-22T15:55:01+00:00</t>
  </si>
  <si>
    <t>NEW FRANKLIN</t>
  </si>
  <si>
    <t>44216-9763</t>
  </si>
  <si>
    <t>113-8213536-6905015</t>
  </si>
  <si>
    <t>2018-06-21T00:14:22+00:00</t>
  </si>
  <si>
    <t>2018-06-22T21:07:13+00:00</t>
  </si>
  <si>
    <t>ARLETA</t>
  </si>
  <si>
    <t>91331-5454</t>
  </si>
  <si>
    <t>114-3890685-7025020</t>
  </si>
  <si>
    <t>2018-06-21T00:05:39+00:00</t>
  </si>
  <si>
    <t>2018-06-22T19:36:11+00:00</t>
  </si>
  <si>
    <t>Tulsa</t>
  </si>
  <si>
    <t>113-1482586-1891454</t>
  </si>
  <si>
    <t>2018-06-22T23:39:48+00:00</t>
  </si>
  <si>
    <t>2018-06-24T10:32:40+00:00</t>
  </si>
  <si>
    <t>SAFFORD</t>
  </si>
  <si>
    <t>ARIZONA</t>
  </si>
  <si>
    <t>85546-3588</t>
  </si>
  <si>
    <t>112-3302181-3534638</t>
  </si>
  <si>
    <t>2018-06-22T23:32:45+00:00</t>
  </si>
  <si>
    <t>2018-06-24T01:11:04+00:00</t>
  </si>
  <si>
    <t>HAVERFORD</t>
  </si>
  <si>
    <t>19041-1933</t>
  </si>
  <si>
    <t>112-3206707-9204261</t>
  </si>
  <si>
    <t>2018-06-22T23:25:11+00:00</t>
  </si>
  <si>
    <t>2018-06-24T03:26:25+00:00</t>
  </si>
  <si>
    <t>Greenwood</t>
  </si>
  <si>
    <t>Arkansas</t>
  </si>
  <si>
    <t>113-6045426-1061020</t>
  </si>
  <si>
    <t>2018-06-22T22:49:31+00:00</t>
  </si>
  <si>
    <t>2018-06-24T00:44:18+00:00</t>
  </si>
  <si>
    <t>95126-3313</t>
  </si>
  <si>
    <t>113-1240591-6988265</t>
  </si>
  <si>
    <t>2018-06-22T22:20:06+00:00</t>
  </si>
  <si>
    <t>2018-06-25T11:07:21+00:00</t>
  </si>
  <si>
    <t>RIVERTON</t>
  </si>
  <si>
    <t>84065-7692</t>
  </si>
  <si>
    <t>113-9452287-6991446</t>
  </si>
  <si>
    <t>2018-06-22T22:18:33+00:00</t>
  </si>
  <si>
    <t>2018-06-23T22:39:26+00:00</t>
  </si>
  <si>
    <t>SOUTH HADLEY</t>
  </si>
  <si>
    <t>114-1837521-5750655</t>
  </si>
  <si>
    <t>2018-06-22T22:15:06+00:00</t>
  </si>
  <si>
    <t>2018-06-25T02:59:16+00:00</t>
  </si>
  <si>
    <t>luciphia 1 Pack 3 Blankets Super Soft Fluffy Premium Fleece Pet Blanket Flannel Throw for Dog Puppy Love Medium</t>
  </si>
  <si>
    <t>TZ-IUYL240-LOVE-M</t>
  </si>
  <si>
    <t>B07DL53SBF</t>
  </si>
  <si>
    <t>DANVILLE</t>
  </si>
  <si>
    <t>94506-2047</t>
  </si>
  <si>
    <t>111-0007842-3650642</t>
  </si>
  <si>
    <t>2018-06-22T21:58:28+00:00</t>
  </si>
  <si>
    <t>2018-06-24T09:29:53+00:00</t>
  </si>
  <si>
    <t>STUDIO CITY</t>
  </si>
  <si>
    <t>91604-3136</t>
  </si>
  <si>
    <t>114-3080897-1617050</t>
  </si>
  <si>
    <t>2018-06-22T21:34:17+00:00</t>
  </si>
  <si>
    <t>2018-06-24T00:39:42+00:00</t>
  </si>
  <si>
    <t>WEST SACRAMENTO</t>
  </si>
  <si>
    <t>95691-5938</t>
  </si>
  <si>
    <t>111-0707638-0698650</t>
  </si>
  <si>
    <t>2018-06-22T21:20:48+00:00</t>
  </si>
  <si>
    <t>2018-06-25T00:33:02+00:00</t>
  </si>
  <si>
    <t>LYNNWOOD</t>
  </si>
  <si>
    <t>98037-4717</t>
  </si>
  <si>
    <t>112-4595859-7789051</t>
  </si>
  <si>
    <t>2018-06-22T21:00:55+00:00</t>
  </si>
  <si>
    <t>2018-06-23T02:30:49+00:00</t>
  </si>
  <si>
    <t>ROCKWALL</t>
  </si>
  <si>
    <t>75087-6414</t>
  </si>
  <si>
    <t>113-8629678-1425836</t>
  </si>
  <si>
    <t>2018-06-22T20:36:13+00:00</t>
  </si>
  <si>
    <t>2018-06-23T05:49:46+00:00</t>
  </si>
  <si>
    <t>OLD HICKORY</t>
  </si>
  <si>
    <t>37138-4603</t>
  </si>
  <si>
    <t>114-4013942-1595433</t>
  </si>
  <si>
    <t>2018-06-22T20:32:24+00:00</t>
  </si>
  <si>
    <t>2018-06-27T05:15:35+00:00</t>
  </si>
  <si>
    <t>MEMPHIS</t>
  </si>
  <si>
    <t>TENNESSEE</t>
  </si>
  <si>
    <t>38120-3319</t>
  </si>
  <si>
    <t>112-7663031-9682630</t>
  </si>
  <si>
    <t>2018-06-22T19:55:36+00:00</t>
  </si>
  <si>
    <t>2018-06-26T01:16:08+00:00</t>
  </si>
  <si>
    <t>ATHENS</t>
  </si>
  <si>
    <t>45701-1725</t>
  </si>
  <si>
    <t>112-4694507-9345827</t>
  </si>
  <si>
    <t>2018-06-22T19:37:36+00:00</t>
  </si>
  <si>
    <t>2018-06-26T09:29:56+00:00</t>
  </si>
  <si>
    <t>BLOOMINGTON</t>
  </si>
  <si>
    <t>47404-9712</t>
  </si>
  <si>
    <t>111-6538097-5515448</t>
  </si>
  <si>
    <t>2018-06-22T19:05:00+00:00</t>
  </si>
  <si>
    <t>2018-06-23T20:51:21+00:00</t>
  </si>
  <si>
    <t>WESTMINSTER</t>
  </si>
  <si>
    <t>21157-4467</t>
  </si>
  <si>
    <t>111-6000464-8212252</t>
  </si>
  <si>
    <t>2018-06-22T18:57:34+00:00</t>
  </si>
  <si>
    <t>2018-06-23T09:23:10+00:00</t>
  </si>
  <si>
    <t>HAINES CITY</t>
  </si>
  <si>
    <t>33844-9144</t>
  </si>
  <si>
    <t>112-8872135-9599441</t>
  </si>
  <si>
    <t>2018-06-22T18:45:51+00:00</t>
  </si>
  <si>
    <t>2018-06-29T15:14:25+00:00</t>
  </si>
  <si>
    <t>32825-3525</t>
  </si>
  <si>
    <t>113-3622083-4850604</t>
  </si>
  <si>
    <t>2018-06-22T18:36:42+00:00</t>
  </si>
  <si>
    <t>2018-06-23T07:00:31+00:00</t>
  </si>
  <si>
    <t>MANDEVILLE</t>
  </si>
  <si>
    <t>70448-5436</t>
  </si>
  <si>
    <t>114-8009462-9673014</t>
  </si>
  <si>
    <t>2018-06-22T18:36:28+00:00</t>
  </si>
  <si>
    <t>2018-06-23T09:01:19+00:00</t>
  </si>
  <si>
    <t>Shelby</t>
  </si>
  <si>
    <t>Mi</t>
  </si>
  <si>
    <t>112-1753562-9737806</t>
  </si>
  <si>
    <t>2018-06-22T17:33:40+00:00</t>
  </si>
  <si>
    <t>2018-06-23T22:20:17+00:00</t>
  </si>
  <si>
    <t>BLAINE</t>
  </si>
  <si>
    <t>98230-9754</t>
  </si>
  <si>
    <t>113-4632987-0114668</t>
  </si>
  <si>
    <t>2018-06-22T17:32:51+00:00</t>
  </si>
  <si>
    <t>2018-06-24T03:48:19+00:00</t>
  </si>
  <si>
    <t>Virginia Beach</t>
  </si>
  <si>
    <t>23455-6619</t>
  </si>
  <si>
    <t>113-2781431-3815461</t>
  </si>
  <si>
    <t>2018-06-22T17:10:43+00:00</t>
  </si>
  <si>
    <t>2018-06-23T06:41:59+00:00</t>
  </si>
  <si>
    <t>45373-2709</t>
  </si>
  <si>
    <t>112-7572107-3517850</t>
  </si>
  <si>
    <t>2018-06-22T16:21:11+00:00</t>
  </si>
  <si>
    <t>2018-06-25T19:41:57+00:00</t>
  </si>
  <si>
    <t>Corona</t>
  </si>
  <si>
    <t>Ca</t>
  </si>
  <si>
    <t>113-1565460-4709041</t>
  </si>
  <si>
    <t>2018-06-22T15:52:04+00:00</t>
  </si>
  <si>
    <t>2018-06-24T07:32:28+00:00</t>
  </si>
  <si>
    <t>OVERLAND PARK</t>
  </si>
  <si>
    <t>66224-9659</t>
  </si>
  <si>
    <t>112-2303893-9569842</t>
  </si>
  <si>
    <t>2018-06-22T15:09:39+00:00</t>
  </si>
  <si>
    <t>2018-06-23T21:33:46+00:00</t>
  </si>
  <si>
    <t>113-3340195-0909867</t>
  </si>
  <si>
    <t>2018-06-22T14:57:41+00:00</t>
  </si>
  <si>
    <t>2018-06-24T06:34:59+00:00</t>
  </si>
  <si>
    <t>FLEMING ISLAND</t>
  </si>
  <si>
    <t>32003-8366</t>
  </si>
  <si>
    <t>112-7550038-9810635</t>
  </si>
  <si>
    <t>2018-06-22T14:49:18+00:00</t>
  </si>
  <si>
    <t>2018-06-23T03:41:16+00:00</t>
  </si>
  <si>
    <t>36109-3569</t>
  </si>
  <si>
    <t>111-7288047-0669003</t>
  </si>
  <si>
    <t>2018-06-22T14:47:20+00:00</t>
  </si>
  <si>
    <t>2018-06-22T23:42:13+00:00</t>
  </si>
  <si>
    <t>ANGOLA</t>
  </si>
  <si>
    <t>46703-8521</t>
  </si>
  <si>
    <t>111-9292106-2984227</t>
  </si>
  <si>
    <t>2018-06-22T14:30:38+00:00</t>
  </si>
  <si>
    <t>2018-06-23T06:18:07+00:00</t>
  </si>
  <si>
    <t>alexandria</t>
  </si>
  <si>
    <t>va</t>
  </si>
  <si>
    <t>114-2353842-8357826</t>
  </si>
  <si>
    <t>2018-06-22T12:47:33+00:00</t>
  </si>
  <si>
    <t>2018-06-25T09:44:40+00:00</t>
  </si>
  <si>
    <t>112-5426073-0793050</t>
  </si>
  <si>
    <t>2018-06-22T11:56:23+00:00</t>
  </si>
  <si>
    <t>2018-06-24T20:42:03+00:00</t>
  </si>
  <si>
    <t>Luciphia Women's Large Print Floral Chiffon Scarf Poncho Shawl</t>
  </si>
  <si>
    <t>SCF-B01-016</t>
  </si>
  <si>
    <t>B075XD8MYM</t>
  </si>
  <si>
    <t>Wichita</t>
  </si>
  <si>
    <t>113-1848746-0945825</t>
  </si>
  <si>
    <t>2018-06-22T09:53:21+00:00</t>
  </si>
  <si>
    <t>2018-06-23T05:39:21+00:00</t>
  </si>
  <si>
    <t>KALAMAZOO</t>
  </si>
  <si>
    <t>49007-5257</t>
  </si>
  <si>
    <t>113-7759107-7829835</t>
  </si>
  <si>
    <t>2018-06-22T08:17:31+00:00</t>
  </si>
  <si>
    <t>2018-06-22T23:21:01+00:00</t>
  </si>
  <si>
    <t>MOCOTONO Men's Casual Slim Fit Cotton Multi-Pocket Twill Cargo Shorts Khaki 1 Tag 32/US 30</t>
  </si>
  <si>
    <t>ST-K157-KQ-32</t>
  </si>
  <si>
    <t>B073PZDYM9</t>
  </si>
  <si>
    <t>18017-9175</t>
  </si>
  <si>
    <t>112-2188930-6301042</t>
  </si>
  <si>
    <t>2018-06-22T06:16:12+00:00</t>
  </si>
  <si>
    <t>2018-06-26T08:48:09+00:00</t>
  </si>
  <si>
    <t>KENT</t>
  </si>
  <si>
    <t>98032-8431</t>
  </si>
  <si>
    <t>114-6537534-1546661</t>
  </si>
  <si>
    <t>2018-06-22T06:11:37+00:00</t>
  </si>
  <si>
    <t>2018-06-22T18:42:58+00:00</t>
  </si>
  <si>
    <t>FREMONT</t>
  </si>
  <si>
    <t>94538-6504</t>
  </si>
  <si>
    <t>111-3062561-6155422</t>
  </si>
  <si>
    <t>2018-06-22T04:13:45+00:00</t>
  </si>
  <si>
    <t>2018-06-23T21:33:54+00:00</t>
  </si>
  <si>
    <t>113-0497455-2395434</t>
  </si>
  <si>
    <t>2018-06-22T02:44:06+00:00</t>
  </si>
  <si>
    <t>2018-06-22T19:33:55+00:00</t>
  </si>
  <si>
    <t>East Norwalk</t>
  </si>
  <si>
    <t>Connecticut</t>
  </si>
  <si>
    <t>111-3081278-3168207</t>
  </si>
  <si>
    <t>2018-06-22T02:27:44+00:00</t>
  </si>
  <si>
    <t>2018-06-22T14:52:11+00:00</t>
  </si>
  <si>
    <t>NORTH BELLMORE</t>
  </si>
  <si>
    <t>11710-2547</t>
  </si>
  <si>
    <t>112-3829048-2114629</t>
  </si>
  <si>
    <t>2018-06-22T02:03:54+00:00</t>
  </si>
  <si>
    <t>2018-06-22T20:12:23+00:00</t>
  </si>
  <si>
    <t>NEEDHAM</t>
  </si>
  <si>
    <t>02492-3415</t>
  </si>
  <si>
    <t>114-0927432-1007423</t>
  </si>
  <si>
    <t>2018-06-22T01:56:42+00:00</t>
  </si>
  <si>
    <t>2018-06-23T01:15:35+00:00</t>
  </si>
  <si>
    <t>90034-5481</t>
  </si>
  <si>
    <t>114-5912645-6764261</t>
  </si>
  <si>
    <t>2018-06-22T01:05:27+00:00</t>
  </si>
  <si>
    <t>2018-06-26T00:04:17+00:00</t>
  </si>
  <si>
    <t>MOCOTONO Men's Long Sleeve Standard Fit Plaid Checked Button up Casual Shirts Blue Small</t>
  </si>
  <si>
    <t>ST006-BL-S</t>
  </si>
  <si>
    <t>B074P2B6M8</t>
  </si>
  <si>
    <t>33177-6898</t>
  </si>
  <si>
    <t>111-9213140-6799449</t>
  </si>
  <si>
    <t>2018-06-22T00:34:01+00:00</t>
  </si>
  <si>
    <t>2018-06-24T01:34:25+00:00</t>
  </si>
  <si>
    <t>CREEDMOOR</t>
  </si>
  <si>
    <t>27522-9169</t>
  </si>
  <si>
    <t>112-9013839-2834662</t>
  </si>
  <si>
    <t>2018-06-22T00:11:10+00:00</t>
  </si>
  <si>
    <t>2018-06-22T18:57:50+00:00</t>
  </si>
  <si>
    <t>02140-2338</t>
  </si>
  <si>
    <t>111-7621719-5999413</t>
  </si>
  <si>
    <t>2018-06-23T23:00:31+00:00</t>
  </si>
  <si>
    <t>2018-06-26T19:03:21+00:00</t>
  </si>
  <si>
    <t>THOMPSON FALLS</t>
  </si>
  <si>
    <t>59873-9349</t>
  </si>
  <si>
    <t>114-2753494-5960210</t>
  </si>
  <si>
    <t>2018-06-23T22:37:28+00:00</t>
  </si>
  <si>
    <t>2018-06-24T17:57:31+00:00</t>
  </si>
  <si>
    <t>FERNDALE</t>
  </si>
  <si>
    <t>48220-1064</t>
  </si>
  <si>
    <t>112-6336241-2388225</t>
  </si>
  <si>
    <t>2018-06-23T22:17:04+00:00</t>
  </si>
  <si>
    <t>2018-06-24T06:41:17+00:00</t>
  </si>
  <si>
    <t>46228-1688</t>
  </si>
  <si>
    <t>111-1258515-4380222</t>
  </si>
  <si>
    <t>2018-06-23T22:00:48+00:00</t>
  </si>
  <si>
    <t>2018-06-23T22:06:47+00:00</t>
  </si>
  <si>
    <t>114-1090650-1269822</t>
  </si>
  <si>
    <t>2018-06-23T21:55:16+00:00</t>
  </si>
  <si>
    <t>2018-06-25T22:42:11+00:00</t>
  </si>
  <si>
    <t>78613-6273</t>
  </si>
  <si>
    <t>113-4832385-4361039</t>
  </si>
  <si>
    <t>2018-06-23T21:39:14+00:00</t>
  </si>
  <si>
    <t>2018-06-24T17:21:13+00:00</t>
  </si>
  <si>
    <t>112-9825078-3016200</t>
  </si>
  <si>
    <t>2018-06-23T21:00:30+00:00</t>
  </si>
  <si>
    <t>2018-06-27T06:50:39+00:00</t>
  </si>
  <si>
    <t>22554-5154</t>
  </si>
  <si>
    <t>113-9260918-4640210</t>
  </si>
  <si>
    <t>2018-06-23T20:21:05+00:00</t>
  </si>
  <si>
    <t>2018-06-24T22:51:16+00:00</t>
  </si>
  <si>
    <t>CARTERET</t>
  </si>
  <si>
    <t>07008-3527</t>
  </si>
  <si>
    <t>111-5137004-3612214</t>
  </si>
  <si>
    <t>2018-06-23T20:16:37+00:00</t>
  </si>
  <si>
    <t>2018-06-25T01:08:17+00:00</t>
  </si>
  <si>
    <t>PLEASANT HILL</t>
  </si>
  <si>
    <t>94523-4918</t>
  </si>
  <si>
    <t>114-0252358-6378639</t>
  </si>
  <si>
    <t>2018-06-23T19:26:29+00:00</t>
  </si>
  <si>
    <t>2018-06-25T18:21:53+00:00</t>
  </si>
  <si>
    <t>NORTH LAS VEGAS</t>
  </si>
  <si>
    <t>89084-2562</t>
  </si>
  <si>
    <t>111-9307128-9903431</t>
  </si>
  <si>
    <t>2018-06-23T19:03:01+00:00</t>
  </si>
  <si>
    <t>2018-06-25T15:24:11+00:00</t>
  </si>
  <si>
    <t>SUGARCREEK</t>
  </si>
  <si>
    <t>OHIO</t>
  </si>
  <si>
    <t>44681-7742</t>
  </si>
  <si>
    <t>112-4741265-9989845</t>
  </si>
  <si>
    <t>2018-06-23T18:41:31+00:00</t>
  </si>
  <si>
    <t>2018-06-24T14:50:08+00:00</t>
  </si>
  <si>
    <t>Churchville</t>
  </si>
  <si>
    <t>111-7371588-1035425</t>
  </si>
  <si>
    <t>2018-06-23T18:38:04+00:00</t>
  </si>
  <si>
    <t>2018-06-25T22:27:17+00:00</t>
  </si>
  <si>
    <t>UNION CITY</t>
  </si>
  <si>
    <t>38261-1726</t>
  </si>
  <si>
    <t>111-1385561-1032236</t>
  </si>
  <si>
    <t>2018-06-23T17:53:52+00:00</t>
  </si>
  <si>
    <t>2018-06-24T22:08:43+00:00</t>
  </si>
  <si>
    <t>HARRISBURG</t>
  </si>
  <si>
    <t>17102-3213</t>
  </si>
  <si>
    <t>114-9302235-5945052</t>
  </si>
  <si>
    <t>2018-06-23T17:52:57+00:00</t>
  </si>
  <si>
    <t>2018-06-24T22:27:45+00:00</t>
  </si>
  <si>
    <t>ALBUQUERQUE</t>
  </si>
  <si>
    <t>87107-3545</t>
  </si>
  <si>
    <t>114-7159731-8613865</t>
  </si>
  <si>
    <t>2018-06-23T17:50:05+00:00</t>
  </si>
  <si>
    <t>2018-06-24T16:05:30+00:00</t>
  </si>
  <si>
    <t>BRIDGETON</t>
  </si>
  <si>
    <t>08302-3944</t>
  </si>
  <si>
    <t>112-0231252-4325019</t>
  </si>
  <si>
    <t>2018-06-23T17:35:43+00:00</t>
  </si>
  <si>
    <t>2018-06-24T18:59:14+00:00</t>
  </si>
  <si>
    <t>Men's Long Sleeve Formal Business Dress Shirts Gray Large</t>
  </si>
  <si>
    <t>ST172-GR-L</t>
  </si>
  <si>
    <t>B074SLPFD9</t>
  </si>
  <si>
    <t>113-4434613-0428244</t>
  </si>
  <si>
    <t>2018-06-23T17:10:35+00:00</t>
  </si>
  <si>
    <t>2018-06-25T22:22:14+00:00</t>
  </si>
  <si>
    <t>north apollo</t>
  </si>
  <si>
    <t>113-0595607-5585043</t>
  </si>
  <si>
    <t>2018-06-23T17:04:28+00:00</t>
  </si>
  <si>
    <t>2018-06-27T01:23:11+00:00</t>
  </si>
  <si>
    <t>TZ-IUYL240LHY-STRAWBERRY-L</t>
  </si>
  <si>
    <t>POUGHKEEPSIE</t>
  </si>
  <si>
    <t>12603-1242</t>
  </si>
  <si>
    <t>111-7916165-3944254</t>
  </si>
  <si>
    <t>2018-06-23T16:05:52+00:00</t>
  </si>
  <si>
    <t>2018-06-24T18:28:28+00:00</t>
  </si>
  <si>
    <t>04055-5136</t>
  </si>
  <si>
    <t>111-3850335-1936241</t>
  </si>
  <si>
    <t>2018-06-23T15:17:03+00:00</t>
  </si>
  <si>
    <t>2018-06-24T21:49:46+00:00</t>
  </si>
  <si>
    <t>HIGHLANDS RANCH</t>
  </si>
  <si>
    <t>80126-8091</t>
  </si>
  <si>
    <t>111-5543525-2988238</t>
  </si>
  <si>
    <t>2018-06-23T15:16:59+00:00</t>
  </si>
  <si>
    <t>2018-06-24T12:43:53+00:00</t>
  </si>
  <si>
    <t>GALLOWAY</t>
  </si>
  <si>
    <t>43119-8541</t>
  </si>
  <si>
    <t>113-3828449-7699453</t>
  </si>
  <si>
    <t>2018-06-23T06:02:03+00:00</t>
  </si>
  <si>
    <t>2018-06-25T18:06:55+00:00</t>
  </si>
  <si>
    <t>BAR NUNN</t>
  </si>
  <si>
    <t>82601-8902</t>
  </si>
  <si>
    <t>111-2701120-3171467</t>
  </si>
  <si>
    <t>2018-06-23T06:00:47+00:00</t>
  </si>
  <si>
    <t>2018-06-25T21:28:23+00:00</t>
  </si>
  <si>
    <t>Quezon City Metro Manila</t>
  </si>
  <si>
    <t>PH</t>
  </si>
  <si>
    <t>113-2297957-4103401</t>
  </si>
  <si>
    <t>2018-06-23T04:03:35+00:00</t>
  </si>
  <si>
    <t>2018-06-25T03:54:25+00:00</t>
  </si>
  <si>
    <t>CHERRY HILL</t>
  </si>
  <si>
    <t>08002-3029</t>
  </si>
  <si>
    <t>112-9915361-0333858</t>
  </si>
  <si>
    <t>2018-06-23T03:34:25+00:00</t>
  </si>
  <si>
    <t>2018-06-24T01:22:14+00:00</t>
  </si>
  <si>
    <t>112-0177777-3760213</t>
  </si>
  <si>
    <t>2018-06-23T03:19:24+00:00</t>
  </si>
  <si>
    <t>2018-06-24T08:23:17+00:00</t>
  </si>
  <si>
    <t>92881-4612</t>
  </si>
  <si>
    <t>114-5679860-7147433</t>
  </si>
  <si>
    <t>2018-06-23T03:04:41+00:00</t>
  </si>
  <si>
    <t>2018-06-24T10:49:28+00:00</t>
  </si>
  <si>
    <t>Men's Oxford Long Sleeve Button Down Dress Shirt With Pocket,Light Blue,Small</t>
  </si>
  <si>
    <t>ST171-LB916-S</t>
  </si>
  <si>
    <t>B073PQ6BZ4</t>
  </si>
  <si>
    <t>FAIRFAX</t>
  </si>
  <si>
    <t>22031-2616</t>
  </si>
  <si>
    <t>112-0334803-2088213</t>
  </si>
  <si>
    <t>2018-06-23T02:45:37+00:00</t>
  </si>
  <si>
    <t>2018-06-23T18:51:25+00:00</t>
  </si>
  <si>
    <t>SAFETY HARBOR</t>
  </si>
  <si>
    <t>34695-4680</t>
  </si>
  <si>
    <t>113-8422827-9835414</t>
  </si>
  <si>
    <t>2018-06-23T02:23:34+00:00</t>
  </si>
  <si>
    <t>2018-06-23T23:24:40+00:00</t>
  </si>
  <si>
    <t>75165-4821</t>
  </si>
  <si>
    <t>111-0142793-7883404</t>
  </si>
  <si>
    <t>2018-06-23T01:51:53+00:00</t>
  </si>
  <si>
    <t>2018-06-24T21:03:43+00:00</t>
  </si>
  <si>
    <t>113-0594645-8944265</t>
  </si>
  <si>
    <t>2018-06-23T00:45:36+00:00</t>
  </si>
  <si>
    <t>2018-06-29T21:22:52+00:00</t>
  </si>
  <si>
    <t>33433-7629</t>
  </si>
  <si>
    <t>112-2458933-9902639</t>
  </si>
  <si>
    <t>2018-06-23T00:29:10+00:00</t>
  </si>
  <si>
    <t>2018-06-23T00:30:23+00:00</t>
  </si>
  <si>
    <t>NORMAN</t>
  </si>
  <si>
    <t>73071-4201</t>
  </si>
  <si>
    <t>114-5975181-1185814</t>
  </si>
  <si>
    <t>2018-06-23T00:27:29+00:00</t>
  </si>
  <si>
    <t>2018-06-27T22:59:53+00:00</t>
  </si>
  <si>
    <t>HOPKINTON</t>
  </si>
  <si>
    <t>01748-3225</t>
  </si>
  <si>
    <t>112-8764265-5510615</t>
  </si>
  <si>
    <t>2018-06-24T22:43:06+00:00</t>
  </si>
  <si>
    <t>2018-06-26T21:16:08+00:00</t>
  </si>
  <si>
    <t>ROCKFALL</t>
  </si>
  <si>
    <t>06481-2063</t>
  </si>
  <si>
    <t>111-1165209-5382609</t>
  </si>
  <si>
    <t>2018-06-24T21:49:54+00:00</t>
  </si>
  <si>
    <t>2018-06-26T06:31:27+00:00</t>
  </si>
  <si>
    <t>VIENNA</t>
  </si>
  <si>
    <t>26105-1454</t>
  </si>
  <si>
    <t>112-4416936-3033801</t>
  </si>
  <si>
    <t>2018-06-24T21:46:14+00:00</t>
  </si>
  <si>
    <t>2018-06-26T07:07:56+00:00</t>
  </si>
  <si>
    <t>TONOPAH</t>
  </si>
  <si>
    <t>85354-7019</t>
  </si>
  <si>
    <t>113-9830639-9869002</t>
  </si>
  <si>
    <t>2018-06-24T21:06:35+00:00</t>
  </si>
  <si>
    <t>2018-06-25T22:48:55+00:00</t>
  </si>
  <si>
    <t>BAKERSFIELD</t>
  </si>
  <si>
    <t>93312-6279</t>
  </si>
  <si>
    <t>111-6031010-8716236</t>
  </si>
  <si>
    <t>2018-06-24T20:52:23+00:00</t>
  </si>
  <si>
    <t>2018-06-25T02:49:46+00:00</t>
  </si>
  <si>
    <t>Chesapeake</t>
  </si>
  <si>
    <t>113-5011632-8629833</t>
  </si>
  <si>
    <t>2018-06-24T20:36:52+00:00</t>
  </si>
  <si>
    <t>2018-06-26T02:34:32+00:00</t>
  </si>
  <si>
    <t>WAYNESBORO</t>
  </si>
  <si>
    <t>30830-7715</t>
  </si>
  <si>
    <t>113-0951372-0358610</t>
  </si>
  <si>
    <t>2018-06-24T20:35:59+00:00</t>
  </si>
  <si>
    <t>2018-06-24T20:37:43+00:00</t>
  </si>
  <si>
    <t>113-1823719-0058652</t>
  </si>
  <si>
    <t>2018-06-24T20:28:24+00:00</t>
  </si>
  <si>
    <t>2018-06-26T20:37:55+00:00</t>
  </si>
  <si>
    <t>MIDDLETOWN</t>
  </si>
  <si>
    <t>06457-1540</t>
  </si>
  <si>
    <t>113-8053054-5814669</t>
  </si>
  <si>
    <t>2018-06-24T19:58:12+00:00</t>
  </si>
  <si>
    <t>2018-06-25T02:18:17+00:00</t>
  </si>
  <si>
    <t>114-0508700-0254607</t>
  </si>
  <si>
    <t>2018-06-24T19:45:00+00:00</t>
  </si>
  <si>
    <t>2018-06-26T03:34:05+00:00</t>
  </si>
  <si>
    <t>Sellersville</t>
  </si>
  <si>
    <t>18960-2417</t>
  </si>
  <si>
    <t>111-1806127-1865037</t>
  </si>
  <si>
    <t>2018-06-24T19:26:34+00:00</t>
  </si>
  <si>
    <t>2018-06-25T03:14:48+00:00</t>
  </si>
  <si>
    <t>Grawn</t>
  </si>
  <si>
    <t>mi</t>
  </si>
  <si>
    <t>113-3443866-0150643</t>
  </si>
  <si>
    <t>2018-06-24T18:53:43+00:00</t>
  </si>
  <si>
    <t>2018-06-26T22:49:59+00:00</t>
  </si>
  <si>
    <t>CUMBERLAND CITY</t>
  </si>
  <si>
    <t>37050-4138</t>
  </si>
  <si>
    <t>113-6929217-2145050</t>
  </si>
  <si>
    <t>2018-06-24T18:45:23+00:00</t>
  </si>
  <si>
    <t>2018-06-26T19:59:41+00:00</t>
  </si>
  <si>
    <t>DZ-IUYL220-BK</t>
  </si>
  <si>
    <t>B079JNPCJ1</t>
  </si>
  <si>
    <t>OXFORD</t>
  </si>
  <si>
    <t>52322-9067</t>
  </si>
  <si>
    <t>111-5697067-6972252</t>
  </si>
  <si>
    <t>2018-06-24T18:28:52+00:00</t>
  </si>
  <si>
    <t>2018-06-26T19:42:40+00:00</t>
  </si>
  <si>
    <t>TZ-IUYL240-PAW-M</t>
  </si>
  <si>
    <t>Wayne City</t>
  </si>
  <si>
    <t>114-9764795-4526656</t>
  </si>
  <si>
    <t>2018-06-24T18:02:28+00:00</t>
  </si>
  <si>
    <t>2018-06-25T03:54:57+00:00</t>
  </si>
  <si>
    <t>ANACORTES</t>
  </si>
  <si>
    <t>112-1846937-1008209</t>
  </si>
  <si>
    <t>2018-06-24T17:56:36+00:00</t>
  </si>
  <si>
    <t>2018-06-25T19:25:57+00:00</t>
  </si>
  <si>
    <t>LONG BEACH</t>
  </si>
  <si>
    <t>90808-4337</t>
  </si>
  <si>
    <t>112-8265996-2698600</t>
  </si>
  <si>
    <t>2018-06-24T17:37:03+00:00</t>
  </si>
  <si>
    <t>2018-06-25T08:23:10+00:00</t>
  </si>
  <si>
    <t>ISLIP TERRACE</t>
  </si>
  <si>
    <t>11752-1315</t>
  </si>
  <si>
    <t>112-2771613-5325048</t>
  </si>
  <si>
    <t>2018-06-24T15:51:54+00:00</t>
  </si>
  <si>
    <t>2018-06-25T08:52:20+00:00</t>
  </si>
  <si>
    <t>21202-8102</t>
  </si>
  <si>
    <t>114-4550597-3761821</t>
  </si>
  <si>
    <t>2018-06-24T15:40:42+00:00</t>
  </si>
  <si>
    <t>2018-06-25T09:31:53+00:00</t>
  </si>
  <si>
    <t>CHARLESTOWN</t>
  </si>
  <si>
    <t>47111-8987</t>
  </si>
  <si>
    <t>112-9806594-2943449</t>
  </si>
  <si>
    <t>2018-06-24T14:53:25+00:00</t>
  </si>
  <si>
    <t>2018-06-25T09:38:59+00:00</t>
  </si>
  <si>
    <t>114-5709730-5724220</t>
  </si>
  <si>
    <t>2018-06-24T14:18:57+00:00</t>
  </si>
  <si>
    <t>2018-06-25T08:28:44+00:00</t>
  </si>
  <si>
    <t>Pet Dog Front Seat Cover For Cars - Hammock Style For Trucks SUV Van Auto Vehicle- Non slip Waterproof</t>
  </si>
  <si>
    <t>DZ-IUYL200-GR</t>
  </si>
  <si>
    <t>B079J99WVX</t>
  </si>
  <si>
    <t>Brevard</t>
  </si>
  <si>
    <t>114-1429013-6434647</t>
  </si>
  <si>
    <t>2018-06-24T13:57:12+00:00</t>
  </si>
  <si>
    <t>2018-06-25T11:31:59+00:00</t>
  </si>
  <si>
    <t>DYKE</t>
  </si>
  <si>
    <t>22935-1337</t>
  </si>
  <si>
    <t>111-4413256-9192231</t>
  </si>
  <si>
    <t>2018-06-24T12:49:51+00:00</t>
  </si>
  <si>
    <t>2018-06-25T12:26:19+00:00</t>
  </si>
  <si>
    <t>GODDARD</t>
  </si>
  <si>
    <t>67052-8210</t>
  </si>
  <si>
    <t>111-7099009-6399448</t>
  </si>
  <si>
    <t>2018-06-24T12:40:28+00:00</t>
  </si>
  <si>
    <t>2018-06-26T06:34:19+00:00</t>
  </si>
  <si>
    <t>FORKED RIVER</t>
  </si>
  <si>
    <t>08731-5648</t>
  </si>
  <si>
    <t>114-4069910-8782654</t>
  </si>
  <si>
    <t>2018-06-24T09:05:40+00:00</t>
  </si>
  <si>
    <t>2018-06-26T06:27:54+00:00</t>
  </si>
  <si>
    <t>KAILUA KONA</t>
  </si>
  <si>
    <t>HAWAII</t>
  </si>
  <si>
    <t>96740-1668</t>
  </si>
  <si>
    <t>114-5634203-1105035</t>
  </si>
  <si>
    <t>2018-06-24T08:47:40+00:00</t>
  </si>
  <si>
    <t>2018-06-25T06:46:21+00:00</t>
  </si>
  <si>
    <t>Men's Long Sleeve Formal Business Dress Shirts Navy Large</t>
  </si>
  <si>
    <t>ST172-NY-L</t>
  </si>
  <si>
    <t>B074SQ1FJK</t>
  </si>
  <si>
    <t>SAYREVILLE</t>
  </si>
  <si>
    <t>08872-2760</t>
  </si>
  <si>
    <t>Men's Long Sleeve Formal Business Dress Shirts Blue Large</t>
  </si>
  <si>
    <t>ST172-BL-L</t>
  </si>
  <si>
    <t>B074SZ6CL6</t>
  </si>
  <si>
    <t>114-9793044-4689821</t>
  </si>
  <si>
    <t>2018-06-24T05:18:43+00:00</t>
  </si>
  <si>
    <t>2018-06-25T16:14:04+00:00</t>
  </si>
  <si>
    <t>RIVERSIDE</t>
  </si>
  <si>
    <t>92506-3019</t>
  </si>
  <si>
    <t>111-7604487-9944228</t>
  </si>
  <si>
    <t>2018-06-24T05:04:19+00:00</t>
  </si>
  <si>
    <t>2018-06-25T06:19:15+00:00</t>
  </si>
  <si>
    <t>CLARKSVILLE</t>
  </si>
  <si>
    <t>37040-5841</t>
  </si>
  <si>
    <t>111-8048199-4057818</t>
  </si>
  <si>
    <t>2018-06-24T05:00:22+00:00</t>
  </si>
  <si>
    <t>2018-06-24T18:24:07+00:00</t>
  </si>
  <si>
    <t>COCONUT CREEK</t>
  </si>
  <si>
    <t>33066-2149</t>
  </si>
  <si>
    <t>112-2512902-2288252</t>
  </si>
  <si>
    <t>2018-06-24T04:07:30+00:00</t>
  </si>
  <si>
    <t>2018-06-25T04:34:03+00:00</t>
  </si>
  <si>
    <t>BURLINGAME</t>
  </si>
  <si>
    <t>94010-5757</t>
  </si>
  <si>
    <t>113-3036484-8979401</t>
  </si>
  <si>
    <t>2018-06-24T03:11:44+00:00</t>
  </si>
  <si>
    <t>2018-06-24T16:33:12+00:00</t>
  </si>
  <si>
    <t>MAPLEWOOD</t>
  </si>
  <si>
    <t>63143-1497</t>
  </si>
  <si>
    <t>112-0723227-9933021</t>
  </si>
  <si>
    <t>2018-06-24T02:07:19+00:00</t>
  </si>
  <si>
    <t>2018-06-25T04:44:50+00:00</t>
  </si>
  <si>
    <t>CONCORD</t>
  </si>
  <si>
    <t>28027-4190</t>
  </si>
  <si>
    <t>111-2364730-6785067</t>
  </si>
  <si>
    <t>2018-06-24T01:11:43+00:00</t>
  </si>
  <si>
    <t>2018-06-25T16:48:10+00:00</t>
  </si>
  <si>
    <t>360 All Positions Detachable Ergonomic Baby Carrier For Infant Child Todller Pink 2</t>
  </si>
  <si>
    <t>BBBD-BUSB1605B-PK</t>
  </si>
  <si>
    <t>B07C1KX15Z</t>
  </si>
  <si>
    <t>GRAND ISLAND</t>
  </si>
  <si>
    <t>68803-1719</t>
  </si>
  <si>
    <t>112-1231237-3381020</t>
  </si>
  <si>
    <t>2018-06-24T00:38:00+00:00</t>
  </si>
  <si>
    <t>2018-06-24T15:56:40+00:00</t>
  </si>
  <si>
    <t>YAKIMA</t>
  </si>
  <si>
    <t>98901-8534</t>
  </si>
  <si>
    <t>114-0577624-8733868</t>
  </si>
  <si>
    <t>2018-06-24T00:37:57+00:00</t>
  </si>
  <si>
    <t>2018-06-26T06:48:19+00:00</t>
  </si>
  <si>
    <t>113-3644870-7447429</t>
  </si>
  <si>
    <t>2018-06-24T00:02:37+00:00</t>
  </si>
  <si>
    <t>2018-06-24T19:08:12+00:00</t>
  </si>
  <si>
    <t>ARLINGTON</t>
  </si>
  <si>
    <t>02476-7507</t>
  </si>
  <si>
    <t>112-2594502-5941050</t>
  </si>
  <si>
    <t>2018-06-25T21:57:51+00:00</t>
  </si>
  <si>
    <t>2018-06-27T06:40:11+00:00</t>
  </si>
  <si>
    <t>95139-1349</t>
  </si>
  <si>
    <t>112-6118294-4394602</t>
  </si>
  <si>
    <t>2018-06-25T21:23:58+00:00</t>
  </si>
  <si>
    <t>2018-06-26T06:24:59+00:00</t>
  </si>
  <si>
    <t>Mount Juliet</t>
  </si>
  <si>
    <t>114-5300074-7659424</t>
  </si>
  <si>
    <t>2018-06-25T20:34:40+00:00</t>
  </si>
  <si>
    <t>2018-06-26T08:17:48+00:00</t>
  </si>
  <si>
    <t>Lebanon</t>
  </si>
  <si>
    <t>114-0138670-1051424</t>
  </si>
  <si>
    <t>2018-06-25T18:43:24+00:00</t>
  </si>
  <si>
    <t>2018-06-26T23:53:11+00:00</t>
  </si>
  <si>
    <t>77057-3787</t>
  </si>
  <si>
    <t>112-8532950-4149839</t>
  </si>
  <si>
    <t>2018-06-25T17:10:18+00:00</t>
  </si>
  <si>
    <t>2018-06-26T06:38:14+00:00</t>
  </si>
  <si>
    <t>Staten Island</t>
  </si>
  <si>
    <t>10314-5936</t>
  </si>
  <si>
    <t>112-4628968-1431443</t>
  </si>
  <si>
    <t>2018-06-25T16:55:22+00:00</t>
  </si>
  <si>
    <t>2018-06-27T07:45:18+00:00</t>
  </si>
  <si>
    <t>CHARLESTON</t>
  </si>
  <si>
    <t>29412-8720</t>
  </si>
  <si>
    <t>114-2101307-3485828</t>
  </si>
  <si>
    <t>2018-06-25T15:30:31+00:00</t>
  </si>
  <si>
    <t>2018-06-27T16:29:10+00:00</t>
  </si>
  <si>
    <t>WOLLASTON</t>
  </si>
  <si>
    <t>02170-2312</t>
  </si>
  <si>
    <t>112-8197962-8829839</t>
  </si>
  <si>
    <t>2018-06-25T14:37:39+00:00</t>
  </si>
  <si>
    <t>2018-06-25T22:53:10+00:00</t>
  </si>
  <si>
    <t>10023-2889</t>
  </si>
  <si>
    <t>113-6495092-7833016</t>
  </si>
  <si>
    <t>2018-06-25T14:06:38+00:00</t>
  </si>
  <si>
    <t>2018-06-26T20:48:03+00:00</t>
  </si>
  <si>
    <t>NEWPORT NEWS</t>
  </si>
  <si>
    <t>23602-7141</t>
  </si>
  <si>
    <t>111-2525532-8805868</t>
  </si>
  <si>
    <t>2018-06-25T13:27:16+00:00</t>
  </si>
  <si>
    <t>2018-06-26T06:17:14+00:00</t>
  </si>
  <si>
    <t>37067-4013</t>
  </si>
  <si>
    <t>113-7020850-0783461</t>
  </si>
  <si>
    <t>2018-06-25T12:24:24+00:00</t>
  </si>
  <si>
    <t>2018-06-26T01:12:32+00:00</t>
  </si>
  <si>
    <t>MALVERN</t>
  </si>
  <si>
    <t>19355-3973</t>
  </si>
  <si>
    <t>113-9802527-9472236</t>
  </si>
  <si>
    <t>2018-06-25T10:30:08+00:00</t>
  </si>
  <si>
    <t>2018-06-26T23:55:02+00:00</t>
  </si>
  <si>
    <t>ROUND ROCK</t>
  </si>
  <si>
    <t>78665-2112</t>
  </si>
  <si>
    <t>111-5507248-3797027</t>
  </si>
  <si>
    <t>2018-06-25T04:50:04+00:00</t>
  </si>
  <si>
    <t>2018-06-26T05:00:30+00:00</t>
  </si>
  <si>
    <t>MILWAUKEE</t>
  </si>
  <si>
    <t>53212-3841</t>
  </si>
  <si>
    <t>112-7453234-3897061</t>
  </si>
  <si>
    <t>2018-06-25T04:48:22+00:00</t>
  </si>
  <si>
    <t>2018-06-26T23:45:02+00:00</t>
  </si>
  <si>
    <t>94105-2540</t>
  </si>
  <si>
    <t>111-6507525-1794664</t>
  </si>
  <si>
    <t>2018-06-25T04:46:54+00:00</t>
  </si>
  <si>
    <t>2018-06-25T04:57:15+00:00</t>
  </si>
  <si>
    <t>FRONTENAC</t>
  </si>
  <si>
    <t>66763-8108</t>
  </si>
  <si>
    <t>111-7346846-9520215</t>
  </si>
  <si>
    <t>2018-06-25T04:31:42+00:00</t>
  </si>
  <si>
    <t>2018-06-26T04:27:29+00:00</t>
  </si>
  <si>
    <t>Men's Short Sleeve Formal Dress Shirts Black Small</t>
  </si>
  <si>
    <t>ST173-BK-S</t>
  </si>
  <si>
    <t>B074SM5RZS</t>
  </si>
  <si>
    <t>78741-6952</t>
  </si>
  <si>
    <t>113-1448342-6169038</t>
  </si>
  <si>
    <t>2018-06-25T04:29:26+00:00</t>
  </si>
  <si>
    <t>2018-06-27T01:39:49+00:00</t>
  </si>
  <si>
    <t>ORANGE</t>
  </si>
  <si>
    <t>92866-2599</t>
  </si>
  <si>
    <t>112-7502413-9541867</t>
  </si>
  <si>
    <t>2018-06-25T04:18:05+00:00</t>
  </si>
  <si>
    <t>2018-06-28T02:26:15+00:00</t>
  </si>
  <si>
    <t>33182-2489</t>
  </si>
  <si>
    <t>114-2238121-9595449</t>
  </si>
  <si>
    <t>2018-06-25T04:13:58+00:00</t>
  </si>
  <si>
    <t>2018-06-25T22:58:16+00:00</t>
  </si>
  <si>
    <t>94117-1642</t>
  </si>
  <si>
    <t>112-9943052-5503427</t>
  </si>
  <si>
    <t>2018-06-25T04:08:37+00:00</t>
  </si>
  <si>
    <t>2018-06-27T19:59:49+00:00</t>
  </si>
  <si>
    <t>marshalltown</t>
  </si>
  <si>
    <t>iowa</t>
  </si>
  <si>
    <t>114-0269818-5996200</t>
  </si>
  <si>
    <t>2018-06-25T03:18:45+00:00</t>
  </si>
  <si>
    <t>2018-06-25T06:07:11+00:00</t>
  </si>
  <si>
    <t>CARLTON</t>
  </si>
  <si>
    <t>97111-9443</t>
  </si>
  <si>
    <t>114-7308639-9557840</t>
  </si>
  <si>
    <t>2018-06-25T02:52:10+00:00</t>
  </si>
  <si>
    <t>2018-06-25T08:27:10+00:00</t>
  </si>
  <si>
    <t>LGQ-IUYL100-GN</t>
  </si>
  <si>
    <t>B0798NZCMN</t>
  </si>
  <si>
    <t>Piedmont</t>
  </si>
  <si>
    <t>111-2227549-5557053</t>
  </si>
  <si>
    <t>2018-06-25T02:36:14+00:00</t>
  </si>
  <si>
    <t>2018-06-27T16:38:58+00:00</t>
  </si>
  <si>
    <t>Poinciana</t>
  </si>
  <si>
    <t>112-8371766-1626640</t>
  </si>
  <si>
    <t>2018-06-25T02:17:52+00:00</t>
  </si>
  <si>
    <t>2018-06-25T09:00:26+00:00</t>
  </si>
  <si>
    <t>OAK ISLAND</t>
  </si>
  <si>
    <t>28465-8364</t>
  </si>
  <si>
    <t>113-9938086-1222609</t>
  </si>
  <si>
    <t>2018-06-25T01:42:32+00:00</t>
  </si>
  <si>
    <t>2018-06-25T22:47:29+00:00</t>
  </si>
  <si>
    <t>114-4165153-6085043</t>
  </si>
  <si>
    <t>2018-06-25T01:11:38+00:00</t>
  </si>
  <si>
    <t>2018-06-25T14:12:51+00:00</t>
  </si>
  <si>
    <t>Bloomington</t>
  </si>
  <si>
    <t>Illinois</t>
  </si>
  <si>
    <t>111-9546383-0447434</t>
  </si>
  <si>
    <t>2018-06-25T01:03:00+00:00</t>
  </si>
  <si>
    <t>2018-06-25T09:27:02+00:00</t>
  </si>
  <si>
    <t>Indianapolis</t>
  </si>
  <si>
    <t>Indiana</t>
  </si>
  <si>
    <t>114-8962484-2805828</t>
  </si>
  <si>
    <t>2018-06-25T00:51:24+00:00</t>
  </si>
  <si>
    <t>2018-06-26T06:46:45+00:00</t>
  </si>
  <si>
    <t>TOMS RIVER</t>
  </si>
  <si>
    <t>08757-5704</t>
  </si>
  <si>
    <t>114-7768615-1489863</t>
  </si>
  <si>
    <t>2018-06-25T00:36:05+00:00</t>
  </si>
  <si>
    <t>2018-06-26T01:23:56+00:00</t>
  </si>
  <si>
    <t>WAYNE</t>
  </si>
  <si>
    <t>07470-6320</t>
  </si>
  <si>
    <t>112-8516857-3473038</t>
  </si>
  <si>
    <t>2018-06-25T00:25:00+00:00</t>
  </si>
  <si>
    <t>2018-06-26T16:45:42+00:00</t>
  </si>
  <si>
    <t>Flushing</t>
  </si>
  <si>
    <t>Ny</t>
  </si>
  <si>
    <t>114-3307433-3097051</t>
  </si>
  <si>
    <t>2018-06-26T23:45:39+00:00</t>
  </si>
  <si>
    <t>2018-06-27T18:38:52+00:00</t>
  </si>
  <si>
    <t>luciphia 1 Pack 3 Blankets Super Soft Fluffy Premium Fleece Pet Blanket Flannel Throw for Dog Puppy Cat Paw Medium</t>
  </si>
  <si>
    <t>PFLUGERVILLE</t>
  </si>
  <si>
    <t>78660-2079</t>
  </si>
  <si>
    <t>113-1920237-0029846</t>
  </si>
  <si>
    <t>2018-06-26T23:18:46+00:00</t>
  </si>
  <si>
    <t>2018-06-27T10:28:09+00:00</t>
  </si>
  <si>
    <t>360 All Positions Detachable Ergonomic Baby Carrier For Infant Child Todller Blue</t>
  </si>
  <si>
    <t>BBBD-1605A-BL</t>
  </si>
  <si>
    <t>B07D8S8R3B</t>
  </si>
  <si>
    <t>CLINTON</t>
  </si>
  <si>
    <t>84015-7575</t>
  </si>
  <si>
    <t>113-0721264-5420207</t>
  </si>
  <si>
    <t>2018-06-26T22:02:26+00:00</t>
  </si>
  <si>
    <t>2018-06-28T00:45:25+00:00</t>
  </si>
  <si>
    <t>MARRERO</t>
  </si>
  <si>
    <t>70072-6025</t>
  </si>
  <si>
    <t>112-2599323-7029802</t>
  </si>
  <si>
    <t>2018-06-26T21:47:28+00:00</t>
  </si>
  <si>
    <t>2018-06-28T02:50:00+00:00</t>
  </si>
  <si>
    <t>11205-1155</t>
  </si>
  <si>
    <t>112-0790914-5572217</t>
  </si>
  <si>
    <t>2018-06-26T21:44:54+00:00</t>
  </si>
  <si>
    <t>2018-06-28T00:52:54+00:00</t>
  </si>
  <si>
    <t>luciphia 1 Pack 3 Blankets Super Soft Fluffy Premium Fleece Pet Blanket Flannel Throw for Dog Puppy Cat Paw Large</t>
  </si>
  <si>
    <t>113-4332221-2284260</t>
  </si>
  <si>
    <t>2018-06-26T21:08:37+00:00</t>
  </si>
  <si>
    <t>2018-06-27T19:03:24+00:00</t>
  </si>
  <si>
    <t>Luciphia Women's Tops Long Sleeve A-Line Lace Stitching Trim Casual Tunic Dress M Blue</t>
  </si>
  <si>
    <t>LYQ-WF7125-BO-M</t>
  </si>
  <si>
    <t>B077XX612Q</t>
  </si>
  <si>
    <t>Mass city</t>
  </si>
  <si>
    <t>114-1775972-8336234</t>
  </si>
  <si>
    <t>2018-06-26T20:43:35+00:00</t>
  </si>
  <si>
    <t>2018-07-01T06:48:52+00:00</t>
  </si>
  <si>
    <t>luciphia 1 Pack 3 Blankets Super Soft Fluffy Premium Fleece Pet Blanket Flannel Throw for Dog Puppy Strawberry Small</t>
  </si>
  <si>
    <t>17112-8847</t>
  </si>
  <si>
    <t>111-3723385-9203405</t>
  </si>
  <si>
    <t>2018-06-26T20:12:58+00:00</t>
  </si>
  <si>
    <t>2018-06-27T02:38:34+00:00</t>
  </si>
  <si>
    <t>MERIDEN</t>
  </si>
  <si>
    <t>06450-2506</t>
  </si>
  <si>
    <t>112-3206082-3249041</t>
  </si>
  <si>
    <t>2018-06-26T20:01:19+00:00</t>
  </si>
  <si>
    <t>2018-06-27T12:26:53+00:00</t>
  </si>
  <si>
    <t>CAMPO</t>
  </si>
  <si>
    <t>91906-1101</t>
  </si>
  <si>
    <t>112-7167122-1455407</t>
  </si>
  <si>
    <t>2018-06-26T19:59:30+00:00</t>
  </si>
  <si>
    <t>2018-06-27T03:01:30+00:00</t>
  </si>
  <si>
    <t>Weston</t>
  </si>
  <si>
    <t>111-2293362-6568263</t>
  </si>
  <si>
    <t>2018-06-26T19:53:48+00:00</t>
  </si>
  <si>
    <t>2018-06-28T05:06:51+00:00</t>
  </si>
  <si>
    <t>HUMBLE</t>
  </si>
  <si>
    <t>77396-1686</t>
  </si>
  <si>
    <t>113-8070087-9525037</t>
  </si>
  <si>
    <t>2018-06-26T19:51:10+00:00</t>
  </si>
  <si>
    <t>2018-06-27T04:28:10+00:00</t>
  </si>
  <si>
    <t>luciphia 1 Pack 3 Blankets Super Soft Fluffy Premium Fleece Pet Blanket Flannel Throw for Dog Puppy Dot Medium</t>
  </si>
  <si>
    <t>SIMPSONVILLE</t>
  </si>
  <si>
    <t>29681-3601</t>
  </si>
  <si>
    <t>113-5038817-7013069</t>
  </si>
  <si>
    <t>2018-06-26T19:06:25+00:00</t>
  </si>
  <si>
    <t>2018-06-28T03:11:02+00:00</t>
  </si>
  <si>
    <t>FRANKLIN PARK</t>
  </si>
  <si>
    <t>08823-1816</t>
  </si>
  <si>
    <t>112-3256065-8501067</t>
  </si>
  <si>
    <t>2018-06-26T18:02:06+00:00</t>
  </si>
  <si>
    <t>2018-06-26T21:26:11+00:00</t>
  </si>
  <si>
    <t>luciphia 1 Pack 3 Blankets Super Soft Fluffy Premium Fleece Pet Blanket Flannel Throw for Dog Puppy Dot Small</t>
  </si>
  <si>
    <t>34237-8201</t>
  </si>
  <si>
    <t>112-3291711-7953855</t>
  </si>
  <si>
    <t>2018-06-26T17:54:38+00:00</t>
  </si>
  <si>
    <t>2018-06-27T15:36:42+00:00</t>
  </si>
  <si>
    <t>luciphia 1 Pack 3 Blankets Super Soft Fluffy Premium Fleece Pet Blanket Flannel Throw for Dog Puppy Cat Star Small</t>
  </si>
  <si>
    <t>HUNTINGTON</t>
  </si>
  <si>
    <t>25705-1804</t>
  </si>
  <si>
    <t>114-6254991-8004206</t>
  </si>
  <si>
    <t>2018-06-26T17:52:49+00:00</t>
  </si>
  <si>
    <t>2018-06-28T00:22:20+00:00</t>
  </si>
  <si>
    <t>22314-4944</t>
  </si>
  <si>
    <t>112-1588821-9368224</t>
  </si>
  <si>
    <t>2018-06-26T17:37:06+00:00</t>
  </si>
  <si>
    <t>2018-06-27T05:00:55+00:00</t>
  </si>
  <si>
    <t>48423-9536</t>
  </si>
  <si>
    <t>113-0712314-0261809</t>
  </si>
  <si>
    <t>2018-06-26T17:20:51+00:00</t>
  </si>
  <si>
    <t>2018-06-27T08:23:40+00:00</t>
  </si>
  <si>
    <t>GAP</t>
  </si>
  <si>
    <t>17527-9691</t>
  </si>
  <si>
    <t>114-0058614-8701814</t>
  </si>
  <si>
    <t>2018-06-26T17:00:17+00:00</t>
  </si>
  <si>
    <t>2018-06-27T22:29:56+00:00</t>
  </si>
  <si>
    <t>114-0296676-4244206</t>
  </si>
  <si>
    <t>2018-06-26T16:42:46+00:00</t>
  </si>
  <si>
    <t>2018-06-27T10:10:20+00:00</t>
  </si>
  <si>
    <t>Kemmerer</t>
  </si>
  <si>
    <t>113-2591033-0865033</t>
  </si>
  <si>
    <t>2018-06-26T16:37:46+00:00</t>
  </si>
  <si>
    <t>2018-06-26T23:44:42+00:00</t>
  </si>
  <si>
    <t>luciphia 1 Pack 3 Blankets Super Soft Fluffy Premium Fleece Pet Blanket Flannel Throw for Dog Puppy Cat Bone Medium</t>
  </si>
  <si>
    <t>arlington</t>
  </si>
  <si>
    <t>113-1918271-0421007</t>
  </si>
  <si>
    <t>2018-06-27T06:17:40+00:00</t>
  </si>
  <si>
    <t>111-9194233-5279465</t>
  </si>
  <si>
    <t>2018-06-26T16:33:29+00:00</t>
  </si>
  <si>
    <t>2018-06-27T16:56:37+00:00</t>
  </si>
  <si>
    <t>luciphia 1 Pack 3 Blankets Super Soft Fluffy Premium Fleece Pet Blanket Flannel Throw for Dog Puppy Elephant Medium</t>
  </si>
  <si>
    <t>48103-9428</t>
  </si>
  <si>
    <t>112-6279059-6877803</t>
  </si>
  <si>
    <t>2018-06-26T15:46:47+00:00</t>
  </si>
  <si>
    <t>2018-06-26T22:35:25+00:00</t>
  </si>
  <si>
    <t>10065-6566</t>
  </si>
  <si>
    <t>113-6452267-5358654</t>
  </si>
  <si>
    <t>2018-06-26T15:32:29+00:00</t>
  </si>
  <si>
    <t>2018-06-27T16:41:09+00:00</t>
  </si>
  <si>
    <t>10453-6931</t>
  </si>
  <si>
    <t>114-2647898-0734609</t>
  </si>
  <si>
    <t>2018-06-26T14:39:44+00:00</t>
  </si>
  <si>
    <t>2018-06-28T01:43:25+00:00</t>
  </si>
  <si>
    <t>98225-7407</t>
  </si>
  <si>
    <t>111-8817565-1175427</t>
  </si>
  <si>
    <t>2018-06-26T13:40:28+00:00</t>
  </si>
  <si>
    <t>2018-06-26T21:23:01+00:00</t>
  </si>
  <si>
    <t>Luciphia Dog Seat Belt, 3 Packs Adjustable Vehicle Car Seatbelt Leash Safety Leads Harness for Pets Cats Animals Purple</t>
  </si>
  <si>
    <t>AQD-IUYL330-PP</t>
  </si>
  <si>
    <t>B07BM3PGBP</t>
  </si>
  <si>
    <t>BUNKER HILL</t>
  </si>
  <si>
    <t>46914-9531</t>
  </si>
  <si>
    <t>114-3447088-6453029</t>
  </si>
  <si>
    <t>2018-06-26T12:48:08+00:00</t>
  </si>
  <si>
    <t>2018-06-28T01:03:57+00:00</t>
  </si>
  <si>
    <t>GLEN BURNIE</t>
  </si>
  <si>
    <t>21061-2784</t>
  </si>
  <si>
    <t>111-0434742-4424260</t>
  </si>
  <si>
    <t>2018-06-26T10:58:56+00:00</t>
  </si>
  <si>
    <t>2018-06-27T02:01:00+00:00</t>
  </si>
  <si>
    <t>PARKER</t>
  </si>
  <si>
    <t>80134-6316</t>
  </si>
  <si>
    <t>114-2773919-5339444</t>
  </si>
  <si>
    <t>2018-06-26T06:22:50+00:00</t>
  </si>
  <si>
    <t>2018-06-28T00:54:37+00:00</t>
  </si>
  <si>
    <t>Luciphia Women's Tops Long Sleeve A-Line Lace Stitching Trim Casual Tunic Dress XL Blue</t>
  </si>
  <si>
    <t>LYQ-WF7125-BO-XL</t>
  </si>
  <si>
    <t>B077XQDLK8</t>
  </si>
  <si>
    <t>30157-8977</t>
  </si>
  <si>
    <t>114-9142204-3986613</t>
  </si>
  <si>
    <t>2018-06-26T03:42:10+00:00</t>
  </si>
  <si>
    <t>2018-06-27T02:56:55+00:00</t>
  </si>
  <si>
    <t>55406-1365</t>
  </si>
  <si>
    <t>113-9274560-4382612</t>
  </si>
  <si>
    <t>2018-06-26T03:24:56+00:00</t>
  </si>
  <si>
    <t>2018-06-28T06:16:35+00:00</t>
  </si>
  <si>
    <t>luciphia 1 Pack 3 Blankets Super Soft Fluffy Premium Fleece Pet Blanket Flannel Throw for Dog Puppy Cat Bone Large</t>
  </si>
  <si>
    <t>Belleville</t>
  </si>
  <si>
    <t>111-3623953-4354615</t>
  </si>
  <si>
    <t>2018-06-26T03:24:53+00:00</t>
  </si>
  <si>
    <t>2018-06-26T22:36:53+00:00</t>
  </si>
  <si>
    <t>90024-4825</t>
  </si>
  <si>
    <t>112-4477640-9429806</t>
  </si>
  <si>
    <t>2018-06-26T02:56:49+00:00</t>
  </si>
  <si>
    <t>2018-06-26T19:04:21+00:00</t>
  </si>
  <si>
    <t>ARLINGTON HEIGHTS</t>
  </si>
  <si>
    <t>60005-3556</t>
  </si>
  <si>
    <t>112-5370825-6938613</t>
  </si>
  <si>
    <t>2018-06-26T02:31:42+00:00</t>
  </si>
  <si>
    <t>2018-06-27T08:26:07+00:00</t>
  </si>
  <si>
    <t>114-7511525-6323413</t>
  </si>
  <si>
    <t>2018-06-26T01:31:01+00:00</t>
  </si>
  <si>
    <t>2018-06-27T04:37:15+00:00</t>
  </si>
  <si>
    <t>Women's Large Print Silk Scarf Floral Square Pashmina Shawl</t>
  </si>
  <si>
    <t>SCF-C01-017</t>
  </si>
  <si>
    <t>B075WTKCN3</t>
  </si>
  <si>
    <t>GLADWIN</t>
  </si>
  <si>
    <t>48624-9002</t>
  </si>
  <si>
    <t>111-1185709-0471416</t>
  </si>
  <si>
    <t>2018-06-26T01:18:43+00:00</t>
  </si>
  <si>
    <t>2018-06-26T04:36:47+00:00</t>
  </si>
  <si>
    <t>COHOES</t>
  </si>
  <si>
    <t>12047-1009</t>
  </si>
  <si>
    <t>112-0124688-9343434</t>
  </si>
  <si>
    <t>2018-06-26T00:38:14+00:00</t>
  </si>
  <si>
    <t>2018-06-28T00:28:36+00:00</t>
  </si>
  <si>
    <t>CORAL GABLES</t>
  </si>
  <si>
    <t>33134-4708</t>
  </si>
  <si>
    <t>111-4388991-4922653</t>
  </si>
  <si>
    <t>2018-06-26T00:17:06+00:00</t>
  </si>
  <si>
    <t>2018-06-26T22:26:50+00:00</t>
  </si>
  <si>
    <t>EXCELSIOR SPRINGS</t>
  </si>
  <si>
    <t>64024-8120</t>
  </si>
  <si>
    <t>113-7487306-2198669</t>
  </si>
  <si>
    <t>2018-06-26T00:02:42+00:00</t>
  </si>
  <si>
    <t>2018-06-27T21:51:27+00:00</t>
  </si>
  <si>
    <t>ABERDEEN</t>
  </si>
  <si>
    <t>07747-1982</t>
  </si>
  <si>
    <t>111-8394716-9305006</t>
  </si>
  <si>
    <t>2018-06-27T23:00:54+00:00</t>
  </si>
  <si>
    <t>2018-06-29T03:00:46+00:00</t>
  </si>
  <si>
    <t>Davenport</t>
  </si>
  <si>
    <t>112-1632207-4189843</t>
  </si>
  <si>
    <t>2018-06-27T22:02:52+00:00</t>
  </si>
  <si>
    <t>2018-06-28T08:53:33+00:00</t>
  </si>
  <si>
    <t>ELKINS</t>
  </si>
  <si>
    <t>26241-9531</t>
  </si>
  <si>
    <t>113-9589507-2551464</t>
  </si>
  <si>
    <t>2018-06-27T21:49:47+00:00</t>
  </si>
  <si>
    <t>2018-06-29T09:39:22+00:00</t>
  </si>
  <si>
    <t>Torrington</t>
  </si>
  <si>
    <t>114-4314908-0872268</t>
  </si>
  <si>
    <t>2018-06-27T21:17:24+00:00</t>
  </si>
  <si>
    <t>2018-06-28T21:17:10+00:00</t>
  </si>
  <si>
    <t>CINCINNATI</t>
  </si>
  <si>
    <t>45215-1558</t>
  </si>
  <si>
    <t>111-3779153-7404215</t>
  </si>
  <si>
    <t>2018-06-27T20:44:36+00:00</t>
  </si>
  <si>
    <t>2018-06-29T06:31:36+00:00</t>
  </si>
  <si>
    <t>BURBANK</t>
  </si>
  <si>
    <t>91505-2130</t>
  </si>
  <si>
    <t>112-2480533-5794622</t>
  </si>
  <si>
    <t>2018-06-27T20:31:49+00:00</t>
  </si>
  <si>
    <t>2018-06-28T21:21:48+00:00</t>
  </si>
  <si>
    <t>Morganton</t>
  </si>
  <si>
    <t>28655-6052</t>
  </si>
  <si>
    <t>111-3537483-1181001</t>
  </si>
  <si>
    <t>2018-06-27T20:15:32+00:00</t>
  </si>
  <si>
    <t>2018-06-28T16:31:20+00:00</t>
  </si>
  <si>
    <t>Franklin</t>
  </si>
  <si>
    <t>Tn</t>
  </si>
  <si>
    <t>112-7210500-6622631</t>
  </si>
  <si>
    <t>2018-06-27T19:03:02+00:00</t>
  </si>
  <si>
    <t>2018-06-28T21:58:42+00:00</t>
  </si>
  <si>
    <t>SCF-D01-006</t>
  </si>
  <si>
    <t>B075WRWK44</t>
  </si>
  <si>
    <t>Gainesville</t>
  </si>
  <si>
    <t>113-8143713-4950630</t>
  </si>
  <si>
    <t>2018-06-27T18:35:43+00:00</t>
  </si>
  <si>
    <t>2018-06-28T00:53:39+00:00</t>
  </si>
  <si>
    <t>NAVARRE</t>
  </si>
  <si>
    <t>32566-3239</t>
  </si>
  <si>
    <t>114-3194666-7007405</t>
  </si>
  <si>
    <t>2018-06-27T18:01:41+00:00</t>
  </si>
  <si>
    <t>2018-06-28T21:38:25+00:00</t>
  </si>
  <si>
    <t>HULL</t>
  </si>
  <si>
    <t>02045-2831</t>
  </si>
  <si>
    <t>113-5931296-3609056</t>
  </si>
  <si>
    <t>2018-06-27T17:05:28+00:00</t>
  </si>
  <si>
    <t>2018-06-29T03:53:07+00:00</t>
  </si>
  <si>
    <t>Louisville</t>
  </si>
  <si>
    <t>113-2836611-0469801</t>
  </si>
  <si>
    <t>2018-06-27T17:05:24+00:00</t>
  </si>
  <si>
    <t>2018-06-28T07:01:42+00:00</t>
  </si>
  <si>
    <t>Glendale</t>
  </si>
  <si>
    <t>111-1198498-6678608</t>
  </si>
  <si>
    <t>2018-06-27T16:53:03+00:00</t>
  </si>
  <si>
    <t>2018-07-01T02:31:38+00:00</t>
  </si>
  <si>
    <t>VINTON</t>
  </si>
  <si>
    <t>24179-2215</t>
  </si>
  <si>
    <t>111-6000313-5426652</t>
  </si>
  <si>
    <t>2018-06-27T16:25:59+00:00</t>
  </si>
  <si>
    <t>2018-07-01T15:27:04+00:00</t>
  </si>
  <si>
    <t>Grand Junction</t>
  </si>
  <si>
    <t>Colorado</t>
  </si>
  <si>
    <t>114-2355188-2004238</t>
  </si>
  <si>
    <t>2018-06-27T15:25:52+00:00</t>
  </si>
  <si>
    <t>2018-06-28T01:09:40+00:00</t>
  </si>
  <si>
    <t>11204-3463</t>
  </si>
  <si>
    <t>113-9529411-3943461</t>
  </si>
  <si>
    <t>2018-06-27T15:05:19+00:00</t>
  </si>
  <si>
    <t>2018-06-28T18:22:59+00:00</t>
  </si>
  <si>
    <t>STODDARD</t>
  </si>
  <si>
    <t>03464-4016</t>
  </si>
  <si>
    <t>Business Price</t>
  </si>
  <si>
    <t>111-0560254-3266659</t>
  </si>
  <si>
    <t>2018-06-27T14:52:39+00:00</t>
  </si>
  <si>
    <t>2018-07-02T14:13:56+00:00</t>
  </si>
  <si>
    <t>luciphia 1 Pack 3 Blankets Super Soft Fluffy Premium Fleece Pet Blanket Flannel Throw for Dog Puppy Cat Star Medium</t>
  </si>
  <si>
    <t>everett</t>
  </si>
  <si>
    <t>washington</t>
  </si>
  <si>
    <t>luciphia 1 Pack 3 Blankets Super Soft Fluffy Premium Fleece Pet Blanket Flannel Throw for Dog Puppy Cat Star Large</t>
  </si>
  <si>
    <t>111-9176825-9629047</t>
  </si>
  <si>
    <t>2018-06-27T14:22:20+00:00</t>
  </si>
  <si>
    <t>2018-06-29T03:57:34+00:00</t>
  </si>
  <si>
    <t>113-2981892-3305033</t>
  </si>
  <si>
    <t>2018-06-27T13:06:54+00:00</t>
  </si>
  <si>
    <t>2018-06-29T01:46:38+00:00</t>
  </si>
  <si>
    <t>WEST CHESTER</t>
  </si>
  <si>
    <t>19380-1365</t>
  </si>
  <si>
    <t>114-1649373-6441063</t>
  </si>
  <si>
    <t>2018-06-27T12:42:02+00:00</t>
  </si>
  <si>
    <t>2018-06-28T01:25:10+00:00</t>
  </si>
  <si>
    <t>FLUSHING</t>
  </si>
  <si>
    <t>11354-4611</t>
  </si>
  <si>
    <t>111-1552379-0236234</t>
  </si>
  <si>
    <t>2018-06-27T11:05:14+00:00</t>
  </si>
  <si>
    <t>2018-07-02T17:25:20+00:00</t>
  </si>
  <si>
    <t>luciphia 1 Pack 3 Blankets Super Soft Fluffy Premium Fleece Pet Blanket Flannel Throw for Dog Puppy Elephant Large</t>
  </si>
  <si>
    <t>santa monica</t>
  </si>
  <si>
    <t>111-1845348-1041027</t>
  </si>
  <si>
    <t>2018-06-27T05:48:08+00:00</t>
  </si>
  <si>
    <t>2018-06-28T07:01:44+00:00</t>
  </si>
  <si>
    <t>MARICOPA</t>
  </si>
  <si>
    <t>85138-8670</t>
  </si>
  <si>
    <t>111-1157920-7155421</t>
  </si>
  <si>
    <t>2018-06-27T05:08:55+00:00</t>
  </si>
  <si>
    <t>2018-06-27T22:44:42+00:00</t>
  </si>
  <si>
    <t>33147-2417</t>
  </si>
  <si>
    <t>111-8521443-3858647</t>
  </si>
  <si>
    <t>2018-06-27T04:22:30+00:00</t>
  </si>
  <si>
    <t>2018-06-28T02:03:05+00:00</t>
  </si>
  <si>
    <t>AUBURN</t>
  </si>
  <si>
    <t>114-0238601-6773875</t>
  </si>
  <si>
    <t>2018-06-27T04:16:35+00:00</t>
  </si>
  <si>
    <t>2018-06-28T06:59:06+00:00</t>
  </si>
  <si>
    <t>RALEIGH</t>
  </si>
  <si>
    <t>27606-5248</t>
  </si>
  <si>
    <t>112-2130883-1257062</t>
  </si>
  <si>
    <t>2018-06-27T04:05:17+00:00</t>
  </si>
  <si>
    <t>2018-06-28T03:12:07+00:00</t>
  </si>
  <si>
    <t>STANWOOD</t>
  </si>
  <si>
    <t>112-6852466-2817808</t>
  </si>
  <si>
    <t>2018-06-27T03:56:25+00:00</t>
  </si>
  <si>
    <t>2018-06-27T16:36:06+00:00</t>
  </si>
  <si>
    <t>10460-6312</t>
  </si>
  <si>
    <t>111-4273381-3888226</t>
  </si>
  <si>
    <t>2018-06-27T03:46:02+00:00</t>
  </si>
  <si>
    <t>2018-06-28T06:23:35+00:00</t>
  </si>
  <si>
    <t>75231-2216</t>
  </si>
  <si>
    <t>114-4583180-7653058</t>
  </si>
  <si>
    <t>2018-06-27T01:42:01+00:00</t>
  </si>
  <si>
    <t>2018-06-28T04:05:13+00:00</t>
  </si>
  <si>
    <t>TZ-IUYL240-DOT-S</t>
  </si>
  <si>
    <t>Irving</t>
  </si>
  <si>
    <t>111-1892454-0249836</t>
  </si>
  <si>
    <t>2018-06-27T01:23:44+00:00</t>
  </si>
  <si>
    <t>2018-06-28T09:28:46+00:00</t>
  </si>
  <si>
    <t>33881-1723</t>
  </si>
  <si>
    <t>114-4929120-0822616</t>
  </si>
  <si>
    <t>2018-06-27T00:21:37+00:00</t>
  </si>
  <si>
    <t>2018-06-28T00:56:34+00:00</t>
  </si>
  <si>
    <t>19130-3505</t>
  </si>
  <si>
    <t>114-5338949-8350668</t>
  </si>
  <si>
    <t>2018-06-28T23:50:50+00:00</t>
  </si>
  <si>
    <t>2018-06-29T10:26:50+00:00</t>
  </si>
  <si>
    <t>HOLDEN</t>
  </si>
  <si>
    <t>MASSACHUSETTS</t>
  </si>
  <si>
    <t>01520-2607</t>
  </si>
  <si>
    <t>111-7180040-7289801</t>
  </si>
  <si>
    <t>2018-06-28T23:43:30+00:00</t>
  </si>
  <si>
    <t>2018-06-30T04:22:59+00:00</t>
  </si>
  <si>
    <t>Simpsonville</t>
  </si>
  <si>
    <t>111-7579574-4141805</t>
  </si>
  <si>
    <t>2018-06-28T23:17:53+00:00</t>
  </si>
  <si>
    <t>2018-06-29T10:33:25+00:00</t>
  </si>
  <si>
    <t>STILLWATER</t>
  </si>
  <si>
    <t>74074-4522</t>
  </si>
  <si>
    <t>113-1279118-4181836</t>
  </si>
  <si>
    <t>2018-06-28T23:07:58+00:00</t>
  </si>
  <si>
    <t>2018-06-29T19:09:22+00:00</t>
  </si>
  <si>
    <t>NEWVILLE</t>
  </si>
  <si>
    <t>17241-9778</t>
  </si>
  <si>
    <t>112-8746234-0732207</t>
  </si>
  <si>
    <t>2018-06-28T21:13:11+00:00</t>
  </si>
  <si>
    <t>2018-06-29T09:33:54+00:00</t>
  </si>
  <si>
    <t>06413-1552</t>
  </si>
  <si>
    <t>114-6090454-3036243</t>
  </si>
  <si>
    <t>2018-06-28T20:59:42+00:00</t>
  </si>
  <si>
    <t>2018-06-29T06:49:47+00:00</t>
  </si>
  <si>
    <t>44130-2496</t>
  </si>
  <si>
    <t>112-2231897-0447400</t>
  </si>
  <si>
    <t>2018-06-28T20:48:30+00:00</t>
  </si>
  <si>
    <t>2018-06-30T00:33:18+00:00</t>
  </si>
  <si>
    <t>PALM BEACH GARDENS</t>
  </si>
  <si>
    <t>33403-1506</t>
  </si>
  <si>
    <t>114-8499393-0747447</t>
  </si>
  <si>
    <t>2018-06-28T20:48:15+00:00</t>
  </si>
  <si>
    <t>2018-07-02T06:09:23+00:00</t>
  </si>
  <si>
    <t>83001-8460</t>
  </si>
  <si>
    <t>112-8263329-8281828</t>
  </si>
  <si>
    <t>2018-06-28T19:29:09+00:00</t>
  </si>
  <si>
    <t>2018-06-30T04:46:48+00:00</t>
  </si>
  <si>
    <t>77070-1640</t>
  </si>
  <si>
    <t>111-5915940-8057068</t>
  </si>
  <si>
    <t>2018-06-28T19:23:05+00:00</t>
  </si>
  <si>
    <t>2018-07-01T08:26:01+00:00</t>
  </si>
  <si>
    <t>78222-1910</t>
  </si>
  <si>
    <t>111-6510420-6132252</t>
  </si>
  <si>
    <t>2018-06-28T19:10:28+00:00</t>
  </si>
  <si>
    <t>2018-06-30T00:33:47+00:00</t>
  </si>
  <si>
    <t>BETHESDA</t>
  </si>
  <si>
    <t>20814-2950</t>
  </si>
  <si>
    <t>112-3498806-7021835</t>
  </si>
  <si>
    <t>2018-06-28T18:52:07+00:00</t>
  </si>
  <si>
    <t>2018-06-29T00:30:46+00:00</t>
  </si>
  <si>
    <t>luciphia 1 Pack 3 Blankets Super Soft Fluffy Premium Fleece Pet Blanket Flannel Throw for Dog Puppy Elephant Small</t>
  </si>
  <si>
    <t>PUTNAM VALLEY</t>
  </si>
  <si>
    <t>10579-1514</t>
  </si>
  <si>
    <t>114-0152053-9460274</t>
  </si>
  <si>
    <t>2018-06-28T18:19:12+00:00</t>
  </si>
  <si>
    <t>2018-06-30T22:36:54+00:00</t>
  </si>
  <si>
    <t>Pittsburgh</t>
  </si>
  <si>
    <t>114-6949372-2342610</t>
  </si>
  <si>
    <t>2018-06-28T17:57:25+00:00</t>
  </si>
  <si>
    <t>2018-06-29T09:47:18+00:00</t>
  </si>
  <si>
    <t>LODI</t>
  </si>
  <si>
    <t>53555-1361</t>
  </si>
  <si>
    <t>113-4659964-2521027</t>
  </si>
  <si>
    <t>2018-06-28T17:36:42+00:00</t>
  </si>
  <si>
    <t>2018-06-30T01:11:33+00:00</t>
  </si>
  <si>
    <t>46234-8602</t>
  </si>
  <si>
    <t>114-0789867-7729800</t>
  </si>
  <si>
    <t>2018-06-28T16:37:41+00:00</t>
  </si>
  <si>
    <t>2018-06-30T19:40:23+00:00</t>
  </si>
  <si>
    <t>OGALLALA</t>
  </si>
  <si>
    <t>69153-4628</t>
  </si>
  <si>
    <t>111-5437890-0866605</t>
  </si>
  <si>
    <t>2018-06-28T16:31:08+00:00</t>
  </si>
  <si>
    <t>2018-06-29T19:34:08+00:00</t>
  </si>
  <si>
    <t>WRENTHAM</t>
  </si>
  <si>
    <t>02093-1132</t>
  </si>
  <si>
    <t>112-6087248-2011448</t>
  </si>
  <si>
    <t>2018-06-28T16:15:23+00:00</t>
  </si>
  <si>
    <t>2018-06-29T02:45:36+00:00</t>
  </si>
  <si>
    <t>10075-1504</t>
  </si>
  <si>
    <t>114-9280371-0092208</t>
  </si>
  <si>
    <t>2018-06-28T16:13:21+00:00</t>
  </si>
  <si>
    <t>2018-06-29T08:22:37+00:00</t>
  </si>
  <si>
    <t>CAMBY</t>
  </si>
  <si>
    <t>46113-9694</t>
  </si>
  <si>
    <t>111-5817606-1616215</t>
  </si>
  <si>
    <t>2018-06-28T16:00:29+00:00</t>
  </si>
  <si>
    <t>2018-06-29T09:20:26+00:00</t>
  </si>
  <si>
    <t>Men's Short Sleeve Formal Dress Shirts White Small</t>
  </si>
  <si>
    <t>ST173-WT2-S</t>
  </si>
  <si>
    <t>B074SZQ3FG</t>
  </si>
  <si>
    <t>Men's Short Sleeve Formal Dress Shirts Blue Small</t>
  </si>
  <si>
    <t>ST173-BL-S</t>
  </si>
  <si>
    <t>B074SZJYJJ</t>
  </si>
  <si>
    <t>113-6219638-2689029</t>
  </si>
  <si>
    <t>2018-06-28T15:53:00+00:00</t>
  </si>
  <si>
    <t>2018-06-30T07:56:48+00:00</t>
  </si>
  <si>
    <t>luciphia 1 Pack 3 Blankets Super Soft Fluffy Premium Fleece Pet Blanket Flannel Throw for Dog Puppy Cat Paw Small</t>
  </si>
  <si>
    <t>MOUNT DORA</t>
  </si>
  <si>
    <t>32757-9565</t>
  </si>
  <si>
    <t>113-6057422-0278606</t>
  </si>
  <si>
    <t>2018-06-28T15:33:50+00:00</t>
  </si>
  <si>
    <t>2018-06-29T08:52:59+00:00</t>
  </si>
  <si>
    <t>94109-5457</t>
  </si>
  <si>
    <t>114-2386572-7732235</t>
  </si>
  <si>
    <t>2018-06-28T15:29:55+00:00</t>
  </si>
  <si>
    <t>2018-06-29T01:57:00+00:00</t>
  </si>
  <si>
    <t>112-4686699-3769000</t>
  </si>
  <si>
    <t>2018-06-28T15:02:44+00:00</t>
  </si>
  <si>
    <t>2018-06-28T19:59:48+00:00</t>
  </si>
  <si>
    <t>honolulu</t>
  </si>
  <si>
    <t>hi</t>
  </si>
  <si>
    <t>112-7375665-4093023</t>
  </si>
  <si>
    <t>2018-06-28T14:51:16+00:00</t>
  </si>
  <si>
    <t>2018-06-29T04:27:35+00:00</t>
  </si>
  <si>
    <t>LGQ-IUYL100-WT</t>
  </si>
  <si>
    <t>B0798P1DCX</t>
  </si>
  <si>
    <t>BURLINGTON</t>
  </si>
  <si>
    <t>80807-9416</t>
  </si>
  <si>
    <t>113-5421196-5523459</t>
  </si>
  <si>
    <t>2018-06-28T14:38:49+00:00</t>
  </si>
  <si>
    <t>2018-06-28T21:39:49+00:00</t>
  </si>
  <si>
    <t>19123-2431</t>
  </si>
  <si>
    <t>111-0402719-1677860</t>
  </si>
  <si>
    <t>2018-06-28T14:14:56+00:00</t>
  </si>
  <si>
    <t>2018-06-30T00:57:05+00:00</t>
  </si>
  <si>
    <t>YPSILANTI</t>
  </si>
  <si>
    <t>48198-6601</t>
  </si>
  <si>
    <t>111-5209604-4933060</t>
  </si>
  <si>
    <t>2018-06-28T13:10:31+00:00</t>
  </si>
  <si>
    <t>2018-06-28T21:08:55+00:00</t>
  </si>
  <si>
    <t>Highland</t>
  </si>
  <si>
    <t>Md</t>
  </si>
  <si>
    <t>112-2316945-0295425</t>
  </si>
  <si>
    <t>2018-06-28T12:54:26+00:00</t>
  </si>
  <si>
    <t>2018-07-08T23:44:52+00:00</t>
  </si>
  <si>
    <t>BAYONNE</t>
  </si>
  <si>
    <t>07002-4400</t>
  </si>
  <si>
    <t>112-3566491-3518666</t>
  </si>
  <si>
    <t>2018-06-28T12:27:55+00:00</t>
  </si>
  <si>
    <t>2018-06-29T04:23:51+00:00</t>
  </si>
  <si>
    <t>Beaverton</t>
  </si>
  <si>
    <t>114-1548588-9970612</t>
  </si>
  <si>
    <t>2018-06-28T11:52:18+00:00</t>
  </si>
  <si>
    <t>2018-06-29T10:47:52+00:00</t>
  </si>
  <si>
    <t>98272-9747</t>
  </si>
  <si>
    <t>111-4532397-4272265</t>
  </si>
  <si>
    <t>2018-06-28T11:29:29+00:00</t>
  </si>
  <si>
    <t>2018-06-29T19:59:10+00:00</t>
  </si>
  <si>
    <t>SEATAC</t>
  </si>
  <si>
    <t>98188-3163</t>
  </si>
  <si>
    <t>112-8953901-2631453</t>
  </si>
  <si>
    <t>2018-06-28T05:05:19+00:00</t>
  </si>
  <si>
    <t>2018-06-29T03:12:17+00:00</t>
  </si>
  <si>
    <t>Men's Short Sleeve Formal Dress Shirts Navy X-Large</t>
  </si>
  <si>
    <t>ST173-NY-XL</t>
  </si>
  <si>
    <t>B074SMGT88</t>
  </si>
  <si>
    <t>ANTHONY</t>
  </si>
  <si>
    <t>67003-2811</t>
  </si>
  <si>
    <t>111-7802170-1530600</t>
  </si>
  <si>
    <t>2018-06-28T04:38:34+00:00</t>
  </si>
  <si>
    <t>2018-06-28T05:43:05+00:00</t>
  </si>
  <si>
    <t>ATMORE</t>
  </si>
  <si>
    <t>36502-4726</t>
  </si>
  <si>
    <t>114-6752511-0392248</t>
  </si>
  <si>
    <t>2018-06-28T04:26:48+00:00</t>
  </si>
  <si>
    <t>2018-06-28T04:28:46+00:00</t>
  </si>
  <si>
    <t>luciphia 1 Pack 3 Blankets Super Soft Fluffy Premium Fleece Pet Blanket Flannel Throw for Dog Puppy Cat Bone Small</t>
  </si>
  <si>
    <t>ATLANTA</t>
  </si>
  <si>
    <t>30331-4337</t>
  </si>
  <si>
    <t>112-5762608-8180263</t>
  </si>
  <si>
    <t>2018-06-28T03:56:22+00:00</t>
  </si>
  <si>
    <t>2018-06-29T16:53:20+00:00</t>
  </si>
  <si>
    <t>Charlotte</t>
  </si>
  <si>
    <t>111-6141367-2338611</t>
  </si>
  <si>
    <t>2018-06-28T03:39:07+00:00</t>
  </si>
  <si>
    <t>2018-06-29T08:36:34+00:00</t>
  </si>
  <si>
    <t>ANCHORAGE</t>
  </si>
  <si>
    <t>99516-3769</t>
  </si>
  <si>
    <t>114-1077944-1538659</t>
  </si>
  <si>
    <t>2018-06-28T03:31:34+00:00</t>
  </si>
  <si>
    <t>2018-06-28T15:34:11+00:00</t>
  </si>
  <si>
    <t>114-2992606-7315455</t>
  </si>
  <si>
    <t>2018-06-28T03:22:38+00:00</t>
  </si>
  <si>
    <t>2018-06-30T23:30:04+00:00</t>
  </si>
  <si>
    <t>luciphia 1 Pack 3 Blankets Super Soft Fluffy Premium Fleece Pet Blanket Flannel Throw for Dog Puppy Dot Large</t>
  </si>
  <si>
    <t>LIVE OAK</t>
  </si>
  <si>
    <t>32064-1631</t>
  </si>
  <si>
    <t>114-5463903-7507407</t>
  </si>
  <si>
    <t>2018-06-28T02:36:53+00:00</t>
  </si>
  <si>
    <t>2018-06-28T13:21:51+00:00</t>
  </si>
  <si>
    <t>FARMINGVILLE</t>
  </si>
  <si>
    <t>11738-2628</t>
  </si>
  <si>
    <t>114-3637757-0359462</t>
  </si>
  <si>
    <t>2018-06-28T02:32:02+00:00</t>
  </si>
  <si>
    <t>2018-06-28T21:48:11+00:00</t>
  </si>
  <si>
    <t>BRENTWOOD</t>
  </si>
  <si>
    <t>37027-4213</t>
  </si>
  <si>
    <t>112-4247530-7609845</t>
  </si>
  <si>
    <t>2018-06-28T02:21:30+00:00</t>
  </si>
  <si>
    <t>2018-06-29T05:22:53+00:00</t>
  </si>
  <si>
    <t>SAN MARCOS</t>
  </si>
  <si>
    <t>92069-2206</t>
  </si>
  <si>
    <t>111-3851382-0039417</t>
  </si>
  <si>
    <t>2018-06-28T01:00:57+00:00</t>
  </si>
  <si>
    <t>2018-06-28T06:43:07+00:00</t>
  </si>
  <si>
    <t>78738-6027</t>
  </si>
  <si>
    <t>111-1400112-9081814</t>
  </si>
  <si>
    <t>2018-06-28T00:48:46+00:00</t>
  </si>
  <si>
    <t>2018-06-28T23:33:57+00:00</t>
  </si>
  <si>
    <t>30066-2330</t>
  </si>
  <si>
    <t>111-4529174-5783458</t>
  </si>
  <si>
    <t>2018-06-28T00:11:33+00:00</t>
  </si>
  <si>
    <t>2018-06-29T00:44:15+00:00</t>
  </si>
  <si>
    <t>Dog Seat Belt, 3 Packs Adjustable Vehicle Car Seatbelt Leash Safety Leads Harness for Pets Cats Animals Yellow</t>
  </si>
  <si>
    <t>AQD-IUYL330-YL</t>
  </si>
  <si>
    <t>B07BLQJYGS</t>
  </si>
  <si>
    <t>GANSEVOORT</t>
  </si>
  <si>
    <t>12831-1617</t>
  </si>
  <si>
    <t>114-4352148-5383446</t>
  </si>
  <si>
    <t>2018-06-28T00:02:04+00:00</t>
  </si>
  <si>
    <t>2018-06-28T10:25:07+00:00</t>
  </si>
  <si>
    <t>SILVER LAKE</t>
  </si>
  <si>
    <t>53170-1670</t>
  </si>
  <si>
    <t>114-1118632-5296260</t>
  </si>
  <si>
    <t>2018-06-29T23:44:17+00:00</t>
  </si>
  <si>
    <t>2018-07-01T06:50:45+00:00</t>
  </si>
  <si>
    <t>94109-0507</t>
  </si>
  <si>
    <t>112-7977316-0907423</t>
  </si>
  <si>
    <t>2018-06-29T23:37:17+00:00</t>
  </si>
  <si>
    <t>2018-07-05T18:11:13+00:00</t>
  </si>
  <si>
    <t>33172-2191</t>
  </si>
  <si>
    <t>113-5694349-9914604</t>
  </si>
  <si>
    <t>2018-06-29T23:30:59+00:00</t>
  </si>
  <si>
    <t>2018-07-01T06:58:01+00:00</t>
  </si>
  <si>
    <t>COLORADO SPRINGS</t>
  </si>
  <si>
    <t>80906-7693</t>
  </si>
  <si>
    <t>111-0751886-1206641</t>
  </si>
  <si>
    <t>2018-06-29T22:34:10+00:00</t>
  </si>
  <si>
    <t>2018-06-30T02:20:29+00:00</t>
  </si>
  <si>
    <t>BURKE</t>
  </si>
  <si>
    <t>22015-2258</t>
  </si>
  <si>
    <t>113-4973252-3629022</t>
  </si>
  <si>
    <t>2018-06-29T22:18:58+00:00</t>
  </si>
  <si>
    <t>2018-06-30T20:55:34+00:00</t>
  </si>
  <si>
    <t>11234-6207</t>
  </si>
  <si>
    <t>111-4019345-0964229</t>
  </si>
  <si>
    <t>2018-06-29T21:39:29+00:00</t>
  </si>
  <si>
    <t>2018-06-30T15:24:10+00:00</t>
  </si>
  <si>
    <t>90401-2530</t>
  </si>
  <si>
    <t>111-2200732-9303401</t>
  </si>
  <si>
    <t>2018-06-29T21:24:42+00:00</t>
  </si>
  <si>
    <t>2018-07-01T00:15:47+00:00</t>
  </si>
  <si>
    <t>SAGINAW</t>
  </si>
  <si>
    <t>48601-5893</t>
  </si>
  <si>
    <t>113-6777711-2539440</t>
  </si>
  <si>
    <t>2018-06-29T20:46:44+00:00</t>
  </si>
  <si>
    <t>2018-07-02T02:26:45+00:00</t>
  </si>
  <si>
    <t>Newport News</t>
  </si>
  <si>
    <t>113-0869071-0906618</t>
  </si>
  <si>
    <t>2018-06-29T19:59:32+00:00</t>
  </si>
  <si>
    <t>2018-06-30T20:55:44+00:00</t>
  </si>
  <si>
    <t>Women's Tops Long Sleeve A-Line Lace Stitching Trim Casual Tunic Dress 2XL Purple</t>
  </si>
  <si>
    <t>LYQ-WF7125-PO-2L</t>
  </si>
  <si>
    <t>B077XVSW32</t>
  </si>
  <si>
    <t>75645-8072</t>
  </si>
  <si>
    <t>114-1704678-4974614</t>
  </si>
  <si>
    <t>2018-06-29T19:57:23+00:00</t>
  </si>
  <si>
    <t>2018-06-30T11:11:56+00:00</t>
  </si>
  <si>
    <t>DENHAM SPRINGS</t>
  </si>
  <si>
    <t>70726-2908</t>
  </si>
  <si>
    <t>112-8614322-5406653</t>
  </si>
  <si>
    <t>2018-06-29T19:16:50+00:00</t>
  </si>
  <si>
    <t>2018-07-01T04:42:21+00:00</t>
  </si>
  <si>
    <t>LAKE WORTH</t>
  </si>
  <si>
    <t>33460-2616</t>
  </si>
  <si>
    <t>113-3631945-6461007</t>
  </si>
  <si>
    <t>2018-06-29T19:14:42+00:00</t>
  </si>
  <si>
    <t>2018-06-30T06:34:47+00:00</t>
  </si>
  <si>
    <t>WESLEY CHAPEL</t>
  </si>
  <si>
    <t>33543-8163</t>
  </si>
  <si>
    <t>112-2412880-6999421</t>
  </si>
  <si>
    <t>2018-06-29T19:13:00+00:00</t>
  </si>
  <si>
    <t>2018-06-30T03:53:23+00:00</t>
  </si>
  <si>
    <t>NEWPORT</t>
  </si>
  <si>
    <t>41071-1452</t>
  </si>
  <si>
    <t>112-7924669-8429856</t>
  </si>
  <si>
    <t>2018-06-29T19:04:21+00:00</t>
  </si>
  <si>
    <t>2018-06-30T03:33:51+00:00</t>
  </si>
  <si>
    <t>11211-8112</t>
  </si>
  <si>
    <t>111-6093548-7853843</t>
  </si>
  <si>
    <t>2018-06-29T18:38:17+00:00</t>
  </si>
  <si>
    <t>2018-06-30T15:31:15+00:00</t>
  </si>
  <si>
    <t>CHARLOTTE</t>
  </si>
  <si>
    <t>28210-5840</t>
  </si>
  <si>
    <t>114-5408198-4186633</t>
  </si>
  <si>
    <t>2018-06-29T17:55:53+00:00</t>
  </si>
  <si>
    <t>2018-07-01T04:27:19+00:00</t>
  </si>
  <si>
    <t>KNOXVILLE</t>
  </si>
  <si>
    <t>37938-2728</t>
  </si>
  <si>
    <t>113-3737150-7530654</t>
  </si>
  <si>
    <t>2018-06-29T17:55:44+00:00</t>
  </si>
  <si>
    <t>2018-06-30T01:17:43+00:00</t>
  </si>
  <si>
    <t>Tierra Verde</t>
  </si>
  <si>
    <t>33715-1819</t>
  </si>
  <si>
    <t>111-6518666-4550628</t>
  </si>
  <si>
    <t>2018-06-29T17:47:10+00:00</t>
  </si>
  <si>
    <t>2018-07-01T23:25:10+00:00</t>
  </si>
  <si>
    <t>75253-5049</t>
  </si>
  <si>
    <t>112-1871782-7614609</t>
  </si>
  <si>
    <t>2018-06-29T17:28:35+00:00</t>
  </si>
  <si>
    <t>2018-06-30T07:35:29+00:00</t>
  </si>
  <si>
    <t>XQ-IUYL260-PP-M</t>
  </si>
  <si>
    <t>B079GQB66Z</t>
  </si>
  <si>
    <t>EVANSTON</t>
  </si>
  <si>
    <t>60203-1701</t>
  </si>
  <si>
    <t>114-5679724-4030669</t>
  </si>
  <si>
    <t>2018-06-29T17:01:04+00:00</t>
  </si>
  <si>
    <t>2018-06-30T10:36:57+00:00</t>
  </si>
  <si>
    <t>luciphia 1 Pack 3 Blankets Super Soft Fluffy Premium Fleece Pet Blanket Flannel Throw for Dog Puppy Strawberry Medium</t>
  </si>
  <si>
    <t>CUDAHY</t>
  </si>
  <si>
    <t>53110-1012</t>
  </si>
  <si>
    <t>111-4594992-2596263</t>
  </si>
  <si>
    <t>2018-06-29T16:37:56+00:00</t>
  </si>
  <si>
    <t>2018-06-30T14:18:39+00:00</t>
  </si>
  <si>
    <t>KANSAS CITY</t>
  </si>
  <si>
    <t>64110-1741</t>
  </si>
  <si>
    <t>112-3588113-7261852</t>
  </si>
  <si>
    <t>2018-06-29T16:37:54+00:00</t>
  </si>
  <si>
    <t>2018-06-30T16:19:23+00:00</t>
  </si>
  <si>
    <t>30308-3074</t>
  </si>
  <si>
    <t>112-1579411-3179406</t>
  </si>
  <si>
    <t>2018-06-29T15:51:33+00:00</t>
  </si>
  <si>
    <t>2018-06-30T06:41:30+00:00</t>
  </si>
  <si>
    <t>11354-5726</t>
  </si>
  <si>
    <t>111-2852229-4600248</t>
  </si>
  <si>
    <t>2018-06-29T15:37:37+00:00</t>
  </si>
  <si>
    <t>2018-06-30T09:06:23+00:00</t>
  </si>
  <si>
    <t>MYSTIC</t>
  </si>
  <si>
    <t>06355-2932</t>
  </si>
  <si>
    <t>114-1518809-8837028</t>
  </si>
  <si>
    <t>2018-06-29T15:21:41+00:00</t>
  </si>
  <si>
    <t>2018-06-29T18:45:11+00:00</t>
  </si>
  <si>
    <t>UNION</t>
  </si>
  <si>
    <t>111-1056660-9728201</t>
  </si>
  <si>
    <t>2018-06-29T14:49:08+00:00</t>
  </si>
  <si>
    <t>2018-06-30T22:26:22+00:00</t>
  </si>
  <si>
    <t>Mineola</t>
  </si>
  <si>
    <t>75773-3802</t>
  </si>
  <si>
    <t>113-8287551-3236258</t>
  </si>
  <si>
    <t>2018-06-29T14:36:28+00:00</t>
  </si>
  <si>
    <t>2018-06-30T09:34:32+00:00</t>
  </si>
  <si>
    <t>BENSALEM</t>
  </si>
  <si>
    <t>19020-4843</t>
  </si>
  <si>
    <t>111-3563513-9747450</t>
  </si>
  <si>
    <t>2018-06-29T13:23:45+00:00</t>
  </si>
  <si>
    <t>2018-06-29T22:57:19+00:00</t>
  </si>
  <si>
    <t>MILBANK</t>
  </si>
  <si>
    <t>SD</t>
  </si>
  <si>
    <t>57252-5976</t>
  </si>
  <si>
    <t>Save rocky</t>
  </si>
  <si>
    <t>114-6442756-3352238</t>
  </si>
  <si>
    <t>2018-06-29T12:28:55+00:00</t>
  </si>
  <si>
    <t>2018-07-02T22:34:30+00:00</t>
  </si>
  <si>
    <t>COTTONTOWN</t>
  </si>
  <si>
    <t>37048-1401</t>
  </si>
  <si>
    <t>113-2278494-1733050</t>
  </si>
  <si>
    <t>2018-06-29T11:30:40+00:00</t>
  </si>
  <si>
    <t>2018-07-03T02:35:48+00:00</t>
  </si>
  <si>
    <t>LADSON</t>
  </si>
  <si>
    <t>29456-5545</t>
  </si>
  <si>
    <t>111-2468939-2983415</t>
  </si>
  <si>
    <t>2018-06-29T11:25:47+00:00</t>
  </si>
  <si>
    <t>2018-07-04T03:21:16+00:00</t>
  </si>
  <si>
    <t>KERNERSVILLE</t>
  </si>
  <si>
    <t>27284-9868</t>
  </si>
  <si>
    <t>111-3043243-2437022</t>
  </si>
  <si>
    <t>2018-06-29T10:37:05+00:00</t>
  </si>
  <si>
    <t>2018-06-30T00:40:30+00:00</t>
  </si>
  <si>
    <t>CHARLES TOWN</t>
  </si>
  <si>
    <t>25414-1382</t>
  </si>
  <si>
    <t>111-3316259-1963432</t>
  </si>
  <si>
    <t>2018-06-29T10:32:42+00:00</t>
  </si>
  <si>
    <t>2018-06-29T18:54:09+00:00</t>
  </si>
  <si>
    <t>85308-7126</t>
  </si>
  <si>
    <t>112-8281810-8627461</t>
  </si>
  <si>
    <t>2018-06-29T10:27:17+00:00</t>
  </si>
  <si>
    <t>2018-07-01T09:35:03+00:00</t>
  </si>
  <si>
    <t>TZ-IUYL240LHY-STRAWBERRY-S</t>
  </si>
  <si>
    <t>60660-1217</t>
  </si>
  <si>
    <t>114-2827877-4125054</t>
  </si>
  <si>
    <t>2018-06-29T06:20:24+00:00</t>
  </si>
  <si>
    <t>2018-06-30T00:37:10+00:00</t>
  </si>
  <si>
    <t>CHESHIRE</t>
  </si>
  <si>
    <t>06410-3833</t>
  </si>
  <si>
    <t>111-5177279-1763449</t>
  </si>
  <si>
    <t>2018-06-29T05:18:16+00:00</t>
  </si>
  <si>
    <t>2018-07-02T06:00:16+00:00</t>
  </si>
  <si>
    <t>LEXINGTON</t>
  </si>
  <si>
    <t>40503-2624</t>
  </si>
  <si>
    <t>114-9943734-4055406</t>
  </si>
  <si>
    <t>2018-06-29T04:40:01+00:00</t>
  </si>
  <si>
    <t>2018-06-29T15:03:10+00:00</t>
  </si>
  <si>
    <t>IRASBURG</t>
  </si>
  <si>
    <t>05845-9341</t>
  </si>
  <si>
    <t>111-0716037-3912265</t>
  </si>
  <si>
    <t>2018-06-29T04:19:55+00:00</t>
  </si>
  <si>
    <t>2018-07-04T00:46:13+00:00</t>
  </si>
  <si>
    <t>STAMFORD</t>
  </si>
  <si>
    <t>06907-1008</t>
  </si>
  <si>
    <t>114-8669869-0562646</t>
  </si>
  <si>
    <t>2018-06-29T03:44:57+00:00</t>
  </si>
  <si>
    <t>2018-06-30T03:23:32+00:00</t>
  </si>
  <si>
    <t>Crystal City</t>
  </si>
  <si>
    <t>Mo</t>
  </si>
  <si>
    <t>114-5539065-0738648</t>
  </si>
  <si>
    <t>2018-06-29T03:11:47+00:00</t>
  </si>
  <si>
    <t>2018-07-01T02:46:50+00:00</t>
  </si>
  <si>
    <t>78745-4234</t>
  </si>
  <si>
    <t>113-3030773-6241015</t>
  </si>
  <si>
    <t>2018-06-29T03:09:56+00:00</t>
  </si>
  <si>
    <t>2018-06-30T05:17:01+00:00</t>
  </si>
  <si>
    <t>78681-3854</t>
  </si>
  <si>
    <t>112-9040442-8882666</t>
  </si>
  <si>
    <t>2018-06-29T03:04:32+00:00</t>
  </si>
  <si>
    <t>2018-07-01T03:55:17+00:00</t>
  </si>
  <si>
    <t>CHICOPEE</t>
  </si>
  <si>
    <t>01020-4118</t>
  </si>
  <si>
    <t>112-0967087-2598660</t>
  </si>
  <si>
    <t>2018-06-29T02:54:34+00:00</t>
  </si>
  <si>
    <t>2018-06-30T04:29:59+00:00</t>
  </si>
  <si>
    <t>Candler</t>
  </si>
  <si>
    <t>112-4314865-7325037</t>
  </si>
  <si>
    <t>2018-06-29T01:50:08+00:00</t>
  </si>
  <si>
    <t>2018-06-30T07:03:57+00:00</t>
  </si>
  <si>
    <t>LIVERMORE</t>
  </si>
  <si>
    <t>113-5739033-2876247</t>
  </si>
  <si>
    <t>2018-06-29T01:38:12+00:00</t>
  </si>
  <si>
    <t>2018-06-29T07:51:25+00:00</t>
  </si>
  <si>
    <t>FITCHBURG</t>
  </si>
  <si>
    <t>01420-6289</t>
  </si>
  <si>
    <t>113-7113442-0525864</t>
  </si>
  <si>
    <t>2018-06-29T01:12:46+00:00</t>
  </si>
  <si>
    <t>2018-07-01T21:25:00+00:00</t>
  </si>
  <si>
    <t>11249-3181</t>
  </si>
  <si>
    <t>112-4157664-2898608</t>
  </si>
  <si>
    <t>2018-06-29T00:53:05+00:00</t>
  </si>
  <si>
    <t>2018-06-30T06:45:25+00:00</t>
  </si>
  <si>
    <t>STEUBENVILLE</t>
  </si>
  <si>
    <t>43952-6913</t>
  </si>
  <si>
    <t>113-5810252-7636203</t>
  </si>
  <si>
    <t>2018-06-29T00:26:41+00:00</t>
  </si>
  <si>
    <t>2018-06-29T03:58:49+00:00</t>
  </si>
  <si>
    <t>Blaine</t>
  </si>
  <si>
    <t>Minnesota</t>
  </si>
  <si>
    <t>113-4253803-0051456</t>
  </si>
  <si>
    <t>2018-06-29T00:24:57+00:00</t>
  </si>
  <si>
    <t>2018-06-29T15:46:23+00:00</t>
  </si>
  <si>
    <t>luciphia 1 Pack 3 Blankets Super Soft Fluffy Premium Fleece Pet Blanket Flannel Throw for Dog Puppy Rabbit Large</t>
  </si>
  <si>
    <t>TZ-IUYL240-RABBIT-L</t>
  </si>
  <si>
    <t>B07DFBM9N3</t>
  </si>
  <si>
    <t>113-6464582-2945816</t>
  </si>
  <si>
    <t>2018-06-29T00:12:13+00:00</t>
  </si>
  <si>
    <t>2018-06-29T20:39:13+00:00</t>
  </si>
  <si>
    <t>WESTCHESTER</t>
  </si>
  <si>
    <t>60154-5947</t>
  </si>
  <si>
    <t>114-5835152-4423469</t>
  </si>
  <si>
    <t>2018-06-29T00:08:44+00:00</t>
  </si>
  <si>
    <t>2018-06-29T22:28:45+00:00</t>
  </si>
  <si>
    <t>GARDEN GROVE</t>
  </si>
  <si>
    <t>92845-2231</t>
  </si>
  <si>
    <t>114-3336387-9585829</t>
  </si>
  <si>
    <t>2018-06-30T23:53:35+00:00</t>
  </si>
  <si>
    <t>2018-07-03T03:44:48+00:00</t>
  </si>
  <si>
    <t>EL CERRITO</t>
  </si>
  <si>
    <t>94530-2216</t>
  </si>
  <si>
    <t>111-0570154-0934653</t>
  </si>
  <si>
    <t>2018-06-30T23:34:09+00:00</t>
  </si>
  <si>
    <t>2018-07-03T03:29:42+00:00</t>
  </si>
  <si>
    <t>Portage</t>
  </si>
  <si>
    <t>49024-7735</t>
  </si>
  <si>
    <t>112-1476200-9743403</t>
  </si>
  <si>
    <t>2018-06-30T23:00:58+00:00</t>
  </si>
  <si>
    <t>2018-07-04T09:43:08+00:00</t>
  </si>
  <si>
    <t>MOCOTONO Men's Short Sleeve Formal Dress Shirts Pink X-Large</t>
  </si>
  <si>
    <t>ROCKAWAY PARK</t>
  </si>
  <si>
    <t>11694-1726</t>
  </si>
  <si>
    <t>114-3070848-3327439</t>
  </si>
  <si>
    <t>2018-06-30T22:12:22+00:00</t>
  </si>
  <si>
    <t>2018-07-01T02:25:41+00:00</t>
  </si>
  <si>
    <t>75253-3039</t>
  </si>
  <si>
    <t>114-8423377-5791404</t>
  </si>
  <si>
    <t>2018-06-30T22:09:00+00:00</t>
  </si>
  <si>
    <t>2018-07-02T06:48:35+00:00</t>
  </si>
  <si>
    <t>PORT ST LUCIE</t>
  </si>
  <si>
    <t>34953-3492</t>
  </si>
  <si>
    <t>113-2638474-6392237</t>
  </si>
  <si>
    <t>2018-06-30T20:57:12+00:00</t>
  </si>
  <si>
    <t>2018-07-01T08:17:37+00:00</t>
  </si>
  <si>
    <t>LIBERTY HILL</t>
  </si>
  <si>
    <t>78642-5808</t>
  </si>
  <si>
    <t>111-1210154-9329858</t>
  </si>
  <si>
    <t>2018-06-30T20:53:08+00:00</t>
  </si>
  <si>
    <t>2018-07-01T09:37:45+00:00</t>
  </si>
  <si>
    <t>Baytown</t>
  </si>
  <si>
    <t>112-7065625-9899422</t>
  </si>
  <si>
    <t>2018-06-30T20:37:33+00:00</t>
  </si>
  <si>
    <t>2018-07-02T21:23:49+00:00</t>
  </si>
  <si>
    <t>NINE MILE FALLS</t>
  </si>
  <si>
    <t>99026-5017</t>
  </si>
  <si>
    <t>111-1365929-7151408</t>
  </si>
  <si>
    <t>2018-06-30T20:05:05+00:00</t>
  </si>
  <si>
    <t>2018-07-02T06:22:04+00:00</t>
  </si>
  <si>
    <t>MOCOTONO Men's Short Sleeve Formal Dress Shirts Pink Large</t>
  </si>
  <si>
    <t>ST173-PK-L</t>
  </si>
  <si>
    <t>B074SLMBT9</t>
  </si>
  <si>
    <t>33543-7185</t>
  </si>
  <si>
    <t>114-2118562-1962669</t>
  </si>
  <si>
    <t>2018-06-30T18:52:04+00:00</t>
  </si>
  <si>
    <t>2018-07-02T20:07:16+00:00</t>
  </si>
  <si>
    <t>34120-6451</t>
  </si>
  <si>
    <t>112-2622521-1518621</t>
  </si>
  <si>
    <t>2018-06-30T18:45:00+00:00</t>
  </si>
  <si>
    <t>2018-07-01T10:36:06+00:00</t>
  </si>
  <si>
    <t>PEORIA</t>
  </si>
  <si>
    <t>85383-5444</t>
  </si>
  <si>
    <t>112-0167169-1460228</t>
  </si>
  <si>
    <t>2018-06-30T18:43:55+00:00</t>
  </si>
  <si>
    <t>2018-07-01T13:52:31+00:00</t>
  </si>
  <si>
    <t>SAN RAFAEL</t>
  </si>
  <si>
    <t>94901-3833</t>
  </si>
  <si>
    <t>114-0355213-7635408</t>
  </si>
  <si>
    <t>2018-06-30T17:11:42+00:00</t>
  </si>
  <si>
    <t>2018-07-01T03:55:47+00:00</t>
  </si>
  <si>
    <t>TOLUCA LAKE</t>
  </si>
  <si>
    <t>91602-2827</t>
  </si>
  <si>
    <t>111-1582020-8914642</t>
  </si>
  <si>
    <t>2018-06-30T16:48:44+00:00</t>
  </si>
  <si>
    <t>2018-07-02T07:24:51+00:00</t>
  </si>
  <si>
    <t>77066-2335</t>
  </si>
  <si>
    <t>111-6930093-0058667</t>
  </si>
  <si>
    <t>2018-06-30T16:06:29+00:00</t>
  </si>
  <si>
    <t>2018-07-02T18:28:30+00:00</t>
  </si>
  <si>
    <t>Luciphia Women's Tops Long Sleeve A-Line Lace Stitching Trim Casual Tunic Dress M Purple</t>
  </si>
  <si>
    <t>LYQ-WF7125-PO-M</t>
  </si>
  <si>
    <t>B077XTXHVH</t>
  </si>
  <si>
    <t>ELMHURST</t>
  </si>
  <si>
    <t>60126-5618</t>
  </si>
  <si>
    <t>114-6306041-9543441</t>
  </si>
  <si>
    <t>2018-06-30T15:47:01+00:00</t>
  </si>
  <si>
    <t>2018-07-02T04:52:36+00:00</t>
  </si>
  <si>
    <t>OJAI</t>
  </si>
  <si>
    <t>93023-3250</t>
  </si>
  <si>
    <t>114-7788888-5604228</t>
  </si>
  <si>
    <t>2018-06-30T15:15:07+00:00</t>
  </si>
  <si>
    <t>2018-07-01T04:40:08+00:00</t>
  </si>
  <si>
    <t>84043-2616</t>
  </si>
  <si>
    <t>111-8869264-5734642</t>
  </si>
  <si>
    <t>2018-06-30T14:29:08+00:00</t>
  </si>
  <si>
    <t>2018-07-01T05:08:24+00:00</t>
  </si>
  <si>
    <t>23518-4313</t>
  </si>
  <si>
    <t>113-1061003-6148218</t>
  </si>
  <si>
    <t>2018-06-30T14:16:53+00:00</t>
  </si>
  <si>
    <t>2018-07-01T07:28:46+00:00</t>
  </si>
  <si>
    <t>luciphia 1 Pack 3 Blankets Super Soft Fluffy Premium Fleece Pet Blanket Flannel Throw for Dog Puppy Strawberry Large</t>
  </si>
  <si>
    <t>SOUTH BELOIT</t>
  </si>
  <si>
    <t>114-3612097-0366656</t>
  </si>
  <si>
    <t>2018-06-30T14:08:31+00:00</t>
  </si>
  <si>
    <t>2018-06-30T22:45:44+00:00</t>
  </si>
  <si>
    <t>Southampton</t>
  </si>
  <si>
    <t>113-7176037-0155423</t>
  </si>
  <si>
    <t>2018-06-30T14:04:25+00:00</t>
  </si>
  <si>
    <t>2018-06-30T22:35:03+00:00</t>
  </si>
  <si>
    <t>SHELBY</t>
  </si>
  <si>
    <t>MONTANA</t>
  </si>
  <si>
    <t>59474-1836</t>
  </si>
  <si>
    <t>111-5553877-4016214</t>
  </si>
  <si>
    <t>2018-06-30T13:26:19+00:00</t>
  </si>
  <si>
    <t>2018-07-01T09:10:20+00:00</t>
  </si>
  <si>
    <t>02111-2202</t>
  </si>
  <si>
    <t>113-6269973-4758657</t>
  </si>
  <si>
    <t>2018-06-30T13:20:43+00:00</t>
  </si>
  <si>
    <t>2018-07-01T14:32:29+00:00</t>
  </si>
  <si>
    <t>FRONT ROYAL</t>
  </si>
  <si>
    <t>22630-9151</t>
  </si>
  <si>
    <t>113-2656247-5932209</t>
  </si>
  <si>
    <t>2018-06-30T11:59:57+00:00</t>
  </si>
  <si>
    <t>2018-07-02T20:29:34+00:00</t>
  </si>
  <si>
    <t>37620-7401</t>
  </si>
  <si>
    <t>112-7026041-8679463</t>
  </si>
  <si>
    <t>2018-06-30T10:39:57+00:00</t>
  </si>
  <si>
    <t>2018-07-03T22:49:34+00:00</t>
  </si>
  <si>
    <t>MINERAL WELLS</t>
  </si>
  <si>
    <t>26150-6518</t>
  </si>
  <si>
    <t>113-5428987-0793040</t>
  </si>
  <si>
    <t>2018-06-30T06:03:32+00:00</t>
  </si>
  <si>
    <t>2018-07-01T01:30:28+00:00</t>
  </si>
  <si>
    <t>78749-1731</t>
  </si>
  <si>
    <t>111-6781619-1259453</t>
  </si>
  <si>
    <t>2018-06-30T05:59:20+00:00</t>
  </si>
  <si>
    <t>2018-07-01T06:24:18+00:00</t>
  </si>
  <si>
    <t>Luciphia Ultra Absorbent Microfiber Drying Pet Towel for Dogs Cats Pink 19 x 13 inch</t>
  </si>
  <si>
    <t>MJ-IUYL230-PK-S</t>
  </si>
  <si>
    <t>B079GS1ZJR</t>
  </si>
  <si>
    <t>GOLETA</t>
  </si>
  <si>
    <t>93117-5415</t>
  </si>
  <si>
    <t>112-7778175-6962663</t>
  </si>
  <si>
    <t>2018-06-30T04:35:55+00:00</t>
  </si>
  <si>
    <t>2018-07-01T04:05:53+00:00</t>
  </si>
  <si>
    <t>SOUTHWEST RANCHES</t>
  </si>
  <si>
    <t>33332-1417</t>
  </si>
  <si>
    <t>113-2947688-9915458</t>
  </si>
  <si>
    <t>2018-06-30T03:29:10+00:00</t>
  </si>
  <si>
    <t>2018-07-01T00:12:15+00:00</t>
  </si>
  <si>
    <t>Orange Beach</t>
  </si>
  <si>
    <t>114-7863088-0641804</t>
  </si>
  <si>
    <t>2018-06-30T03:26:48+00:00</t>
  </si>
  <si>
    <t>2018-07-05T15:44:56+00:00</t>
  </si>
  <si>
    <t>MERCED</t>
  </si>
  <si>
    <t>95348-3124</t>
  </si>
  <si>
    <t>111-5830990-4883400</t>
  </si>
  <si>
    <t>2018-06-30T03:21:11+00:00</t>
  </si>
  <si>
    <t>2018-07-01T07:50:03+00:00</t>
  </si>
  <si>
    <t>92880-3498</t>
  </si>
  <si>
    <t>112-2578201-8715466</t>
  </si>
  <si>
    <t>2018-06-30T03:09:25+00:00</t>
  </si>
  <si>
    <t>2018-07-01T16:59:53+00:00</t>
  </si>
  <si>
    <t>XQ-IUYL260-GN-S</t>
  </si>
  <si>
    <t>B079GQ2C5K</t>
  </si>
  <si>
    <t>LEESBURG</t>
  </si>
  <si>
    <t>20175-3773</t>
  </si>
  <si>
    <t>113-2597244-2558620</t>
  </si>
  <si>
    <t>2018-06-30T02:43:26+00:00</t>
  </si>
  <si>
    <t>2018-06-30T02:44:54+00:00</t>
  </si>
  <si>
    <t>15701-6653</t>
  </si>
  <si>
    <t>113-6102732-7460239</t>
  </si>
  <si>
    <t>2018-06-30T02:43:13+00:00</t>
  </si>
  <si>
    <t>2018-06-30T09:51:38+00:00</t>
  </si>
  <si>
    <t>Calgary</t>
  </si>
  <si>
    <t>Alberta</t>
  </si>
  <si>
    <t>T2P 0L4</t>
  </si>
  <si>
    <t>113-6311041-1871404</t>
  </si>
  <si>
    <t>2018-06-30T02:29:46+00:00</t>
  </si>
  <si>
    <t>2018-07-01T06:58:14+00:00</t>
  </si>
  <si>
    <t>93619-7555</t>
  </si>
  <si>
    <t>114-4094608-5004231</t>
  </si>
  <si>
    <t>2018-06-30T02:09:03+00:00</t>
  </si>
  <si>
    <t>2018-07-01T10:12:15+00:00</t>
  </si>
  <si>
    <t>North Charleston</t>
  </si>
  <si>
    <t>113-4888079-3337830</t>
  </si>
  <si>
    <t>2018-06-30T01:56:24+00:00</t>
  </si>
  <si>
    <t>2018-06-30T09:40:28+00:00</t>
  </si>
  <si>
    <t>34711-8151</t>
  </si>
  <si>
    <t>112-9550490-3839416</t>
  </si>
  <si>
    <t>2018-06-30T01:42:55+00:00</t>
  </si>
  <si>
    <t>2018-07-01T15:17:36+00:00</t>
  </si>
  <si>
    <t>30350-5049</t>
  </si>
  <si>
    <t>111-2034121-2592231</t>
  </si>
  <si>
    <t>2018-06-30T01:32:31+00:00</t>
  </si>
  <si>
    <t>2018-07-01T19:31:48+00:00</t>
  </si>
  <si>
    <t>SCOTTSDALE</t>
  </si>
  <si>
    <t>85260-3769</t>
  </si>
  <si>
    <t>113-1220440-7221033</t>
  </si>
  <si>
    <t>2018-06-30T01:18:55+00:00</t>
  </si>
  <si>
    <t>2018-06-30T10:42:05+00:00</t>
  </si>
  <si>
    <t>NEW BRAUNFELS</t>
  </si>
  <si>
    <t>78130-7804</t>
  </si>
  <si>
    <t>113-9712665-2771428</t>
  </si>
  <si>
    <t>2018-06-30T00:48:35+00:00</t>
  </si>
  <si>
    <t>2018-07-01T05:10:41+00:00</t>
  </si>
  <si>
    <t>21218-1247</t>
  </si>
  <si>
    <t>S01-0586349-0127412</t>
  </si>
  <si>
    <t>xi71hh8611</t>
  </si>
  <si>
    <t>2018-07-01T17:17:10+00:00</t>
  </si>
  <si>
    <t>2018-07-01T17:17:33+00:00</t>
  </si>
  <si>
    <t>Shipping</t>
  </si>
  <si>
    <t>112-9199775-0051458</t>
  </si>
  <si>
    <t>2018-07-01T23:41:59+00:00</t>
  </si>
  <si>
    <t>2018-07-02T03:25:30+00:00</t>
  </si>
  <si>
    <t>LGQ-IUYL100-PK</t>
  </si>
  <si>
    <t>B0798PX336</t>
  </si>
  <si>
    <t>NORTH BEACH</t>
  </si>
  <si>
    <t>20714-9702</t>
  </si>
  <si>
    <t>113-2674602-9258659</t>
  </si>
  <si>
    <t>2018-07-01T23:31:45+00:00</t>
  </si>
  <si>
    <t>2018-07-03T02:40:09+00:00</t>
  </si>
  <si>
    <t>114-5074500-4452219</t>
  </si>
  <si>
    <t>2018-07-01T23:20:36+00:00</t>
  </si>
  <si>
    <t>2018-07-03T06:30:26+00:00</t>
  </si>
  <si>
    <t>98684-4317</t>
  </si>
  <si>
    <t>112-6669506-1207426</t>
  </si>
  <si>
    <t>2018-07-01T23:07:04+00:00</t>
  </si>
  <si>
    <t>2018-07-02T10:38:46+00:00</t>
  </si>
  <si>
    <t>77565-2430</t>
  </si>
  <si>
    <t>112-2529059-8471428</t>
  </si>
  <si>
    <t>2018-07-01T22:53:19+00:00</t>
  </si>
  <si>
    <t>2018-07-02T22:39:27+00:00</t>
  </si>
  <si>
    <t>fort worth</t>
  </si>
  <si>
    <t>tx</t>
  </si>
  <si>
    <t>113-0306983-1127429</t>
  </si>
  <si>
    <t>2018-07-01T22:49:38+00:00</t>
  </si>
  <si>
    <t>2018-07-04T03:15:20+00:00</t>
  </si>
  <si>
    <t>62012-2146</t>
  </si>
  <si>
    <t>113-6093987-7989003</t>
  </si>
  <si>
    <t>2018-07-01T22:22:42+00:00</t>
  </si>
  <si>
    <t>2018-07-02T09:14:00+00:00</t>
  </si>
  <si>
    <t>CHINA GROVE</t>
  </si>
  <si>
    <t>28023-8562</t>
  </si>
  <si>
    <t>114-7349917-7153800</t>
  </si>
  <si>
    <t>2018-07-01T22:19:28+00:00</t>
  </si>
  <si>
    <t>2018-07-02T22:17:25+00:00</t>
  </si>
  <si>
    <t>06902-7637</t>
  </si>
  <si>
    <t>111-1417327-0935468</t>
  </si>
  <si>
    <t>2018-07-01T22:02:00+00:00</t>
  </si>
  <si>
    <t>2018-07-02T05:25:25+00:00</t>
  </si>
  <si>
    <t>DAVENPORT</t>
  </si>
  <si>
    <t>33837-3838</t>
  </si>
  <si>
    <t>112-3519991-4935435</t>
  </si>
  <si>
    <t>2018-07-01T21:45:34+00:00</t>
  </si>
  <si>
    <t>2018-07-02T23:37:02+00:00</t>
  </si>
  <si>
    <t>FORT WORTH</t>
  </si>
  <si>
    <t>76244-6142</t>
  </si>
  <si>
    <t>112-7032268-9690642</t>
  </si>
  <si>
    <t>2018-07-01T21:34:46+00:00</t>
  </si>
  <si>
    <t>2018-07-02T21:32:56+00:00</t>
  </si>
  <si>
    <t>HAMMONTON</t>
  </si>
  <si>
    <t>08037-9102</t>
  </si>
  <si>
    <t>114-5970488-4255402</t>
  </si>
  <si>
    <t>2018-07-01T21:34:31+00:00</t>
  </si>
  <si>
    <t>2018-07-03T02:33:59+00:00</t>
  </si>
  <si>
    <t>FALLS CHURCH</t>
  </si>
  <si>
    <t>22046-4280</t>
  </si>
  <si>
    <t>112-2972523-9168225</t>
  </si>
  <si>
    <t>2018-07-01T21:14:01+00:00</t>
  </si>
  <si>
    <t>2018-07-02T21:49:05+00:00</t>
  </si>
  <si>
    <t>LAWRENCE</t>
  </si>
  <si>
    <t>66044-3214</t>
  </si>
  <si>
    <t>112-0887283-7318605</t>
  </si>
  <si>
    <t>2018-07-01T21:11:28+00:00</t>
  </si>
  <si>
    <t>2018-07-02T07:32:31+00:00</t>
  </si>
  <si>
    <t>New Rochelle</t>
  </si>
  <si>
    <t>113-3098914-1664207</t>
  </si>
  <si>
    <t>2018-07-01T20:57:48+00:00</t>
  </si>
  <si>
    <t>2018-07-03T16:32:31+00:00</t>
  </si>
  <si>
    <t>LOCUST GROVE</t>
  </si>
  <si>
    <t>30248-2178</t>
  </si>
  <si>
    <t>112-7370427-8842663</t>
  </si>
  <si>
    <t>2018-07-01T20:55:32+00:00</t>
  </si>
  <si>
    <t>2018-07-02T06:33:39+00:00</t>
  </si>
  <si>
    <t>MILFORD</t>
  </si>
  <si>
    <t>45150-5902</t>
  </si>
  <si>
    <t>111-4505751-9309864</t>
  </si>
  <si>
    <t>2018-07-01T20:24:05+00:00</t>
  </si>
  <si>
    <t>2018-07-02T20:49:12+00:00</t>
  </si>
  <si>
    <t>65804-7490</t>
  </si>
  <si>
    <t>113-4816798-6627410</t>
  </si>
  <si>
    <t>2018-07-01T20:05:43+00:00</t>
  </si>
  <si>
    <t>2018-07-02T06:22:27+00:00</t>
  </si>
  <si>
    <t>Ohio</t>
  </si>
  <si>
    <t>114-9379222-8173804</t>
  </si>
  <si>
    <t>2018-07-01T19:57:29+00:00</t>
  </si>
  <si>
    <t>2018-07-02T16:08:38+00:00</t>
  </si>
  <si>
    <t>85742-9359</t>
  </si>
  <si>
    <t>114-2809452-1533845</t>
  </si>
  <si>
    <t>2018-07-01T19:55:28+00:00</t>
  </si>
  <si>
    <t>2018-07-02T22:02:07+00:00</t>
  </si>
  <si>
    <t>EVERETT</t>
  </si>
  <si>
    <t>98204-5674</t>
  </si>
  <si>
    <t>113-6237405-5710637</t>
  </si>
  <si>
    <t>2018-07-01T19:43:04+00:00</t>
  </si>
  <si>
    <t>2018-07-03T03:07:37+00:00</t>
  </si>
  <si>
    <t>23454-3156</t>
  </si>
  <si>
    <t>112-6430338-3495415</t>
  </si>
  <si>
    <t>2018-07-01T18:32:18+00:00</t>
  </si>
  <si>
    <t>2018-07-08T20:32:55+00:00</t>
  </si>
  <si>
    <t>10023-3498</t>
  </si>
  <si>
    <t>114-5701300-5609045</t>
  </si>
  <si>
    <t>2018-07-01T18:32:01+00:00</t>
  </si>
  <si>
    <t>2018-07-05T15:27:04+00:00</t>
  </si>
  <si>
    <t>GW-LULHY-10</t>
  </si>
  <si>
    <t>B01M3R3CVA</t>
  </si>
  <si>
    <t>BRIDGTON</t>
  </si>
  <si>
    <t>04009-4352</t>
  </si>
  <si>
    <t>111-7877574-5609848</t>
  </si>
  <si>
    <t>2018-07-01T18:22:44+00:00</t>
  </si>
  <si>
    <t>2018-07-02T10:30:10+00:00</t>
  </si>
  <si>
    <t>OKLAHOMA CITY</t>
  </si>
  <si>
    <t>73103-4837</t>
  </si>
  <si>
    <t>112-6467838-7639444</t>
  </si>
  <si>
    <t>2018-07-01T18:20:54+00:00</t>
  </si>
  <si>
    <t>2018-07-06T21:38:33+00:00</t>
  </si>
  <si>
    <t>acworth</t>
  </si>
  <si>
    <t>ga</t>
  </si>
  <si>
    <t>113-3921618-0276210</t>
  </si>
  <si>
    <t>2018-07-01T17:21:23+00:00</t>
  </si>
  <si>
    <t>2018-07-07T01:56:49+00:00</t>
  </si>
  <si>
    <t>Odessa</t>
  </si>
  <si>
    <t>111-3507084-4595445</t>
  </si>
  <si>
    <t>2018-07-01T17:04:01+00:00</t>
  </si>
  <si>
    <t>2018-07-02T09:35:20+00:00</t>
  </si>
  <si>
    <t>Reno</t>
  </si>
  <si>
    <t>Nevada</t>
  </si>
  <si>
    <t>111-4722649-6393832</t>
  </si>
  <si>
    <t>2018-07-01T16:28:57+00:00</t>
  </si>
  <si>
    <t>2018-07-03T00:57:58+00:00</t>
  </si>
  <si>
    <t>10038-4851</t>
  </si>
  <si>
    <t>113-7112919-5477806</t>
  </si>
  <si>
    <t>2018-07-01T16:16:05+00:00</t>
  </si>
  <si>
    <t>2018-07-04T04:07:08+00:00</t>
  </si>
  <si>
    <t>46706-9138</t>
  </si>
  <si>
    <t>113-4730129-1689052</t>
  </si>
  <si>
    <t>2018-07-01T16:10:30+00:00</t>
  </si>
  <si>
    <t>2018-07-03T06:24:10+00:00</t>
  </si>
  <si>
    <t>SCF-B01-012</t>
  </si>
  <si>
    <t>B075XHCCFQ</t>
  </si>
  <si>
    <t>94568-4360</t>
  </si>
  <si>
    <t>114-5556108-9590658</t>
  </si>
  <si>
    <t>2018-07-01T15:47:54+00:00</t>
  </si>
  <si>
    <t>2018-07-03T01:42:47+00:00</t>
  </si>
  <si>
    <t>32277-0994</t>
  </si>
  <si>
    <t>112-8558014-1573059</t>
  </si>
  <si>
    <t>2018-07-01T15:47:12+00:00</t>
  </si>
  <si>
    <t>2018-07-02T06:04:25+00:00</t>
  </si>
  <si>
    <t>94124-2324</t>
  </si>
  <si>
    <t>114-1036345-9406656</t>
  </si>
  <si>
    <t>2018-07-01T15:29:27+00:00</t>
  </si>
  <si>
    <t>2018-07-01T22:53:35+00:00</t>
  </si>
  <si>
    <t>BRYN MAWR</t>
  </si>
  <si>
    <t>19010-3843</t>
  </si>
  <si>
    <t>112-6953151-1424231</t>
  </si>
  <si>
    <t>2018-07-01T15:26:29+00:00</t>
  </si>
  <si>
    <t>2018-07-01T18:55:35+00:00</t>
  </si>
  <si>
    <t>90405-3745</t>
  </si>
  <si>
    <t>113-7251287-6082621</t>
  </si>
  <si>
    <t>2018-07-01T15:23:35+00:00</t>
  </si>
  <si>
    <t>2018-07-02T20:12:44+00:00</t>
  </si>
  <si>
    <t>01890-3322</t>
  </si>
  <si>
    <t>113-2175019-2253018</t>
  </si>
  <si>
    <t>2018-07-01T15:20:35+00:00</t>
  </si>
  <si>
    <t>2018-07-02T00:33:06+00:00</t>
  </si>
  <si>
    <t>Winter Haven</t>
  </si>
  <si>
    <t>33881-5702</t>
  </si>
  <si>
    <t>114-6727984-1407458</t>
  </si>
  <si>
    <t>2018-07-01T15:17:24+00:00</t>
  </si>
  <si>
    <t>2018-07-02T03:11:25+00:00</t>
  </si>
  <si>
    <t>North Tonawanda</t>
  </si>
  <si>
    <t>113-5451234-1153004</t>
  </si>
  <si>
    <t>2018-07-01T15:17:10+00:00</t>
  </si>
  <si>
    <t>2018-07-02T20:51:13+00:00</t>
  </si>
  <si>
    <t>MOCOTONO Men's Long Sleeve Standard Fit Plaid Checked Button up Casual Shirts Coffee Small</t>
  </si>
  <si>
    <t>ST006-CF-S</t>
  </si>
  <si>
    <t>B074NQZMVQ</t>
  </si>
  <si>
    <t>10018-7542</t>
  </si>
  <si>
    <t>114-0937729-6779413</t>
  </si>
  <si>
    <t>2018-07-01T15:17:01+00:00</t>
  </si>
  <si>
    <t>2018-07-02T08:56:30+00:00</t>
  </si>
  <si>
    <t>SANTA YSABEL</t>
  </si>
  <si>
    <t>92070-9792</t>
  </si>
  <si>
    <t>114-3676225-3037829</t>
  </si>
  <si>
    <t>2018-07-01T15:12:13+00:00</t>
  </si>
  <si>
    <t>2018-07-03T01:28:16+00:00</t>
  </si>
  <si>
    <t>MOCOTONO Men's Short Sleeve Formal Dress Shirts Wine Red Medium</t>
  </si>
  <si>
    <t>ST173-WR-M</t>
  </si>
  <si>
    <t>B074SN3YQT</t>
  </si>
  <si>
    <t>02116-3095</t>
  </si>
  <si>
    <t>113-2978777-0980201</t>
  </si>
  <si>
    <t>2018-07-01T15:09:01+00:00</t>
  </si>
  <si>
    <t>2018-07-02T05:37:45+00:00</t>
  </si>
  <si>
    <t>78216-7709</t>
  </si>
  <si>
    <t>112-1340414-0498634</t>
  </si>
  <si>
    <t>2018-07-01T14:44:39+00:00</t>
  </si>
  <si>
    <t>2018-07-02T03:33:38+00:00</t>
  </si>
  <si>
    <t>SAINT PETERS</t>
  </si>
  <si>
    <t>63376-3937</t>
  </si>
  <si>
    <t>114-5526690-7437864</t>
  </si>
  <si>
    <t>2018-07-01T14:32:51+00:00</t>
  </si>
  <si>
    <t>2018-07-03T01:28:56+00:00</t>
  </si>
  <si>
    <t>74834-2045</t>
  </si>
  <si>
    <t>113-3113900-8502636</t>
  </si>
  <si>
    <t>2018-07-01T13:29:18+00:00</t>
  </si>
  <si>
    <t>2018-07-02T01:30:18+00:00</t>
  </si>
  <si>
    <t>RICHBORO</t>
  </si>
  <si>
    <t>18954-1438</t>
  </si>
  <si>
    <t>111-0941843-4441006</t>
  </si>
  <si>
    <t>2018-07-01T13:07:30+00:00</t>
  </si>
  <si>
    <t>2018-07-02T03:54:12+00:00</t>
  </si>
  <si>
    <t>Sturgis</t>
  </si>
  <si>
    <t>114-6984735-4990629</t>
  </si>
  <si>
    <t>2018-07-01T11:54:11+00:00</t>
  </si>
  <si>
    <t>2018-07-02T05:09:18+00:00</t>
  </si>
  <si>
    <t>CULLOWHEE</t>
  </si>
  <si>
    <t>28723-1080</t>
  </si>
  <si>
    <t>114-8129653-9301056</t>
  </si>
  <si>
    <t>2018-07-01T06:00:37+00:00</t>
  </si>
  <si>
    <t>2018-07-02T05:46:40+00:00</t>
  </si>
  <si>
    <t>HUTTO</t>
  </si>
  <si>
    <t>78634-4199</t>
  </si>
  <si>
    <t>113-1746749-8961031</t>
  </si>
  <si>
    <t>2018-07-01T05:57:53+00:00</t>
  </si>
  <si>
    <t>2018-07-02T02:35:18+00:00</t>
  </si>
  <si>
    <t>CARTHAGE</t>
  </si>
  <si>
    <t>37030-2500</t>
  </si>
  <si>
    <t>112-9385091-9051424</t>
  </si>
  <si>
    <t>2018-07-01T04:42:07+00:00</t>
  </si>
  <si>
    <t>2018-07-02T07:15:17+00:00</t>
  </si>
  <si>
    <t>34243-6122</t>
  </si>
  <si>
    <t>111-3840673-2714640</t>
  </si>
  <si>
    <t>2018-07-01T04:09:12+00:00</t>
  </si>
  <si>
    <t>2018-07-02T01:41:07+00:00</t>
  </si>
  <si>
    <t>Huntersville</t>
  </si>
  <si>
    <t>North Carolina</t>
  </si>
  <si>
    <t>112-9028082-2822657</t>
  </si>
  <si>
    <t>2018-07-01T04:05:49+00:00</t>
  </si>
  <si>
    <t>2018-07-02T23:33:07+00:00</t>
  </si>
  <si>
    <t>NORTH KINGSTOWN</t>
  </si>
  <si>
    <t>02852-3318</t>
  </si>
  <si>
    <t>114-6667742-1445841</t>
  </si>
  <si>
    <t>2018-07-01T02:11:04+00:00</t>
  </si>
  <si>
    <t>2018-07-02T21:35:10+00:00</t>
  </si>
  <si>
    <t>WESTMONT</t>
  </si>
  <si>
    <t>60559-3258</t>
  </si>
  <si>
    <t>112-3064690-1441034</t>
  </si>
  <si>
    <t>2018-07-01T02:02:31+00:00</t>
  </si>
  <si>
    <t>2018-07-02T15:33:22+00:00</t>
  </si>
  <si>
    <t>49412-9184</t>
  </si>
  <si>
    <t>112-8806819-9116237</t>
  </si>
  <si>
    <t>2018-07-01T01:47:21+00:00</t>
  </si>
  <si>
    <t>2018-07-02T14:13:00+00:00</t>
  </si>
  <si>
    <t>HUNTERSVILLE</t>
  </si>
  <si>
    <t>112-0269519-6833832</t>
  </si>
  <si>
    <t>2018-07-01T01:37:11+00:00</t>
  </si>
  <si>
    <t>2018-07-02T06:32:45+00:00</t>
  </si>
  <si>
    <t>MENIFEE</t>
  </si>
  <si>
    <t>92586-3271</t>
  </si>
  <si>
    <t>111-9267224-4948252</t>
  </si>
  <si>
    <t>2018-07-01T01:22:43+00:00</t>
  </si>
  <si>
    <t>2018-07-01T11:24:47+00:00</t>
  </si>
  <si>
    <t>New Carlisle</t>
  </si>
  <si>
    <t>113-0799358-1616210</t>
  </si>
  <si>
    <t>2018-07-01T01:13:11+00:00</t>
  </si>
  <si>
    <t>2018-07-02T07:17:39+00:00</t>
  </si>
  <si>
    <t>11209-1861</t>
  </si>
  <si>
    <t>111-7768149-6165029</t>
  </si>
  <si>
    <t>2018-07-01T00:48:39+00:00</t>
  </si>
  <si>
    <t>2018-07-01T03:40:16+00:00</t>
  </si>
  <si>
    <t>MILL CREEK</t>
  </si>
  <si>
    <t>98012-8328</t>
  </si>
  <si>
    <t>111-2231836-2675438</t>
  </si>
  <si>
    <t>2018-07-01T00:43:15+00:00</t>
  </si>
  <si>
    <t>2018-07-02T14:21:26+00:00</t>
  </si>
  <si>
    <t>Mapleville</t>
  </si>
  <si>
    <t>111-4015988-6537068</t>
  </si>
  <si>
    <t>2018-07-02T23:58:00+00:00</t>
  </si>
  <si>
    <t>2018-07-07T03:02:08+00:00</t>
  </si>
  <si>
    <t>46804-7105</t>
  </si>
  <si>
    <t>112-6486813-1316221</t>
  </si>
  <si>
    <t>2018-07-02T23:53:22+00:00</t>
  </si>
  <si>
    <t>2018-07-04T00:47:52+00:00</t>
  </si>
  <si>
    <t>01020-2209</t>
  </si>
  <si>
    <t>113-4257699-8595443</t>
  </si>
  <si>
    <t>2018-07-02T23:42:12+00:00</t>
  </si>
  <si>
    <t>2018-07-05T23:36:05+00:00</t>
  </si>
  <si>
    <t>Denton</t>
  </si>
  <si>
    <t>112-7418444-6503406</t>
  </si>
  <si>
    <t>2018-07-02T22:11:14+00:00</t>
  </si>
  <si>
    <t>2018-07-04T00:15:51+00:00</t>
  </si>
  <si>
    <t>RENSSELAER</t>
  </si>
  <si>
    <t>112-4359396-0582610</t>
  </si>
  <si>
    <t>2018-07-02T21:25:40+00:00</t>
  </si>
  <si>
    <t>2018-07-03T23:34:09+00:00</t>
  </si>
  <si>
    <t>COON RAPIDS</t>
  </si>
  <si>
    <t>50058-1025</t>
  </si>
  <si>
    <t>111-6735416-6825839</t>
  </si>
  <si>
    <t>2018-07-02T20:45:26+00:00</t>
  </si>
  <si>
    <t>2018-07-04T05:32:22+00:00</t>
  </si>
  <si>
    <t>XQ-IUYL260-PP-S</t>
  </si>
  <si>
    <t>B079GNL7BD</t>
  </si>
  <si>
    <t>49546-7100</t>
  </si>
  <si>
    <t>111-0262230-8193036</t>
  </si>
  <si>
    <t>2018-07-02T20:26:59+00:00</t>
  </si>
  <si>
    <t>2018-07-03T23:51:32+00:00</t>
  </si>
  <si>
    <t>MONTGOMERY VILLAGE</t>
  </si>
  <si>
    <t>114-1601818-0105004</t>
  </si>
  <si>
    <t>2018-07-02T19:55:11+00:00</t>
  </si>
  <si>
    <t>2018-07-04T06:50:35+00:00</t>
  </si>
  <si>
    <t>98204-7810</t>
  </si>
  <si>
    <t>112-4422806-3116269</t>
  </si>
  <si>
    <t>2018-07-02T19:14:29+00:00</t>
  </si>
  <si>
    <t>2018-07-05T19:39:15+00:00</t>
  </si>
  <si>
    <t>32220-1888</t>
  </si>
  <si>
    <t>114-8621810-5429832</t>
  </si>
  <si>
    <t>2018-07-02T18:34:31+00:00</t>
  </si>
  <si>
    <t>2018-07-04T16:26:03+00:00</t>
  </si>
  <si>
    <t>WASHINGTON</t>
  </si>
  <si>
    <t>DC</t>
  </si>
  <si>
    <t>20016-3040</t>
  </si>
  <si>
    <t>113-6882576-2998663</t>
  </si>
  <si>
    <t>2018-07-02T18:29:29+00:00</t>
  </si>
  <si>
    <t>2018-07-03T06:27:36+00:00</t>
  </si>
  <si>
    <t>70722-3317</t>
  </si>
  <si>
    <t>113-4948754-5596256</t>
  </si>
  <si>
    <t>2018-07-02T18:22:44+00:00</t>
  </si>
  <si>
    <t>2018-07-03T04:34:29+00:00</t>
  </si>
  <si>
    <t>92103-7341</t>
  </si>
  <si>
    <t>114-4742451-0890632</t>
  </si>
  <si>
    <t>2018-07-02T18:04:43+00:00</t>
  </si>
  <si>
    <t>2018-07-04T00:51:15+00:00</t>
  </si>
  <si>
    <t>FIFE</t>
  </si>
  <si>
    <t>98424-1798</t>
  </si>
  <si>
    <t>112-7773525-4033022</t>
  </si>
  <si>
    <t>2018-07-02T18:00:01+00:00</t>
  </si>
  <si>
    <t>2018-07-10T02:49:37+00:00</t>
  </si>
  <si>
    <t>MERIDIAN</t>
  </si>
  <si>
    <t>83646-4861</t>
  </si>
  <si>
    <t>113-1632505-6892257</t>
  </si>
  <si>
    <t>2018-07-02T17:22:32+00:00</t>
  </si>
  <si>
    <t>2018-07-04T17:21:46+00:00</t>
  </si>
  <si>
    <t>Orlando</t>
  </si>
  <si>
    <t>111-9031473-3052213</t>
  </si>
  <si>
    <t>2018-07-02T17:21:18+00:00</t>
  </si>
  <si>
    <t>2018-07-02T23:26:17+00:00</t>
  </si>
  <si>
    <t>11206-6555</t>
  </si>
  <si>
    <t>114-7208764-0628242</t>
  </si>
  <si>
    <t>2018-07-02T17:01:10+00:00</t>
  </si>
  <si>
    <t>2018-07-03T14:24:15+00:00</t>
  </si>
  <si>
    <t>35801-1246</t>
  </si>
  <si>
    <t>114-4905291-3613025</t>
  </si>
  <si>
    <t>2018-07-02T16:52:59+00:00</t>
  </si>
  <si>
    <t>2018-07-03T06:39:56+00:00</t>
  </si>
  <si>
    <t>CHESAPEAKE</t>
  </si>
  <si>
    <t>23322-8921</t>
  </si>
  <si>
    <t>111-0101524-9311402</t>
  </si>
  <si>
    <t>2018-07-02T16:45:51+00:00</t>
  </si>
  <si>
    <t>2018-07-03T23:06:16+00:00</t>
  </si>
  <si>
    <t>Santa Barbara</t>
  </si>
  <si>
    <t>114-4050461-2054633</t>
  </si>
  <si>
    <t>2018-07-02T16:34:04+00:00</t>
  </si>
  <si>
    <t>2018-07-04T04:03:24+00:00</t>
  </si>
  <si>
    <t>33511-7146</t>
  </si>
  <si>
    <t>114-2691747-3453014</t>
  </si>
  <si>
    <t>2018-07-02T15:46:17+00:00</t>
  </si>
  <si>
    <t>2018-07-04T06:21:13+00:00</t>
  </si>
  <si>
    <t>ACWORTH</t>
  </si>
  <si>
    <t>30102-2532</t>
  </si>
  <si>
    <t>111-8515597-6844223</t>
  </si>
  <si>
    <t>2018-07-02T15:11:13+00:00</t>
  </si>
  <si>
    <t>2018-07-02T20:55:50+00:00</t>
  </si>
  <si>
    <t>10453-5405</t>
  </si>
  <si>
    <t>114-4211248-0837034</t>
  </si>
  <si>
    <t>2018-07-02T15:10:17+00:00</t>
  </si>
  <si>
    <t>2018-07-06T17:23:34+00:00</t>
  </si>
  <si>
    <t>95678-5912</t>
  </si>
  <si>
    <t>112-9215578-7290628</t>
  </si>
  <si>
    <t>2018-07-02T14:25:40+00:00</t>
  </si>
  <si>
    <t>2018-07-03T02:21:52+00:00</t>
  </si>
  <si>
    <t>hayward</t>
  </si>
  <si>
    <t>111-7145961-1581814</t>
  </si>
  <si>
    <t>2018-07-02T14:06:23+00:00</t>
  </si>
  <si>
    <t>2018-07-02T21:36:22+00:00</t>
  </si>
  <si>
    <t>34108-2446</t>
  </si>
  <si>
    <t>112-1374421-9464207</t>
  </si>
  <si>
    <t>2018-07-02T13:24:23+00:00</t>
  </si>
  <si>
    <t>2018-07-04T06:34:04+00:00</t>
  </si>
  <si>
    <t>WINDERMERE</t>
  </si>
  <si>
    <t>34786-5881</t>
  </si>
  <si>
    <t>112-2438339-9357007</t>
  </si>
  <si>
    <t>2018-07-02T13:01:54+00:00</t>
  </si>
  <si>
    <t>2018-07-03T00:06:21+00:00</t>
  </si>
  <si>
    <t>YORK</t>
  </si>
  <si>
    <t>29745-9608</t>
  </si>
  <si>
    <t>113-6426621-1204267</t>
  </si>
  <si>
    <t>2018-07-02T12:51:16+00:00</t>
  </si>
  <si>
    <t>2018-07-03T05:57:57+00:00</t>
  </si>
  <si>
    <t>112-1087120-0405800</t>
  </si>
  <si>
    <t>2018-07-02T12:40:21+00:00</t>
  </si>
  <si>
    <t>2018-07-09T02:47:22+00:00</t>
  </si>
  <si>
    <t>Edmond</t>
  </si>
  <si>
    <t>112-5757800-7968262</t>
  </si>
  <si>
    <t>2018-07-02T11:27:40+00:00</t>
  </si>
  <si>
    <t>2018-07-04T00:53:30+00:00</t>
  </si>
  <si>
    <t>BOONTON</t>
  </si>
  <si>
    <t>07005-1506</t>
  </si>
  <si>
    <t>114-3191569-8490642</t>
  </si>
  <si>
    <t>2018-07-02T11:05:22+00:00</t>
  </si>
  <si>
    <t>2018-07-10T01:05:32+00:00</t>
  </si>
  <si>
    <t>LONG ISLAND CITY</t>
  </si>
  <si>
    <t>11101-5776</t>
  </si>
  <si>
    <t>112-6965488-8077812</t>
  </si>
  <si>
    <t>2018-07-02T08:28:48+00:00</t>
  </si>
  <si>
    <t>2018-07-08T21:47:23+00:00</t>
  </si>
  <si>
    <t>ORANGE PARK</t>
  </si>
  <si>
    <t>32073-1900</t>
  </si>
  <si>
    <t>111-1831351-2527465</t>
  </si>
  <si>
    <t>2018-07-02T06:13:53+00:00</t>
  </si>
  <si>
    <t>2018-07-04T05:11:10+00:00</t>
  </si>
  <si>
    <t>EMERYVILLE</t>
  </si>
  <si>
    <t>94608-1011</t>
  </si>
  <si>
    <t>111-6408327-5810632</t>
  </si>
  <si>
    <t>2018-07-02T05:48:06+00:00</t>
  </si>
  <si>
    <t>2018-07-02T20:30:35+00:00</t>
  </si>
  <si>
    <t>90046-3643</t>
  </si>
  <si>
    <t>113-6855010-8413035</t>
  </si>
  <si>
    <t>2018-07-02T05:44:47+00:00</t>
  </si>
  <si>
    <t>2018-07-02T21:05:19+00:00</t>
  </si>
  <si>
    <t>92128-2454</t>
  </si>
  <si>
    <t>111-8648119-0616207</t>
  </si>
  <si>
    <t>2018-07-02T04:04:49+00:00</t>
  </si>
  <si>
    <t>2018-07-04T02:35:19+00:00</t>
  </si>
  <si>
    <t>112-3286571-3638653</t>
  </si>
  <si>
    <t>2018-07-02T03:34:49+00:00</t>
  </si>
  <si>
    <t>2018-07-03T16:08:02+00:00</t>
  </si>
  <si>
    <t>maxwell</t>
  </si>
  <si>
    <t>texas</t>
  </si>
  <si>
    <t>113-9086760-3932233</t>
  </si>
  <si>
    <t>2018-07-02T03:19:09+00:00</t>
  </si>
  <si>
    <t>2018-07-02T18:36:37+00:00</t>
  </si>
  <si>
    <t>CYPRESS</t>
  </si>
  <si>
    <t>77433-1513</t>
  </si>
  <si>
    <t>112-8163295-8511431</t>
  </si>
  <si>
    <t>2018-07-02T03:13:14+00:00</t>
  </si>
  <si>
    <t>2018-07-03T04:48:37+00:00</t>
  </si>
  <si>
    <t>Luciphia Women's Tops Long Sleeve A-Line Lace Stitching Trim Casual Tunic Dress XL Black</t>
  </si>
  <si>
    <t>LYQ-WF7125-KO-XL</t>
  </si>
  <si>
    <t>B077XVV8MB</t>
  </si>
  <si>
    <t>BENTON</t>
  </si>
  <si>
    <t>AR</t>
  </si>
  <si>
    <t>72019-1674</t>
  </si>
  <si>
    <t>113-7803907-1649003</t>
  </si>
  <si>
    <t>2018-07-02T02:53:51+00:00</t>
  </si>
  <si>
    <t>2018-07-04T04:00:29+00:00</t>
  </si>
  <si>
    <t>VALLEJO</t>
  </si>
  <si>
    <t>94590-4458</t>
  </si>
  <si>
    <t>114-9453762-3009802</t>
  </si>
  <si>
    <t>2018-07-02T02:43:30+00:00</t>
  </si>
  <si>
    <t>2018-07-03T02:37:39+00:00</t>
  </si>
  <si>
    <t>10019-3631</t>
  </si>
  <si>
    <t>112-3757101-5054625</t>
  </si>
  <si>
    <t>2018-07-02T01:57:49+00:00</t>
  </si>
  <si>
    <t>2018-07-04T08:34:33+00:00</t>
  </si>
  <si>
    <t>55901-2776</t>
  </si>
  <si>
    <t>112-2616762-6225010</t>
  </si>
  <si>
    <t>2018-07-02T01:41:52+00:00</t>
  </si>
  <si>
    <t>2018-07-09T00:00:23+00:00</t>
  </si>
  <si>
    <t>90069-4310</t>
  </si>
  <si>
    <t>114-0770042-3980252</t>
  </si>
  <si>
    <t>2018-07-02T01:38:32+00:00</t>
  </si>
  <si>
    <t>2018-07-03T03:56:18+00:00</t>
  </si>
  <si>
    <t>Jacksonville</t>
  </si>
  <si>
    <t>113-5810805-6553856</t>
  </si>
  <si>
    <t>2018-07-02T01:17:22+00:00</t>
  </si>
  <si>
    <t>2018-07-04T06:30:35+00:00</t>
  </si>
  <si>
    <t>111-7756055-6285802</t>
  </si>
  <si>
    <t>2018-07-02T00:42:17+00:00</t>
  </si>
  <si>
    <t>2018-07-03T20:19:47+00:00</t>
  </si>
  <si>
    <t>AMARILLO</t>
  </si>
  <si>
    <t>79121-1431</t>
  </si>
  <si>
    <t>114-4721458-1033812</t>
  </si>
  <si>
    <t>2018-07-02T00:41:07+00:00</t>
  </si>
  <si>
    <t>2018-07-03T06:12:52+00:00</t>
  </si>
  <si>
    <t>IOWA CITY</t>
  </si>
  <si>
    <t>52246-5207</t>
  </si>
  <si>
    <t>S01-3136279-2353202</t>
  </si>
  <si>
    <t>2018-07-03T06:43:51+00:00</t>
  </si>
  <si>
    <t>2018-07-07T14:55:12+00:00</t>
  </si>
  <si>
    <t>114-8430898-5908201</t>
  </si>
  <si>
    <t>2018-07-03T23:20:00+00:00</t>
  </si>
  <si>
    <t>2018-07-06T00:09:15+00:00</t>
  </si>
  <si>
    <t>SCAPPOOSE</t>
  </si>
  <si>
    <t>97056-4106</t>
  </si>
  <si>
    <t>112-8141455-9581006</t>
  </si>
  <si>
    <t>2018-07-03T22:07:09+00:00</t>
  </si>
  <si>
    <t>2018-07-04T15:54:43+00:00</t>
  </si>
  <si>
    <t>EVANS</t>
  </si>
  <si>
    <t>111-8421597-4474605</t>
  </si>
  <si>
    <t>2018-07-03T21:10:23+00:00</t>
  </si>
  <si>
    <t>2018-07-05T21:51:04+00:00</t>
  </si>
  <si>
    <t>WARSAW</t>
  </si>
  <si>
    <t>62379-1309</t>
  </si>
  <si>
    <t>112-8495088-7920249</t>
  </si>
  <si>
    <t>2018-07-03T20:10:15+00:00</t>
  </si>
  <si>
    <t>2018-07-04T17:39:55+00:00</t>
  </si>
  <si>
    <t>MIDLAND</t>
  </si>
  <si>
    <t>79707-4732</t>
  </si>
  <si>
    <t>111-7995654-2001009</t>
  </si>
  <si>
    <t>2018-07-03T19:44:36+00:00</t>
  </si>
  <si>
    <t>2018-07-04T15:42:50+00:00</t>
  </si>
  <si>
    <t>20176-7464</t>
  </si>
  <si>
    <t>111-2946297-8991419</t>
  </si>
  <si>
    <t>2018-07-03T19:34:55+00:00</t>
  </si>
  <si>
    <t>2018-07-05T16:31:49+00:00</t>
  </si>
  <si>
    <t>22201-2668</t>
  </si>
  <si>
    <t>112-9051169-9955450</t>
  </si>
  <si>
    <t>2018-07-03T19:18:18+00:00</t>
  </si>
  <si>
    <t>2018-07-04T18:45:42+00:00</t>
  </si>
  <si>
    <t>IRVINE</t>
  </si>
  <si>
    <t>92620-2882</t>
  </si>
  <si>
    <t>112-8708707-7332217</t>
  </si>
  <si>
    <t>2018-07-03T18:20:24+00:00</t>
  </si>
  <si>
    <t>2018-07-04T05:12:20+00:00</t>
  </si>
  <si>
    <t>Narberth</t>
  </si>
  <si>
    <t>114-9173343-5392256</t>
  </si>
  <si>
    <t>2018-07-03T18:13:59+00:00</t>
  </si>
  <si>
    <t>2018-07-05T22:05:21+00:00</t>
  </si>
  <si>
    <t>luciphia 1 Pack 3 Blankets Super Soft Fluffy Premium Fleece Pet Blanket Flannel Throw for Dog Puppy Love Large</t>
  </si>
  <si>
    <t>TZ-IUYL240-LOVE-L</t>
  </si>
  <si>
    <t>B07DL5W2R6</t>
  </si>
  <si>
    <t>11530-3108</t>
  </si>
  <si>
    <t>112-5989861-8356248</t>
  </si>
  <si>
    <t>2018-07-03T17:48:45+00:00</t>
  </si>
  <si>
    <t>2018-07-05T23:37:16+00:00</t>
  </si>
  <si>
    <t>RIVERVIEW</t>
  </si>
  <si>
    <t>33578-8378</t>
  </si>
  <si>
    <t>111-0973030-3189865</t>
  </si>
  <si>
    <t>2018-07-03T16:47:10+00:00</t>
  </si>
  <si>
    <t>2018-07-04T16:28:46+00:00</t>
  </si>
  <si>
    <t>ALBANY</t>
  </si>
  <si>
    <t>12208-2515</t>
  </si>
  <si>
    <t>113-7491742-4030669</t>
  </si>
  <si>
    <t>2018-07-03T16:40:30+00:00</t>
  </si>
  <si>
    <t>2018-07-04T02:35:22+00:00</t>
  </si>
  <si>
    <t>60504-6661</t>
  </si>
  <si>
    <t>113-0607502-9463422</t>
  </si>
  <si>
    <t>2018-07-03T16:29:24+00:00</t>
  </si>
  <si>
    <t>2018-07-04T07:26:53+00:00</t>
  </si>
  <si>
    <t>BROKEN ARROW</t>
  </si>
  <si>
    <t>74012-5631</t>
  </si>
  <si>
    <t>114-4276909-5962621</t>
  </si>
  <si>
    <t>2018-07-03T16:08:25+00:00</t>
  </si>
  <si>
    <t>2018-07-03T23:05:58+00:00</t>
  </si>
  <si>
    <t>NEWBURY PARK</t>
  </si>
  <si>
    <t>91320-1414</t>
  </si>
  <si>
    <t>111-1397036-4629001</t>
  </si>
  <si>
    <t>2018-07-03T15:46:15+00:00</t>
  </si>
  <si>
    <t>2018-07-05T16:30:55+00:00</t>
  </si>
  <si>
    <t>Campbellsport</t>
  </si>
  <si>
    <t>113-2613986-8933043</t>
  </si>
  <si>
    <t>2018-07-03T15:22:30+00:00</t>
  </si>
  <si>
    <t>2018-07-04T09:37:27+00:00</t>
  </si>
  <si>
    <t>Saint Augustine</t>
  </si>
  <si>
    <t>113-6501540-1458611</t>
  </si>
  <si>
    <t>2018-07-03T15:06:13+00:00</t>
  </si>
  <si>
    <t>2018-07-05T21:16:11+00:00</t>
  </si>
  <si>
    <t>MOCOTONO Men's Short Sleeve Formal Dress Shirts Pink XX-Large</t>
  </si>
  <si>
    <t>ST173-PK-XXL</t>
  </si>
  <si>
    <t>B074SVP22M</t>
  </si>
  <si>
    <t>PENSACOLA</t>
  </si>
  <si>
    <t>32506-7221</t>
  </si>
  <si>
    <t>113-9881434-5077060</t>
  </si>
  <si>
    <t>2018-07-03T14:53:14+00:00</t>
  </si>
  <si>
    <t>2018-07-03T14:53:20+00:00</t>
  </si>
  <si>
    <t>Pending</t>
  </si>
  <si>
    <t>Allentown</t>
  </si>
  <si>
    <t>113-2852499-1780216</t>
  </si>
  <si>
    <t>2018-07-03T13:52:45+00:00</t>
  </si>
  <si>
    <t>2018-07-04T08:37:10+00:00</t>
  </si>
  <si>
    <t>SHIPPENSBURG</t>
  </si>
  <si>
    <t>17257-7921</t>
  </si>
  <si>
    <t>112-3201702-7837009</t>
  </si>
  <si>
    <t>2018-07-03T13:40:43+00:00</t>
  </si>
  <si>
    <t>2018-07-04T02:17:59+00:00</t>
  </si>
  <si>
    <t>YUKON</t>
  </si>
  <si>
    <t>73099-5345</t>
  </si>
  <si>
    <t>113-4211344-6644268</t>
  </si>
  <si>
    <t>2018-07-03T13:21:21+00:00</t>
  </si>
  <si>
    <t>2018-07-06T08:10:19+00:00</t>
  </si>
  <si>
    <t>JOHNSTOWN</t>
  </si>
  <si>
    <t>80534-8458</t>
  </si>
  <si>
    <t>111-6740738-4326611</t>
  </si>
  <si>
    <t>2018-07-03T13:16:37+00:00</t>
  </si>
  <si>
    <t>2018-07-03T21:57:11+00:00</t>
  </si>
  <si>
    <t>112-2797669-5551458</t>
  </si>
  <si>
    <t>2018-07-03T11:12:07+00:00</t>
  </si>
  <si>
    <t>2018-07-03T21:38:38+00:00</t>
  </si>
  <si>
    <t>GROVE CITY</t>
  </si>
  <si>
    <t>43123-1112</t>
  </si>
  <si>
    <t>114-2402241-4876244</t>
  </si>
  <si>
    <t>2018-07-03T09:18:02+00:00</t>
  </si>
  <si>
    <t>2018-07-04T04:53:55+00:00</t>
  </si>
  <si>
    <t>NEVADA</t>
  </si>
  <si>
    <t>64772-8928</t>
  </si>
  <si>
    <t>113-6922833-5580250</t>
  </si>
  <si>
    <t>2018-07-03T05:33:10+00:00</t>
  </si>
  <si>
    <t>2018-07-04T05:49:22+00:00</t>
  </si>
  <si>
    <t>palo alto</t>
  </si>
  <si>
    <t>111-8611998-4785010</t>
  </si>
  <si>
    <t>2018-07-03T05:13:48+00:00</t>
  </si>
  <si>
    <t>2018-07-09T23:00:52+00:00</t>
  </si>
  <si>
    <t>TEMECULA</t>
  </si>
  <si>
    <t>92592-3652</t>
  </si>
  <si>
    <t>112-1631532-4582609</t>
  </si>
  <si>
    <t>2018-07-03T05:03:30+00:00</t>
  </si>
  <si>
    <t>2018-07-03T12:35:03+00:00</t>
  </si>
  <si>
    <t>OGDEN</t>
  </si>
  <si>
    <t>84404-7429</t>
  </si>
  <si>
    <t>113-7479136-4417841</t>
  </si>
  <si>
    <t>2018-07-03T04:15:29+00:00</t>
  </si>
  <si>
    <t>2018-07-04T17:10:40+00:00</t>
  </si>
  <si>
    <t>77003-2407</t>
  </si>
  <si>
    <t>113-8589013-6647444</t>
  </si>
  <si>
    <t>2018-07-03T04:04:08+00:00</t>
  </si>
  <si>
    <t>2018-07-04T05:59:52+00:00</t>
  </si>
  <si>
    <t>91737-3708</t>
  </si>
  <si>
    <t>111-4342652-0399423</t>
  </si>
  <si>
    <t>2018-07-03T03:58:20+00:00</t>
  </si>
  <si>
    <t>2018-07-04T05:11:48+00:00</t>
  </si>
  <si>
    <t>Bellflower</t>
  </si>
  <si>
    <t>111-5556881-4937835</t>
  </si>
  <si>
    <t>2018-07-03T03:14:52+00:00</t>
  </si>
  <si>
    <t>2018-07-05T21:25:52+00:00</t>
  </si>
  <si>
    <t>miami</t>
  </si>
  <si>
    <t>florida</t>
  </si>
  <si>
    <t>113-2661720-8312223</t>
  </si>
  <si>
    <t>2018-07-03T02:47:10+00:00</t>
  </si>
  <si>
    <t>2018-07-03T22:48:45+00:00</t>
  </si>
  <si>
    <t>Men's Short Sleeve Formal Dress Shirts Blue Medium</t>
  </si>
  <si>
    <t>ST173-BL-M</t>
  </si>
  <si>
    <t>B074SXT27T</t>
  </si>
  <si>
    <t>ELMIRA</t>
  </si>
  <si>
    <t>14903-9352</t>
  </si>
  <si>
    <t>112-2075028-2509027</t>
  </si>
  <si>
    <t>2018-07-03T02:31:31+00:00</t>
  </si>
  <si>
    <t>2018-07-04T02:34:09+00:00</t>
  </si>
  <si>
    <t>FARMINGTON HILLS</t>
  </si>
  <si>
    <t>113-1370152-2763442</t>
  </si>
  <si>
    <t>2018-07-03T02:29:39+00:00</t>
  </si>
  <si>
    <t>2018-07-03T02:40:49+00:00</t>
  </si>
  <si>
    <t>113-8163820-0211439</t>
  </si>
  <si>
    <t>2018-07-03T02:27:37+00:00</t>
  </si>
  <si>
    <t>2018-07-04T04:00:02+00:00</t>
  </si>
  <si>
    <t>VACAVILLE</t>
  </si>
  <si>
    <t>95687-4639</t>
  </si>
  <si>
    <t>111-0867891-0440210</t>
  </si>
  <si>
    <t>2018-07-03T02:23:58+00:00</t>
  </si>
  <si>
    <t>2018-07-04T00:54:47+00:00</t>
  </si>
  <si>
    <t>STATEN ISLAND</t>
  </si>
  <si>
    <t>10301-4133</t>
  </si>
  <si>
    <t>112-8586521-9494616</t>
  </si>
  <si>
    <t>2018-07-03T02:05:51+00:00</t>
  </si>
  <si>
    <t>2018-07-09T02:33:02+00:00</t>
  </si>
  <si>
    <t>KIMBERLY</t>
  </si>
  <si>
    <t>112-2251553-6620206</t>
  </si>
  <si>
    <t>2018-07-03T00:59:48+00:00</t>
  </si>
  <si>
    <t>2018-07-03T21:41:28+00:00</t>
  </si>
  <si>
    <t>62704-1274</t>
  </si>
  <si>
    <t>111-8833287-4273011</t>
  </si>
  <si>
    <t>2018-07-03T00:37:12+00:00</t>
  </si>
  <si>
    <t>2018-07-05T21:06:14+00:00</t>
  </si>
  <si>
    <t>WYOMING</t>
  </si>
  <si>
    <t>49519-9637</t>
  </si>
  <si>
    <t>111-9923815-7557803</t>
  </si>
  <si>
    <t>2018-07-03T00:02:11+00:00</t>
  </si>
  <si>
    <t>2018-07-03T23:40:26+00:00</t>
  </si>
  <si>
    <t>Frisco</t>
  </si>
  <si>
    <t>111-8057508-1814642</t>
  </si>
  <si>
    <t>2018-07-04T23:04:28+00:00</t>
  </si>
  <si>
    <t>2018-07-05T15:34:01+00:00</t>
  </si>
  <si>
    <t>CENTENNIAL</t>
  </si>
  <si>
    <t>80122-2363</t>
  </si>
  <si>
    <t>113-6225006-8162650</t>
  </si>
  <si>
    <t>2018-07-04T22:26:51+00:00</t>
  </si>
  <si>
    <t>2018-07-06T02:46:48+00:00</t>
  </si>
  <si>
    <t>POMONA</t>
  </si>
  <si>
    <t>10970-3576</t>
  </si>
  <si>
    <t>112-2595443-3656227</t>
  </si>
  <si>
    <t>2018-07-04T22:10:18+00:00</t>
  </si>
  <si>
    <t>2018-07-06T03:56:08+00:00</t>
  </si>
  <si>
    <t>19020-7453</t>
  </si>
  <si>
    <t>112-3316374-0741057</t>
  </si>
  <si>
    <t>2018-07-04T20:37:08+00:00</t>
  </si>
  <si>
    <t>2018-07-06T17:25:36+00:00</t>
  </si>
  <si>
    <t>Woodbury</t>
  </si>
  <si>
    <t>114-8885283-6994623</t>
  </si>
  <si>
    <t>2018-07-04T19:13:37+00:00</t>
  </si>
  <si>
    <t>2018-07-05T20:56:00+00:00</t>
  </si>
  <si>
    <t>KENNEBUNKPORT</t>
  </si>
  <si>
    <t>04046-6303</t>
  </si>
  <si>
    <t>114-3709558-3033843</t>
  </si>
  <si>
    <t>2018-07-04T19:01:54+00:00</t>
  </si>
  <si>
    <t>2018-07-06T02:32:20+00:00</t>
  </si>
  <si>
    <t>90003-3904</t>
  </si>
  <si>
    <t>111-5954221-7870661</t>
  </si>
  <si>
    <t>2018-07-04T18:58:12+00:00</t>
  </si>
  <si>
    <t>2018-07-05T22:22:35+00:00</t>
  </si>
  <si>
    <t>BONDURANT</t>
  </si>
  <si>
    <t>50035-1293</t>
  </si>
  <si>
    <t>114-9231297-9451462</t>
  </si>
  <si>
    <t>2018-07-04T18:32:53+00:00</t>
  </si>
  <si>
    <t>2018-07-05T09:40:57+00:00</t>
  </si>
  <si>
    <t>27604-9654</t>
  </si>
  <si>
    <t>111-4213637-8878624</t>
  </si>
  <si>
    <t>2018-07-04T18:17:46+00:00</t>
  </si>
  <si>
    <t>2018-07-05T19:01:15+00:00</t>
  </si>
  <si>
    <t>GLENVIEW</t>
  </si>
  <si>
    <t>60025-1723</t>
  </si>
  <si>
    <t>113-2982439-5448233</t>
  </si>
  <si>
    <t>2018-07-04T17:35:28+00:00</t>
  </si>
  <si>
    <t>2018-07-05T22:55:40+00:00</t>
  </si>
  <si>
    <t>10010-5724</t>
  </si>
  <si>
    <t>114-9024058-2349803</t>
  </si>
  <si>
    <t>2018-07-04T17:25:09+00:00</t>
  </si>
  <si>
    <t>2018-07-06T10:08:48+00:00</t>
  </si>
  <si>
    <t>55410-1710</t>
  </si>
  <si>
    <t>113-6936218-7823443</t>
  </si>
  <si>
    <t>2018-07-04T17:19:58+00:00</t>
  </si>
  <si>
    <t>2018-07-06T04:37:12+00:00</t>
  </si>
  <si>
    <t>TOPEKA</t>
  </si>
  <si>
    <t>66606-2386</t>
  </si>
  <si>
    <t>111-3902024-0562644</t>
  </si>
  <si>
    <t>2018-07-04T17:19:09+00:00</t>
  </si>
  <si>
    <t>2018-07-06T07:52:18+00:00</t>
  </si>
  <si>
    <t>XQ-IUYL260-BL1-M</t>
  </si>
  <si>
    <t>B079GQ99MR</t>
  </si>
  <si>
    <t>Cranberry Twp</t>
  </si>
  <si>
    <t>pa</t>
  </si>
  <si>
    <t>111-0198073-4440245</t>
  </si>
  <si>
    <t>2018-07-04T16:57:48+00:00</t>
  </si>
  <si>
    <t>2018-07-05T22:37:37+00:00</t>
  </si>
  <si>
    <t>COMMERCE</t>
  </si>
  <si>
    <t>30529-8504</t>
  </si>
  <si>
    <t>111-2922258-0993864</t>
  </si>
  <si>
    <t>2018-07-04T16:45:02+00:00</t>
  </si>
  <si>
    <t>2018-07-04T16:57:49+00:00</t>
  </si>
  <si>
    <t>111-6646034-3810621</t>
  </si>
  <si>
    <t>2018-07-04T16:37:25+00:00</t>
  </si>
  <si>
    <t>2018-07-06T06:38:30+00:00</t>
  </si>
  <si>
    <t>Richmond Hill</t>
  </si>
  <si>
    <t>114-6893236-8596223</t>
  </si>
  <si>
    <t>2018-07-04T16:37:16+00:00</t>
  </si>
  <si>
    <t>2018-07-07T04:31:04+00:00</t>
  </si>
  <si>
    <t>Benton</t>
  </si>
  <si>
    <t>111-5123227-8578604</t>
  </si>
  <si>
    <t>2018-07-04T16:33:51+00:00</t>
  </si>
  <si>
    <t>2018-07-06T06:48:02+00:00</t>
  </si>
  <si>
    <t>114-9314977-8141059</t>
  </si>
  <si>
    <t>2018-07-04T15:22:56+00:00</t>
  </si>
  <si>
    <t>2018-07-06T09:39:29+00:00</t>
  </si>
  <si>
    <t>FALMOUTH</t>
  </si>
  <si>
    <t>MAINE</t>
  </si>
  <si>
    <t>04105-1885</t>
  </si>
  <si>
    <t>112-0054005-4757032</t>
  </si>
  <si>
    <t>2018-07-04T14:29:06+00:00</t>
  </si>
  <si>
    <t>2018-07-06T01:32:40+00:00</t>
  </si>
  <si>
    <t>68506-3755</t>
  </si>
  <si>
    <t>114-0533678-4788201</t>
  </si>
  <si>
    <t>2018-07-04T13:25:33+00:00</t>
  </si>
  <si>
    <t>2018-07-05T17:05:21+00:00</t>
  </si>
  <si>
    <t>HOMESTEAD</t>
  </si>
  <si>
    <t>15120-2341</t>
  </si>
  <si>
    <t>113-1842939-4018616</t>
  </si>
  <si>
    <t>2018-07-04T12:54:32+00:00</t>
  </si>
  <si>
    <t>2018-07-06T05:10:28+00:00</t>
  </si>
  <si>
    <t>las vegas</t>
  </si>
  <si>
    <t>114-8845527-4373035</t>
  </si>
  <si>
    <t>2018-07-04T11:08:06+00:00</t>
  </si>
  <si>
    <t>2018-07-05T20:21:39+00:00</t>
  </si>
  <si>
    <t>111-7961762-9593850</t>
  </si>
  <si>
    <t>2018-07-04T09:12:56+00:00</t>
  </si>
  <si>
    <t>2018-07-05T20:20:30+00:00</t>
  </si>
  <si>
    <t>14020-1039</t>
  </si>
  <si>
    <t>112-1932499-2636235</t>
  </si>
  <si>
    <t>2018-07-04T07:53:06+00:00</t>
  </si>
  <si>
    <t>2018-07-05T12:12:00+00:00</t>
  </si>
  <si>
    <t>Weifang</t>
  </si>
  <si>
    <t>Shandong</t>
  </si>
  <si>
    <t>CN</t>
  </si>
  <si>
    <t>114-1074088-3489825</t>
  </si>
  <si>
    <t>2018-07-04T07:39:39+00:00</t>
  </si>
  <si>
    <t>2018-07-05T08:26:44+00:00</t>
  </si>
  <si>
    <t>SILER CITY</t>
  </si>
  <si>
    <t>27344-2750</t>
  </si>
  <si>
    <t>113-9524916-7002619</t>
  </si>
  <si>
    <t>2018-07-04T07:35:50+00:00</t>
  </si>
  <si>
    <t>2018-07-06T06:23:31+00:00</t>
  </si>
  <si>
    <t>NOKOMIS</t>
  </si>
  <si>
    <t>34275-1010</t>
  </si>
  <si>
    <t>112-2611357-9657866</t>
  </si>
  <si>
    <t>2018-07-04T07:07:24+00:00</t>
  </si>
  <si>
    <t>2018-07-07T22:51:16+00:00</t>
  </si>
  <si>
    <t>SAN SEBASTIAN</t>
  </si>
  <si>
    <t>PR</t>
  </si>
  <si>
    <t>00685-7556</t>
  </si>
  <si>
    <t>111-7887630-3381007</t>
  </si>
  <si>
    <t>2018-07-04T05:49:04+00:00</t>
  </si>
  <si>
    <t>2018-07-05T13:52:06+00:00</t>
  </si>
  <si>
    <t>11358-2457</t>
  </si>
  <si>
    <t>114-1527598-6519457</t>
  </si>
  <si>
    <t>2018-07-04T05:38:04+00:00</t>
  </si>
  <si>
    <t>2018-07-05T09:27:45+00:00</t>
  </si>
  <si>
    <t>http://www.amazon.com</t>
  </si>
  <si>
    <t>Men's Short Sleeve Formal Dress Shirts Blue Large</t>
  </si>
  <si>
    <t>ST173-BL-L</t>
  </si>
  <si>
    <t>B074SWQY9F</t>
  </si>
  <si>
    <t>Jeffersonville</t>
  </si>
  <si>
    <t>47130-7761</t>
  </si>
  <si>
    <t>114-6490960-7669821</t>
  </si>
  <si>
    <t>2018-07-04T05:34:54+00:00</t>
  </si>
  <si>
    <t>2018-07-05T09:26:28+00:00</t>
  </si>
  <si>
    <t>113-1751138-3418653</t>
  </si>
  <si>
    <t>2018-07-04T05:12:52+00:00</t>
  </si>
  <si>
    <t>2018-07-06T04:58:54+00:00</t>
  </si>
  <si>
    <t>SANTA ANA</t>
  </si>
  <si>
    <t>92706-3336</t>
  </si>
  <si>
    <t>112-8483955-9133009</t>
  </si>
  <si>
    <t>2018-07-04T04:39:32+00:00</t>
  </si>
  <si>
    <t>2018-07-04T17:38:18+00:00</t>
  </si>
  <si>
    <t>85345-9217</t>
  </si>
  <si>
    <t>114-7432396-5737863</t>
  </si>
  <si>
    <t>2018-07-04T04:37:20+00:00</t>
  </si>
  <si>
    <t>2018-07-06T04:52:40+00:00</t>
  </si>
  <si>
    <t>114-7555443-4698631</t>
  </si>
  <si>
    <t>2018-07-04T03:30:46+00:00</t>
  </si>
  <si>
    <t>2018-07-04T18:27:09+00:00</t>
  </si>
  <si>
    <t>SANTA BARBARA</t>
  </si>
  <si>
    <t>93108-0715</t>
  </si>
  <si>
    <t>113-7156207-5871430</t>
  </si>
  <si>
    <t>2018-07-04T02:32:10+00:00</t>
  </si>
  <si>
    <t>2018-07-04T17:40:28+00:00</t>
  </si>
  <si>
    <t>Tampa</t>
  </si>
  <si>
    <t>111-0760598-7652267</t>
  </si>
  <si>
    <t>2018-07-04T00:49:26+00:00</t>
  </si>
  <si>
    <t>2018-07-04T08:45:54+00:00</t>
  </si>
  <si>
    <t>112-0960229-2750618</t>
  </si>
  <si>
    <t>2018-07-04T00:49:03+00:00</t>
  </si>
  <si>
    <t>2018-07-04T12:24:33+00:00</t>
  </si>
  <si>
    <t>Luciphia Women's Tops Long Sleeve A-Line Lace Stitching Trim Casual Tunic Dress XL White</t>
  </si>
  <si>
    <t>LYQ-WF7125-WO-XL</t>
  </si>
  <si>
    <t>B077XTXG7X</t>
  </si>
  <si>
    <t>PHOENIX</t>
  </si>
  <si>
    <t>85003-1241</t>
  </si>
  <si>
    <t>111-9274292-1485823</t>
  </si>
  <si>
    <t>2018-07-04T00:48:26+00:00</t>
  </si>
  <si>
    <t>2018-07-05T11:52:40+00:00</t>
  </si>
  <si>
    <t>SALT LAKE CITY</t>
  </si>
  <si>
    <t>84109-2004</t>
  </si>
  <si>
    <t>113-8420106-8452245</t>
  </si>
  <si>
    <t>2018-07-04T00:25:59+00:00</t>
  </si>
  <si>
    <t>2018-07-04T19:00:49+00:00</t>
  </si>
  <si>
    <t>Norfolk</t>
  </si>
  <si>
    <t>114-7129269-6630654</t>
  </si>
  <si>
    <t>2018-07-04T00:07:36+00:00</t>
  </si>
  <si>
    <t>2018-07-10T00:41:51+00:00</t>
  </si>
  <si>
    <t>Dorado</t>
  </si>
  <si>
    <t>111-3565056-1585814</t>
  </si>
  <si>
    <t>2018-07-05T23:45:36+00:00</t>
  </si>
  <si>
    <t>2018-07-08T00:48:39+00:00</t>
  </si>
  <si>
    <t>ROCK ISLAND</t>
  </si>
  <si>
    <t>38581-3549</t>
  </si>
  <si>
    <t>112-2131381-5103425</t>
  </si>
  <si>
    <t>2018-07-05T23:17:26+00:00</t>
  </si>
  <si>
    <t>2018-07-06T22:29:43+00:00</t>
  </si>
  <si>
    <t>Manheim</t>
  </si>
  <si>
    <t>17545-1835</t>
  </si>
  <si>
    <t>114-4765359-3082644</t>
  </si>
  <si>
    <t>2018-07-05T22:44:20+00:00</t>
  </si>
  <si>
    <t>2018-07-08T02:42:07+00:00</t>
  </si>
  <si>
    <t>77036-1902</t>
  </si>
  <si>
    <t>111-7899275-3321825</t>
  </si>
  <si>
    <t>2018-07-05T22:34:58+00:00</t>
  </si>
  <si>
    <t>2018-07-06T22:36:47+00:00</t>
  </si>
  <si>
    <t>20816-3148</t>
  </si>
  <si>
    <t>113-4628795-0211415</t>
  </si>
  <si>
    <t>2018-07-05T22:32:52+00:00</t>
  </si>
  <si>
    <t>2018-07-07T09:11:12+00:00</t>
  </si>
  <si>
    <t>ANDERSON</t>
  </si>
  <si>
    <t>29626-5956</t>
  </si>
  <si>
    <t>111-9553025-3561853</t>
  </si>
  <si>
    <t>2018-07-05T21:07:37+00:00</t>
  </si>
  <si>
    <t>2018-07-06T23:20:11+00:00</t>
  </si>
  <si>
    <t>ATLANTIC BCH</t>
  </si>
  <si>
    <t>32233-3319</t>
  </si>
  <si>
    <t>111-9703730-2291426</t>
  </si>
  <si>
    <t>2018-07-05T20:59:25+00:00</t>
  </si>
  <si>
    <t>2018-07-06T08:38:08+00:00</t>
  </si>
  <si>
    <t>90016-3533</t>
  </si>
  <si>
    <t>111-8363867-4506646</t>
  </si>
  <si>
    <t>2018-07-05T20:40:05+00:00</t>
  </si>
  <si>
    <t>2018-07-06T06:54:36+00:00</t>
  </si>
  <si>
    <t>22556-1241</t>
  </si>
  <si>
    <t>111-8609622-8272231</t>
  </si>
  <si>
    <t>2018-07-05T19:11:54+00:00</t>
  </si>
  <si>
    <t>2018-07-06T22:27:01+00:00</t>
  </si>
  <si>
    <t>Luciphia Women's Tops Long Sleeve A-Line Lace Stitching Trim Casual Tunic Dress M Black</t>
  </si>
  <si>
    <t>LYQ-WF7125-KO-M</t>
  </si>
  <si>
    <t>B077XTZVP8</t>
  </si>
  <si>
    <t>PARKVILLE</t>
  </si>
  <si>
    <t>21234-1506</t>
  </si>
  <si>
    <t>111-6308564-1151457</t>
  </si>
  <si>
    <t>2018-07-05T19:06:12+00:00</t>
  </si>
  <si>
    <t>2018-07-06T15:23:39+00:00</t>
  </si>
  <si>
    <t>LOS ALAMITOS</t>
  </si>
  <si>
    <t>90720-2716</t>
  </si>
  <si>
    <t>113-2678819-5241008</t>
  </si>
  <si>
    <t>2018-07-05T18:58:41+00:00</t>
  </si>
  <si>
    <t>2018-07-08T09:32:12+00:00</t>
  </si>
  <si>
    <t>CORNING</t>
  </si>
  <si>
    <t>96021-9545</t>
  </si>
  <si>
    <t>112-3477823-5759460</t>
  </si>
  <si>
    <t>2018-07-05T18:54:33+00:00</t>
  </si>
  <si>
    <t>2018-07-07T04:28:33+00:00</t>
  </si>
  <si>
    <t>Colorado springs</t>
  </si>
  <si>
    <t>114-5290861-8379437</t>
  </si>
  <si>
    <t>2018-07-05T18:36:09+00:00</t>
  </si>
  <si>
    <t>2018-07-07T02:47:52+00:00</t>
  </si>
  <si>
    <t>LILBURN</t>
  </si>
  <si>
    <t>30047-6312</t>
  </si>
  <si>
    <t>112-3385645-4096226</t>
  </si>
  <si>
    <t>2018-07-05T18:01:56+00:00</t>
  </si>
  <si>
    <t>2018-07-06T21:50:38+00:00</t>
  </si>
  <si>
    <t>01510-3904</t>
  </si>
  <si>
    <t>114-2191781-9979468</t>
  </si>
  <si>
    <t>2018-07-05T17:50:58+00:00</t>
  </si>
  <si>
    <t>2018-07-06T03:27:40+00:00</t>
  </si>
  <si>
    <t>Omaha</t>
  </si>
  <si>
    <t>114-8341644-1773847</t>
  </si>
  <si>
    <t>2018-07-05T17:32:56+00:00</t>
  </si>
  <si>
    <t>2018-07-05T23:02:00+00:00</t>
  </si>
  <si>
    <t>114-5456010-1458645</t>
  </si>
  <si>
    <t>2018-07-05T17:22:09+00:00</t>
  </si>
  <si>
    <t>2018-07-08T06:52:04+00:00</t>
  </si>
  <si>
    <t>33126-1014</t>
  </si>
  <si>
    <t>112-6366645-6933860</t>
  </si>
  <si>
    <t>2018-07-05T17:11:10+00:00</t>
  </si>
  <si>
    <t>2018-07-06T02:34:34+00:00</t>
  </si>
  <si>
    <t>ROSHARON</t>
  </si>
  <si>
    <t>77583-2804</t>
  </si>
  <si>
    <t>111-0783712-4334665</t>
  </si>
  <si>
    <t>2018-07-05T17:00:39+00:00</t>
  </si>
  <si>
    <t>2018-07-06T06:57:51+00:00</t>
  </si>
  <si>
    <t>85286-1296</t>
  </si>
  <si>
    <t>111-9132360-2984239</t>
  </si>
  <si>
    <t>2018-07-05T14:46:00+00:00</t>
  </si>
  <si>
    <t>2018-07-07T12:22:00+00:00</t>
  </si>
  <si>
    <t>21122-7510</t>
  </si>
  <si>
    <t>111-9306188-3145857</t>
  </si>
  <si>
    <t>2018-07-05T11:47:06+00:00</t>
  </si>
  <si>
    <t>2018-07-08T12:52:55+00:00</t>
  </si>
  <si>
    <t>CORINTH</t>
  </si>
  <si>
    <t>12822-2017</t>
  </si>
  <si>
    <t>114-4189067-3681043</t>
  </si>
  <si>
    <t>2018-07-05T08:50:15+00:00</t>
  </si>
  <si>
    <t>2018-07-06T12:42:36+00:00</t>
  </si>
  <si>
    <t>PORTOLA VALLEY</t>
  </si>
  <si>
    <t>94028-7704</t>
  </si>
  <si>
    <t>113-0069675-3522614</t>
  </si>
  <si>
    <t>2018-07-05T06:24:33+00:00</t>
  </si>
  <si>
    <t>2018-07-05T09:02:57+00:00</t>
  </si>
  <si>
    <t>SCF-C01-007</t>
  </si>
  <si>
    <t>B075WSXH1N</t>
  </si>
  <si>
    <t>111-6225508-8985059</t>
  </si>
  <si>
    <t>2018-07-05T03:57:33+00:00</t>
  </si>
  <si>
    <t>2018-07-05T13:06:26+00:00</t>
  </si>
  <si>
    <t>CENTREVILLE</t>
  </si>
  <si>
    <t>20121-2685</t>
  </si>
  <si>
    <t>113-3956634-5623441</t>
  </si>
  <si>
    <t>2018-07-05T02:40:25+00:00</t>
  </si>
  <si>
    <t>2018-07-07T22:42:35+00:00</t>
  </si>
  <si>
    <t>80017-4467</t>
  </si>
  <si>
    <t>111-1642318-3990650</t>
  </si>
  <si>
    <t>2018-07-05T02:12:58+00:00</t>
  </si>
  <si>
    <t>2018-07-06T07:28:41+00:00</t>
  </si>
  <si>
    <t>94158-2147</t>
  </si>
  <si>
    <t>113-4419443-7873010</t>
  </si>
  <si>
    <t>2018-07-05T01:52:15+00:00</t>
  </si>
  <si>
    <t>2018-07-08T00:38:48+00:00</t>
  </si>
  <si>
    <t>SCF-C01-010</t>
  </si>
  <si>
    <t>B075WT9XBG</t>
  </si>
  <si>
    <t>10027-5038</t>
  </si>
  <si>
    <t>113-2872997-6457014</t>
  </si>
  <si>
    <t>2018-07-05T01:48:24+00:00</t>
  </si>
  <si>
    <t>2018-07-06T00:43:18+00:00</t>
  </si>
  <si>
    <t>LIVERPOOL</t>
  </si>
  <si>
    <t>13090-2100</t>
  </si>
  <si>
    <t>114-4851329-9065808</t>
  </si>
  <si>
    <t>2018-07-05T01:42:33+00:00</t>
  </si>
  <si>
    <t>2018-07-06T21:03:37+00:00</t>
  </si>
  <si>
    <t>KINNELON</t>
  </si>
  <si>
    <t>07405-2716</t>
  </si>
  <si>
    <t>114-8660555-2918642</t>
  </si>
  <si>
    <t>2018-07-05T01:39:32+00:00</t>
  </si>
  <si>
    <t>2018-07-06T12:24:53+00:00</t>
  </si>
  <si>
    <t>112-6111919-9005855</t>
  </si>
  <si>
    <t>2018-07-05T01:20:46+00:00</t>
  </si>
  <si>
    <t>2018-07-05T16:18:47+00:00</t>
  </si>
  <si>
    <t>80015-3706</t>
  </si>
  <si>
    <t>113-6728542-7422609</t>
  </si>
  <si>
    <t>2018-07-05T01:19:18+00:00</t>
  </si>
  <si>
    <t>2018-07-06T03:25:29+00:00</t>
  </si>
  <si>
    <t>Watertown</t>
  </si>
  <si>
    <t>112-4551957-9437863</t>
  </si>
  <si>
    <t>2018-07-05T01:10:12+00:00</t>
  </si>
  <si>
    <t>2018-07-06T05:50:23+00:00</t>
  </si>
  <si>
    <t>XQ-IUYL260-BL1-S</t>
  </si>
  <si>
    <t>B079GQZMQ2</t>
  </si>
  <si>
    <t>112-1904863-1256251</t>
  </si>
  <si>
    <t>2018-07-05T00:18:02+00:00</t>
  </si>
  <si>
    <t>2018-07-05T20:32:57+00:00</t>
  </si>
  <si>
    <t>METAIRIE</t>
  </si>
  <si>
    <t>70001-1647</t>
  </si>
  <si>
    <t>S01-5698476-6529843</t>
  </si>
  <si>
    <t>xi761GP733</t>
  </si>
  <si>
    <t>2018-07-06T01:42:52+00:00</t>
  </si>
  <si>
    <t>2018-07-06T01:43:20+00:00</t>
  </si>
  <si>
    <t>111-0769799-6461824</t>
  </si>
  <si>
    <t>2018-07-06T23:41:15+00:00</t>
  </si>
  <si>
    <t>2018-07-08T03:05:37+00:00</t>
  </si>
  <si>
    <t>PEABODY</t>
  </si>
  <si>
    <t>01960-5308</t>
  </si>
  <si>
    <t>112-2550895-5221035</t>
  </si>
  <si>
    <t>2018-07-06T22:48:24+00:00</t>
  </si>
  <si>
    <t>2018-07-07T05:34:07+00:00</t>
  </si>
  <si>
    <t>114-9408801-6452201</t>
  </si>
  <si>
    <t>2018-07-06T22:32:15+00:00</t>
  </si>
  <si>
    <t>2018-07-07T02:29:41+00:00</t>
  </si>
  <si>
    <t>SCHAUMBURG</t>
  </si>
  <si>
    <t>60194-3822</t>
  </si>
  <si>
    <t>111-0961933-1577851</t>
  </si>
  <si>
    <t>2018-07-06T22:30:12+00:00</t>
  </si>
  <si>
    <t>2018-07-09T22:43:29+00:00</t>
  </si>
  <si>
    <t>Bessemer</t>
  </si>
  <si>
    <t>Alabama</t>
  </si>
  <si>
    <t>114-2230955-0516204</t>
  </si>
  <si>
    <t>2018-07-06T21:46:06+00:00</t>
  </si>
  <si>
    <t>2018-07-09T08:02:02+00:00</t>
  </si>
  <si>
    <t>FREDERICK</t>
  </si>
  <si>
    <t>73542-3421</t>
  </si>
  <si>
    <t>111-4670801-8085850</t>
  </si>
  <si>
    <t>2018-07-06T21:17:46+00:00</t>
  </si>
  <si>
    <t>2018-07-08T06:32:32+00:00</t>
  </si>
  <si>
    <t>32789-4368</t>
  </si>
  <si>
    <t>111-0405030-8862610</t>
  </si>
  <si>
    <t>2018-07-06T21:08:28+00:00</t>
  </si>
  <si>
    <t>2018-07-06T21:08:34+00:00</t>
  </si>
  <si>
    <t>SCITUATE</t>
  </si>
  <si>
    <t>02066-3733</t>
  </si>
  <si>
    <t>112-3688906-0158616</t>
  </si>
  <si>
    <t>2018-07-06T20:25:59+00:00</t>
  </si>
  <si>
    <t>2018-07-07T08:44:58+00:00</t>
  </si>
  <si>
    <t>SPRINGDALE</t>
  </si>
  <si>
    <t>72764-6669</t>
  </si>
  <si>
    <t>113-6630096-8656262</t>
  </si>
  <si>
    <t>2018-07-06T20:23:56+00:00</t>
  </si>
  <si>
    <t>2018-07-07T19:55:16+00:00</t>
  </si>
  <si>
    <t>20850-6637</t>
  </si>
  <si>
    <t>113-3881288-7901858</t>
  </si>
  <si>
    <t>2018-07-06T19:14:51+00:00</t>
  </si>
  <si>
    <t>2018-07-10T00:42:26+00:00</t>
  </si>
  <si>
    <t>WILLINGBORO</t>
  </si>
  <si>
    <t>113-9751678-6548226</t>
  </si>
  <si>
    <t>2018-07-06T19:13:56+00:00</t>
  </si>
  <si>
    <t>2018-07-07T04:15:24+00:00</t>
  </si>
  <si>
    <t>Puyallup</t>
  </si>
  <si>
    <t>114-2087480-7321012</t>
  </si>
  <si>
    <t>2018-07-06T18:28:25+00:00</t>
  </si>
  <si>
    <t>2018-07-08T20:52:40+00:00</t>
  </si>
  <si>
    <t>32246-9354</t>
  </si>
  <si>
    <t>112-7300078-0223461</t>
  </si>
  <si>
    <t>2018-07-06T17:12:46+00:00</t>
  </si>
  <si>
    <t>2018-07-07T22:53:14+00:00</t>
  </si>
  <si>
    <t>32507-2513</t>
  </si>
  <si>
    <t>114-4559572-7544232</t>
  </si>
  <si>
    <t>2018-07-06T16:52:42+00:00</t>
  </si>
  <si>
    <t>2018-07-06T18:00:56+00:00</t>
  </si>
  <si>
    <t>DOUGLASSVILLE</t>
  </si>
  <si>
    <t>19518-8743</t>
  </si>
  <si>
    <t>112-1128049-8403414</t>
  </si>
  <si>
    <t>2018-07-06T16:51:28+00:00</t>
  </si>
  <si>
    <t>2018-07-06T21:24:06+00:00</t>
  </si>
  <si>
    <t>GRIFFIN</t>
  </si>
  <si>
    <t>30223-1101</t>
  </si>
  <si>
    <t>112-2340054-0311460</t>
  </si>
  <si>
    <t>2018-07-06T16:38:51+00:00</t>
  </si>
  <si>
    <t>2018-07-07T01:35:35+00:00</t>
  </si>
  <si>
    <t>98121-1385</t>
  </si>
  <si>
    <t>112-9330910-4652221</t>
  </si>
  <si>
    <t>2018-07-06T16:13:40+00:00</t>
  </si>
  <si>
    <t>2018-07-09T22:09:44+00:00</t>
  </si>
  <si>
    <t>Thornfield</t>
  </si>
  <si>
    <t>112-3887956-4537860</t>
  </si>
  <si>
    <t>2018-07-06T15:46:26+00:00</t>
  </si>
  <si>
    <t>2018-07-07T09:39:27+00:00</t>
  </si>
  <si>
    <t>98208-3522</t>
  </si>
  <si>
    <t>114-7826096-4765051</t>
  </si>
  <si>
    <t>2018-07-06T15:35:22+00:00</t>
  </si>
  <si>
    <t>2018-07-08T04:12:35+00:00</t>
  </si>
  <si>
    <t>Akron</t>
  </si>
  <si>
    <t>112-2746387-6156225</t>
  </si>
  <si>
    <t>2018-07-06T15:14:21+00:00</t>
  </si>
  <si>
    <t>2018-07-07T04:35:07+00:00</t>
  </si>
  <si>
    <t>OAKLAND</t>
  </si>
  <si>
    <t>94609-2972</t>
  </si>
  <si>
    <t>112-1494054-0505858</t>
  </si>
  <si>
    <t>2018-07-06T13:59:04+00:00</t>
  </si>
  <si>
    <t>2018-07-08T04:22:00+00:00</t>
  </si>
  <si>
    <t>37323-7703</t>
  </si>
  <si>
    <t>111-3239121-3253841</t>
  </si>
  <si>
    <t>2018-07-06T11:56:45+00:00</t>
  </si>
  <si>
    <t>2018-07-06T14:04:11+00:00</t>
  </si>
  <si>
    <t>Sharpsburg</t>
  </si>
  <si>
    <t>114-3282166-8904249</t>
  </si>
  <si>
    <t>2018-07-06T11:05:42+00:00</t>
  </si>
  <si>
    <t>2018-07-08T00:39:56+00:00</t>
  </si>
  <si>
    <t>60638-2514</t>
  </si>
  <si>
    <t>114-4977765-7861019</t>
  </si>
  <si>
    <t>2018-07-06T06:27:38+00:00</t>
  </si>
  <si>
    <t>2018-07-07T08:16:39+00:00</t>
  </si>
  <si>
    <t>LEHIGH ACRES</t>
  </si>
  <si>
    <t>33972-4507</t>
  </si>
  <si>
    <t>114-3534482-6487451</t>
  </si>
  <si>
    <t>2018-07-06T20:06:14+00:00</t>
  </si>
  <si>
    <t>113-3362740-7764236</t>
  </si>
  <si>
    <t>2018-07-06T05:57:35+00:00</t>
  </si>
  <si>
    <t>2018-07-08T05:20:57+00:00</t>
  </si>
  <si>
    <t>77373-6849</t>
  </si>
  <si>
    <t>114-7046213-6867441</t>
  </si>
  <si>
    <t>2018-07-06T05:40:41+00:00</t>
  </si>
  <si>
    <t>2018-07-07T23:32:03+00:00</t>
  </si>
  <si>
    <t>MOUNT PROSPECT</t>
  </si>
  <si>
    <t>60056-6173</t>
  </si>
  <si>
    <t>114-3994098-2164246</t>
  </si>
  <si>
    <t>2018-07-06T04:56:17+00:00</t>
  </si>
  <si>
    <t>2018-07-06T17:40:37+00:00</t>
  </si>
  <si>
    <t>Peoria</t>
  </si>
  <si>
    <t>Il</t>
  </si>
  <si>
    <t>114-4134570-0702609</t>
  </si>
  <si>
    <t>2018-07-06T03:57:25+00:00</t>
  </si>
  <si>
    <t>2018-07-06T23:39:50+00:00</t>
  </si>
  <si>
    <t>10455-1503</t>
  </si>
  <si>
    <t>111-0308804-9125828</t>
  </si>
  <si>
    <t>2018-07-06T03:51:58+00:00</t>
  </si>
  <si>
    <t>2018-07-07T06:06:54+00:00</t>
  </si>
  <si>
    <t>MOORPARK</t>
  </si>
  <si>
    <t>93021-2335</t>
  </si>
  <si>
    <t>114-3104267-0976233</t>
  </si>
  <si>
    <t>2018-07-06T03:18:01+00:00</t>
  </si>
  <si>
    <t>2018-07-06T12:38:05+00:00</t>
  </si>
  <si>
    <t>MUNCIE</t>
  </si>
  <si>
    <t>47303-4307</t>
  </si>
  <si>
    <t>111-2505937-2357839</t>
  </si>
  <si>
    <t>2018-07-06T02:19:32+00:00</t>
  </si>
  <si>
    <t>2018-07-06T15:24:15+00:00</t>
  </si>
  <si>
    <t>North Aurora</t>
  </si>
  <si>
    <t>114-3257399-6228259</t>
  </si>
  <si>
    <t>2018-07-06T02:06:58+00:00</t>
  </si>
  <si>
    <t>2018-07-06T20:35:43+00:00</t>
  </si>
  <si>
    <t>DANSVILLE</t>
  </si>
  <si>
    <t>48819-5102</t>
  </si>
  <si>
    <t>114-9058319-0557808</t>
  </si>
  <si>
    <t>2018-07-06T01:44:51+00:00</t>
  </si>
  <si>
    <t>2018-07-06T06:18:02+00:00</t>
  </si>
  <si>
    <t>43119-8753</t>
  </si>
  <si>
    <t>111-8994442-5749813</t>
  </si>
  <si>
    <t>2018-07-06T01:39:55+00:00</t>
  </si>
  <si>
    <t>2018-07-07T12:48:54+00:00</t>
  </si>
  <si>
    <t>NARRAGANSETT</t>
  </si>
  <si>
    <t>02882-3321</t>
  </si>
  <si>
    <t>111-8174450-9044229</t>
  </si>
  <si>
    <t>2018-07-06T01:30:31+00:00</t>
  </si>
  <si>
    <t>2018-07-08T08:05:59+00:00</t>
  </si>
  <si>
    <t>16127-4334</t>
  </si>
  <si>
    <t>113-9609975-9735412</t>
  </si>
  <si>
    <t>2018-07-06T01:16:42+00:00</t>
  </si>
  <si>
    <t>2018-07-07T16:41:08+00:00</t>
  </si>
  <si>
    <t>Luciphia Men's Fit Straight Leg Casual Pants</t>
  </si>
  <si>
    <t>KZ-LY021-KK-32</t>
  </si>
  <si>
    <t>B0785PS8WV</t>
  </si>
  <si>
    <t>20019-4040</t>
  </si>
  <si>
    <t>114-8730667-5098645</t>
  </si>
  <si>
    <t>2018-07-06T00:50:32+00:00</t>
  </si>
  <si>
    <t>2018-07-07T17:56:10+00:00</t>
  </si>
  <si>
    <t>76132-5003</t>
  </si>
  <si>
    <t>113-1832958-5918607</t>
  </si>
  <si>
    <t>2018-07-06T00:44:21+00:00</t>
  </si>
  <si>
    <t>2018-07-07T10:36:11+00:00</t>
  </si>
  <si>
    <t>Port Arthur</t>
  </si>
  <si>
    <t>114-0131409-6169804</t>
  </si>
  <si>
    <t>2018-07-06T00:42:46+00:00</t>
  </si>
  <si>
    <t>2018-07-06T22:35:28+00:00</t>
  </si>
  <si>
    <t>WEATHERFORD</t>
  </si>
  <si>
    <t>76086-2362</t>
  </si>
  <si>
    <t>112-4261170-5565853</t>
  </si>
  <si>
    <t>2018-07-06T00:40:00+00:00</t>
  </si>
  <si>
    <t>2018-07-07T15:30:42+00:00</t>
  </si>
  <si>
    <t>92683-4374</t>
  </si>
  <si>
    <t>112-3875556-6341018</t>
  </si>
  <si>
    <t>2018-07-06T00:33:58+00:00</t>
  </si>
  <si>
    <t>2018-07-06T22:34:41+00:00</t>
  </si>
  <si>
    <t>New Oxford</t>
  </si>
  <si>
    <t>113-6879975-0889035</t>
  </si>
  <si>
    <t>2018-07-06T00:33:13+00:00</t>
  </si>
  <si>
    <t>2018-07-08T05:12:23+00:00</t>
  </si>
  <si>
    <t>BUFORD</t>
  </si>
  <si>
    <t>30519-5448</t>
  </si>
  <si>
    <t>113-4519386-9857857</t>
  </si>
  <si>
    <t>2018-07-06T00:32:40+00:00</t>
  </si>
  <si>
    <t>2018-07-07T10:26:20+00:00</t>
  </si>
  <si>
    <t>28209-2443</t>
  </si>
  <si>
    <t>112-2671783-2705800</t>
  </si>
  <si>
    <t>2018-07-06T00:00:03+00:00</t>
  </si>
  <si>
    <t>2018-07-07T06:44:33+00:00</t>
  </si>
  <si>
    <t>114-3849986-8549065</t>
  </si>
  <si>
    <t>2018-07-07T23:16:22+00:00</t>
  </si>
  <si>
    <t>2018-07-08T23:37:41+00:00</t>
  </si>
  <si>
    <t>21703-2892</t>
  </si>
  <si>
    <t>111-7546215-4964256</t>
  </si>
  <si>
    <t>2018-07-07T22:43:04+00:00</t>
  </si>
  <si>
    <t>2018-07-09T02:35:40+00:00</t>
  </si>
  <si>
    <t>GRANDY</t>
  </si>
  <si>
    <t>27939-9759</t>
  </si>
  <si>
    <t>114-4514844-5397820</t>
  </si>
  <si>
    <t>2018-07-07T22:11:12+00:00</t>
  </si>
  <si>
    <t>2018-07-09T05:03:03+00:00</t>
  </si>
  <si>
    <t>77005-1704</t>
  </si>
  <si>
    <t>111-0578144-3486600</t>
  </si>
  <si>
    <t>2018-07-07T22:09:19+00:00</t>
  </si>
  <si>
    <t>2018-07-09T06:50:31+00:00</t>
  </si>
  <si>
    <t>94530-3704</t>
  </si>
  <si>
    <t>112-7740221-0082659</t>
  </si>
  <si>
    <t>2018-07-07T22:05:58+00:00</t>
  </si>
  <si>
    <t>2018-07-09T04:39:45+00:00</t>
  </si>
  <si>
    <t>EAU CLAIRE</t>
  </si>
  <si>
    <t>54701-6019</t>
  </si>
  <si>
    <t>114-8759696-0035456</t>
  </si>
  <si>
    <t>2018-07-07T21:03:06+00:00</t>
  </si>
  <si>
    <t>2018-07-09T00:31:45+00:00</t>
  </si>
  <si>
    <t>STONY BROOK</t>
  </si>
  <si>
    <t>11790-2921</t>
  </si>
  <si>
    <t>113-7735808-3849049</t>
  </si>
  <si>
    <t>2018-07-07T20:40:52+00:00</t>
  </si>
  <si>
    <t>2018-07-08T19:00:23+00:00</t>
  </si>
  <si>
    <t>114-4560601-8213814</t>
  </si>
  <si>
    <t>2018-07-07T20:02:25+00:00</t>
  </si>
  <si>
    <t>2018-07-09T22:19:43+00:00</t>
  </si>
  <si>
    <t>Pajamas-sb001-KK-XL</t>
  </si>
  <si>
    <t>B0747SC2YK</t>
  </si>
  <si>
    <t>DUBUQUE</t>
  </si>
  <si>
    <t>52001-0627</t>
  </si>
  <si>
    <t>113-3921548-3987438</t>
  </si>
  <si>
    <t>2018-07-07T19:58:18+00:00</t>
  </si>
  <si>
    <t>2018-07-08T20:37:33+00:00</t>
  </si>
  <si>
    <t>GARFIELD HTS</t>
  </si>
  <si>
    <t>44125-3540</t>
  </si>
  <si>
    <t>114-9079085-6469042</t>
  </si>
  <si>
    <t>2018-07-07T18:11:42+00:00</t>
  </si>
  <si>
    <t>2018-07-08T01:31:13+00:00</t>
  </si>
  <si>
    <t>95688-9570</t>
  </si>
  <si>
    <t>113-3955206-6830650</t>
  </si>
  <si>
    <t>2018-07-07T18:08:15+00:00</t>
  </si>
  <si>
    <t>2018-07-09T04:18:12+00:00</t>
  </si>
  <si>
    <t>BOONE</t>
  </si>
  <si>
    <t>50036-2928</t>
  </si>
  <si>
    <t>114-1472258-2879410</t>
  </si>
  <si>
    <t>2018-07-07T18:07:55+00:00</t>
  </si>
  <si>
    <t>2018-07-08T07:08:12+00:00</t>
  </si>
  <si>
    <t>22153-2941</t>
  </si>
  <si>
    <t>111-3203858-3327441</t>
  </si>
  <si>
    <t>2018-07-07T18:00:05+00:00</t>
  </si>
  <si>
    <t>2018-07-08T07:26:37+00:00</t>
  </si>
  <si>
    <t>53566-2631</t>
  </si>
  <si>
    <t>113-5654205-2843456</t>
  </si>
  <si>
    <t>2018-07-07T17:48:25+00:00</t>
  </si>
  <si>
    <t>2018-07-08T04:13:10+00:00</t>
  </si>
  <si>
    <t>BROWNS SUMMIT</t>
  </si>
  <si>
    <t>27214-5000</t>
  </si>
  <si>
    <t>113-9001330-2668269</t>
  </si>
  <si>
    <t>2018-07-07T17:17:03+00:00</t>
  </si>
  <si>
    <t>2018-07-08T03:27:13+00:00</t>
  </si>
  <si>
    <t>NORTH CAROLINA</t>
  </si>
  <si>
    <t>28078-2333</t>
  </si>
  <si>
    <t>111-5378380-5642620</t>
  </si>
  <si>
    <t>2018-07-07T17:02:58+00:00</t>
  </si>
  <si>
    <t>2018-07-08T17:57:20+00:00</t>
  </si>
  <si>
    <t>JAMAICA</t>
  </si>
  <si>
    <t>11434-2867</t>
  </si>
  <si>
    <t>113-4954944-7241868</t>
  </si>
  <si>
    <t>2018-07-07T16:40:24+00:00</t>
  </si>
  <si>
    <t>2018-07-08T06:02:07+00:00</t>
  </si>
  <si>
    <t>MONTE RIO</t>
  </si>
  <si>
    <t>95462-9761</t>
  </si>
  <si>
    <t>114-8838320-8833848</t>
  </si>
  <si>
    <t>2018-07-07T16:00:22+00:00</t>
  </si>
  <si>
    <t>2018-07-08T09:29:41+00:00</t>
  </si>
  <si>
    <t>46845-8772</t>
  </si>
  <si>
    <t>113-8408711-7359453</t>
  </si>
  <si>
    <t>2018-07-07T15:46:31+00:00</t>
  </si>
  <si>
    <t>2018-07-07T21:23:55+00:00</t>
  </si>
  <si>
    <t>114-2010228-1959407</t>
  </si>
  <si>
    <t>2018-07-07T12:33:38+00:00</t>
  </si>
  <si>
    <t>2018-07-07T20:55:55+00:00</t>
  </si>
  <si>
    <t>Dog Seat Belt, 3 Packs Adjustable Vehicle Car Seatbelt Leash Safety Leads Harness for Pets Cats Animals Black</t>
  </si>
  <si>
    <t>AQD-IUYL330-BK</t>
  </si>
  <si>
    <t>B07BLQFM2G</t>
  </si>
  <si>
    <t>FLORISSANT</t>
  </si>
  <si>
    <t>63033-5725</t>
  </si>
  <si>
    <t>111-6567606-3645818</t>
  </si>
  <si>
    <t>2018-07-07T10:14:17+00:00</t>
  </si>
  <si>
    <t>2018-07-08T09:34:55+00:00</t>
  </si>
  <si>
    <t>113-0457747-2779414</t>
  </si>
  <si>
    <t>2018-07-07T10:03:49+00:00</t>
  </si>
  <si>
    <t>2018-07-09T06:11:12+00:00</t>
  </si>
  <si>
    <t>33191-1045</t>
  </si>
  <si>
    <t>111-0707875-1933867</t>
  </si>
  <si>
    <t>2018-07-07T09:27:01+00:00</t>
  </si>
  <si>
    <t>2018-07-09T22:07:59+00:00</t>
  </si>
  <si>
    <t>02115-5798</t>
  </si>
  <si>
    <t>111-5885074-3067408</t>
  </si>
  <si>
    <t>2018-07-07T08:35:58+00:00</t>
  </si>
  <si>
    <t>2018-07-08T06:24:15+00:00</t>
  </si>
  <si>
    <t>EUGENE</t>
  </si>
  <si>
    <t>97402-3721</t>
  </si>
  <si>
    <t>112-6921335-4367440</t>
  </si>
  <si>
    <t>2018-07-07T06:53:56+00:00</t>
  </si>
  <si>
    <t>2018-07-08T22:31:01+00:00</t>
  </si>
  <si>
    <t>DAVIE</t>
  </si>
  <si>
    <t>33324-4559</t>
  </si>
  <si>
    <t>114-4616239-8730645</t>
  </si>
  <si>
    <t>2018-07-07T06:05:02+00:00</t>
  </si>
  <si>
    <t>2018-07-08T03:27:07+00:00</t>
  </si>
  <si>
    <t>NAPA</t>
  </si>
  <si>
    <t>94559-4329</t>
  </si>
  <si>
    <t>111-4271509-9798630</t>
  </si>
  <si>
    <t>2018-07-07T05:14:54+00:00</t>
  </si>
  <si>
    <t>2018-07-07T18:12:30+00:00</t>
  </si>
  <si>
    <t>ASTORIA</t>
  </si>
  <si>
    <t>11102-2056</t>
  </si>
  <si>
    <t>114-1045248-0639456</t>
  </si>
  <si>
    <t>2018-07-07T05:13:33+00:00</t>
  </si>
  <si>
    <t>2018-07-08T06:03:14+00:00</t>
  </si>
  <si>
    <t>DALY CITY</t>
  </si>
  <si>
    <t>94014-3859</t>
  </si>
  <si>
    <t>113-0941151-9339414</t>
  </si>
  <si>
    <t>2018-07-07T04:44:29+00:00</t>
  </si>
  <si>
    <t>2018-07-08T04:21:00+00:00</t>
  </si>
  <si>
    <t>SAN LORENZO</t>
  </si>
  <si>
    <t>94580-2830</t>
  </si>
  <si>
    <t>114-3025824-8485858</t>
  </si>
  <si>
    <t>2018-07-07T02:44:42+00:00</t>
  </si>
  <si>
    <t>2018-07-07T15:21:41+00:00</t>
  </si>
  <si>
    <t>DETROIT</t>
  </si>
  <si>
    <t>48214-4133</t>
  </si>
  <si>
    <t>113-1227123-6530632</t>
  </si>
  <si>
    <t>2018-07-07T02:43:47+00:00</t>
  </si>
  <si>
    <t>2018-07-07T02:43:53+00:00</t>
  </si>
  <si>
    <t>95133-1557</t>
  </si>
  <si>
    <t>112-0031747-2610650</t>
  </si>
  <si>
    <t>2018-07-07T02:35:10+00:00</t>
  </si>
  <si>
    <t>2018-07-07T18:17:28+00:00</t>
  </si>
  <si>
    <t>33182-2610</t>
  </si>
  <si>
    <t>114-1535911-9709826</t>
  </si>
  <si>
    <t>2018-07-07T02:24:13+00:00</t>
  </si>
  <si>
    <t>2018-07-08T16:24:27+00:00</t>
  </si>
  <si>
    <t>33125-5507</t>
  </si>
  <si>
    <t>114-1811032-2645811</t>
  </si>
  <si>
    <t>2018-07-07T02:12:37+00:00</t>
  </si>
  <si>
    <t>2018-07-07T22:33:15+00:00</t>
  </si>
  <si>
    <t>Desoto</t>
  </si>
  <si>
    <t>113-3777880-8206621</t>
  </si>
  <si>
    <t>2018-07-07T02:05:33+00:00</t>
  </si>
  <si>
    <t>2018-07-08T09:43:39+00:00</t>
  </si>
  <si>
    <t>95136-2158</t>
  </si>
  <si>
    <t>111-3844998-1318656</t>
  </si>
  <si>
    <t>2018-07-07T02:05:12+00:00</t>
  </si>
  <si>
    <t>2018-07-08T04:28:22+00:00</t>
  </si>
  <si>
    <t>WOODWARD</t>
  </si>
  <si>
    <t>73801-2739</t>
  </si>
  <si>
    <t>114-1210784-5509003</t>
  </si>
  <si>
    <t>2018-07-07T01:10:19+00:00</t>
  </si>
  <si>
    <t>2018-07-07T01:19:10+00:00</t>
  </si>
  <si>
    <t>CAMERON</t>
  </si>
  <si>
    <t>28326-0135</t>
  </si>
  <si>
    <t>112-1545500-1012269</t>
  </si>
  <si>
    <t>2018-07-07T00:52:04+00:00</t>
  </si>
  <si>
    <t>2018-07-08T04:52:27+00:00</t>
  </si>
  <si>
    <t>NEWARK</t>
  </si>
  <si>
    <t>07104-2128</t>
  </si>
  <si>
    <t>111-3521042-6382625</t>
  </si>
  <si>
    <t>2018-07-08T23:51:35+00:00</t>
  </si>
  <si>
    <t>2018-07-09T15:54:36+00:00</t>
  </si>
  <si>
    <t>LOCHBUIE</t>
  </si>
  <si>
    <t>80603-7793</t>
  </si>
  <si>
    <t>114-0136289-4348237</t>
  </si>
  <si>
    <t>2018-07-08T23:30:06+00:00</t>
  </si>
  <si>
    <t>2018-07-09T07:51:49+00:00</t>
  </si>
  <si>
    <t>Laguna Niguel</t>
  </si>
  <si>
    <t>112-3708855-1661863</t>
  </si>
  <si>
    <t>2018-07-08T23:21:33+00:00</t>
  </si>
  <si>
    <t>2018-07-09T07:32:00+00:00</t>
  </si>
  <si>
    <t>WACO</t>
  </si>
  <si>
    <t>68460-3016</t>
  </si>
  <si>
    <t>112-3461504-3497064</t>
  </si>
  <si>
    <t>2018-07-08T23:12:40+00:00</t>
  </si>
  <si>
    <t>2018-07-09T07:16:43+00:00</t>
  </si>
  <si>
    <t>CHICO</t>
  </si>
  <si>
    <t>76431-3732</t>
  </si>
  <si>
    <t>111-0799166-5304207</t>
  </si>
  <si>
    <t>2018-07-08T22:28:49+00:00</t>
  </si>
  <si>
    <t>2018-07-09T05:00:47+00:00</t>
  </si>
  <si>
    <t>PINEY FLATS</t>
  </si>
  <si>
    <t>37686-2507</t>
  </si>
  <si>
    <t>113-8422038-1455431</t>
  </si>
  <si>
    <t>2018-07-08T22:20:59+00:00</t>
  </si>
  <si>
    <t>2018-07-09T22:05:30+00:00</t>
  </si>
  <si>
    <t>PALM BAY</t>
  </si>
  <si>
    <t>32905-3767</t>
  </si>
  <si>
    <t>114-4866397-4941843</t>
  </si>
  <si>
    <t>2018-07-08T22:10:11+00:00</t>
  </si>
  <si>
    <t>2018-07-08T22:14:32+00:00</t>
  </si>
  <si>
    <t>32766-5093</t>
  </si>
  <si>
    <t>111-6395371-7134667</t>
  </si>
  <si>
    <t>2018-07-08T21:38:24+00:00</t>
  </si>
  <si>
    <t>2018-07-09T19:36:33+00:00</t>
  </si>
  <si>
    <t>COVINA</t>
  </si>
  <si>
    <t>91724-3553</t>
  </si>
  <si>
    <t>112-0847022-1023450</t>
  </si>
  <si>
    <t>2018-07-08T21:00:43+00:00</t>
  </si>
  <si>
    <t>2018-07-09T06:21:03+00:00</t>
  </si>
  <si>
    <t>28211-2109</t>
  </si>
  <si>
    <t>114-9526362-8584254</t>
  </si>
  <si>
    <t>2018-07-08T20:15:56+00:00</t>
  </si>
  <si>
    <t>2018-07-09T23:53:51+00:00</t>
  </si>
  <si>
    <t>11201-2963</t>
  </si>
  <si>
    <t>112-2041845-3369061</t>
  </si>
  <si>
    <t>2018-07-08T20:13:12+00:00</t>
  </si>
  <si>
    <t>2018-07-09T06:01:12+00:00</t>
  </si>
  <si>
    <t>BUENA PARK</t>
  </si>
  <si>
    <t>90620-4258</t>
  </si>
  <si>
    <t>113-7031948-1784248</t>
  </si>
  <si>
    <t>2018-07-08T19:59:14+00:00</t>
  </si>
  <si>
    <t>2018-07-10T00:48:50+00:00</t>
  </si>
  <si>
    <t>Columbia</t>
  </si>
  <si>
    <t>112-1499946-4279461</t>
  </si>
  <si>
    <t>2018-07-08T19:58:44+00:00</t>
  </si>
  <si>
    <t>2018-07-09T08:10:24+00:00</t>
  </si>
  <si>
    <t>STONYPOINT</t>
  </si>
  <si>
    <t>112-2447859-2394617</t>
  </si>
  <si>
    <t>2018-07-08T19:03:37+00:00</t>
  </si>
  <si>
    <t>2018-07-09T04:15:07+00:00</t>
  </si>
  <si>
    <t>Monroe</t>
  </si>
  <si>
    <t>98272-7815</t>
  </si>
  <si>
    <t>111-2362502-3476264</t>
  </si>
  <si>
    <t>2018-07-08T18:37:20+00:00</t>
  </si>
  <si>
    <t>2018-07-08T18:37:24+00:00</t>
  </si>
  <si>
    <t>ELK CREEK</t>
  </si>
  <si>
    <t>95939-9704</t>
  </si>
  <si>
    <t>112-1572866-4135437</t>
  </si>
  <si>
    <t>2018-07-08T18:28:57+00:00</t>
  </si>
  <si>
    <t>2018-07-09T10:06:23+00:00</t>
  </si>
  <si>
    <t>Woods Cross</t>
  </si>
  <si>
    <t>112-7509902-9017856</t>
  </si>
  <si>
    <t>2018-07-08T18:08:18+00:00</t>
  </si>
  <si>
    <t>2018-07-08T18:08:23+00:00</t>
  </si>
  <si>
    <t>IRVING</t>
  </si>
  <si>
    <t>75039-4606</t>
  </si>
  <si>
    <t>112-0234623-5865038</t>
  </si>
  <si>
    <t>2018-07-08T18:02:03+00:00</t>
  </si>
  <si>
    <t>2018-07-10T00:35:27+00:00</t>
  </si>
  <si>
    <t>111-8688070-4469836</t>
  </si>
  <si>
    <t>2018-07-08T17:52:32+00:00</t>
  </si>
  <si>
    <t>2018-07-09T23:01:03+00:00</t>
  </si>
  <si>
    <t>77494-2777</t>
  </si>
  <si>
    <t>114-6785778-6022602</t>
  </si>
  <si>
    <t>2018-07-08T17:37:51+00:00</t>
  </si>
  <si>
    <t>2018-07-08T17:37:55+00:00</t>
  </si>
  <si>
    <t>LEAGUE CITY</t>
  </si>
  <si>
    <t>77573-3247</t>
  </si>
  <si>
    <t>113-0744980-8940269</t>
  </si>
  <si>
    <t>2018-07-08T17:31:11+00:00</t>
  </si>
  <si>
    <t>2018-07-10T00:49:28+00:00</t>
  </si>
  <si>
    <t>Wesley Chapel</t>
  </si>
  <si>
    <t>113-9093111-9689025</t>
  </si>
  <si>
    <t>2018-07-08T17:27:01+00:00</t>
  </si>
  <si>
    <t>2018-07-08T17:27:07+00:00</t>
  </si>
  <si>
    <t>111-8670099-8601823</t>
  </si>
  <si>
    <t>2018-07-08T17:18:49+00:00</t>
  </si>
  <si>
    <t>2018-07-09T16:59:30+00:00</t>
  </si>
  <si>
    <t>OREFIELD</t>
  </si>
  <si>
    <t>18069-9030</t>
  </si>
  <si>
    <t>111-0386600-9863463</t>
  </si>
  <si>
    <t>2018-07-08T16:54:57+00:00</t>
  </si>
  <si>
    <t>2018-07-09T23:10:04+00:00</t>
  </si>
  <si>
    <t>75436-4310</t>
  </si>
  <si>
    <t>111-2473998-0626622</t>
  </si>
  <si>
    <t>2018-07-08T15:35:27+00:00</t>
  </si>
  <si>
    <t>2018-07-09T16:45:05+00:00</t>
  </si>
  <si>
    <t>111-3246598-6791447</t>
  </si>
  <si>
    <t>2018-07-08T15:32:25+00:00</t>
  </si>
  <si>
    <t>2018-07-09T05:18:44+00:00</t>
  </si>
  <si>
    <t>Ottawa</t>
  </si>
  <si>
    <t>K1S 2B9</t>
  </si>
  <si>
    <t>113-0361793-9198669</t>
  </si>
  <si>
    <t>2018-07-08T15:20:28+00:00</t>
  </si>
  <si>
    <t>2018-07-09T10:27:42+00:00</t>
  </si>
  <si>
    <t>79106-6568</t>
  </si>
  <si>
    <t>114-4804871-2649829</t>
  </si>
  <si>
    <t>2018-07-08T14:44:01+00:00</t>
  </si>
  <si>
    <t>2018-07-09T23:56:27+00:00</t>
  </si>
  <si>
    <t>JAMAICA PLAIN</t>
  </si>
  <si>
    <t>02130-2012</t>
  </si>
  <si>
    <t>111-2053868-6463451</t>
  </si>
  <si>
    <t>2018-07-08T14:17:51+00:00</t>
  </si>
  <si>
    <t>2018-07-10T01:31:31+00:00</t>
  </si>
  <si>
    <t>Mahwah</t>
  </si>
  <si>
    <t>07430-3503</t>
  </si>
  <si>
    <t>114-4252475-9283459</t>
  </si>
  <si>
    <t>2018-07-08T13:43:07+00:00</t>
  </si>
  <si>
    <t>2018-07-09T22:32:59+00:00</t>
  </si>
  <si>
    <t>VERMONT</t>
  </si>
  <si>
    <t>05824-9516</t>
  </si>
  <si>
    <t>113-3619935-6713852</t>
  </si>
  <si>
    <t>2018-07-08T13:35:29+00:00</t>
  </si>
  <si>
    <t>2018-07-09T05:31:39+00:00</t>
  </si>
  <si>
    <t>MOUNT CLEMENS</t>
  </si>
  <si>
    <t>48043-5502</t>
  </si>
  <si>
    <t>113-6413122-8917865</t>
  </si>
  <si>
    <t>2018-07-08T13:30:19+00:00</t>
  </si>
  <si>
    <t>2018-07-09T22:51:24+00:00</t>
  </si>
  <si>
    <t>32501-3305</t>
  </si>
  <si>
    <t>114-7489646-3177036</t>
  </si>
  <si>
    <t>2018-07-08T13:30:14+00:00</t>
  </si>
  <si>
    <t>2018-07-08T18:22:21+00:00</t>
  </si>
  <si>
    <t>SPENCER</t>
  </si>
  <si>
    <t>54479-9537</t>
  </si>
  <si>
    <t>111-3258700-9144225</t>
  </si>
  <si>
    <t>2018-07-08T12:44:20+00:00</t>
  </si>
  <si>
    <t>2018-07-09T01:19:26+00:00</t>
  </si>
  <si>
    <t>BURTON</t>
  </si>
  <si>
    <t>48519-1607</t>
  </si>
  <si>
    <t>111-2126132-1820242</t>
  </si>
  <si>
    <t>2018-07-08T12:40:38+00:00</t>
  </si>
  <si>
    <t>2018-07-09T19:29:14+00:00</t>
  </si>
  <si>
    <t>Conroe</t>
  </si>
  <si>
    <t>114-2438290-7230624</t>
  </si>
  <si>
    <t>2018-07-08T11:55:05+00:00</t>
  </si>
  <si>
    <t>2018-07-09T01:21:02+00:00</t>
  </si>
  <si>
    <t>77379-6119</t>
  </si>
  <si>
    <t>112-2635872-4439426</t>
  </si>
  <si>
    <t>2018-07-08T09:52:56+00:00</t>
  </si>
  <si>
    <t>2018-07-08T23:41:37+00:00</t>
  </si>
  <si>
    <t>KEYMAR</t>
  </si>
  <si>
    <t>21757-9209</t>
  </si>
  <si>
    <t>114-6904452-7505824</t>
  </si>
  <si>
    <t>2018-07-08T08:55:54+00:00</t>
  </si>
  <si>
    <t>2018-07-09T23:07:06+00:00</t>
  </si>
  <si>
    <t>113-1376469-0245008</t>
  </si>
  <si>
    <t>2018-07-08T07:38:09+00:00</t>
  </si>
  <si>
    <t>2018-07-09T11:39:17+00:00</t>
  </si>
  <si>
    <t>84106-3336</t>
  </si>
  <si>
    <t>111-2905686-8129827</t>
  </si>
  <si>
    <t>2018-07-08T06:04:05+00:00</t>
  </si>
  <si>
    <t>2018-07-09T06:30:12+00:00</t>
  </si>
  <si>
    <t>MURRIETA</t>
  </si>
  <si>
    <t>92563-8521</t>
  </si>
  <si>
    <t>114-1566266-1533066</t>
  </si>
  <si>
    <t>2018-07-08T04:53:46+00:00</t>
  </si>
  <si>
    <t>2018-07-09T07:34:56+00:00</t>
  </si>
  <si>
    <t>Men's Long Sleeve Formal Business Dress Shirts Wine Red Medium</t>
  </si>
  <si>
    <t>ST172-WR-M</t>
  </si>
  <si>
    <t>B074SXT999</t>
  </si>
  <si>
    <t>23464-8769</t>
  </si>
  <si>
    <t>Men's Long Sleeve Formal Business Dress Shirts Wine Red X-Large</t>
  </si>
  <si>
    <t>ST172-WR-XL</t>
  </si>
  <si>
    <t>B074SY2NWC</t>
  </si>
  <si>
    <t>112-8168419-8429028</t>
  </si>
  <si>
    <t>2018-07-08T04:52:13+00:00</t>
  </si>
  <si>
    <t>2018-07-09T21:42:23+00:00</t>
  </si>
  <si>
    <t>ILLINOIS</t>
  </si>
  <si>
    <t>60656-3811</t>
  </si>
  <si>
    <t>112-6157694-6333062</t>
  </si>
  <si>
    <t>2018-07-08T04:52:08+00:00</t>
  </si>
  <si>
    <t>2018-07-08T04:52:18+00:00</t>
  </si>
  <si>
    <t>BATTLE GROUND</t>
  </si>
  <si>
    <t>98604-3324</t>
  </si>
  <si>
    <t>111-4954632-9970618</t>
  </si>
  <si>
    <t>2018-07-08T02:58:25+00:00</t>
  </si>
  <si>
    <t>2018-07-08T22:28:48+00:00</t>
  </si>
  <si>
    <t>CHESAPEAKE BEACH</t>
  </si>
  <si>
    <t>20732-4592</t>
  </si>
  <si>
    <t>111-6548127-9932220</t>
  </si>
  <si>
    <t>2018-07-08T02:41:39+00:00</t>
  </si>
  <si>
    <t>2018-07-09T22:25:26+00:00</t>
  </si>
  <si>
    <t>80921-2686</t>
  </si>
  <si>
    <t>112-7550112-0573014</t>
  </si>
  <si>
    <t>2018-07-08T02:39:59+00:00</t>
  </si>
  <si>
    <t>2018-07-09T10:32:43+00:00</t>
  </si>
  <si>
    <t>111-6391166-4948241</t>
  </si>
  <si>
    <t>2018-07-08T02:20:55+00:00</t>
  </si>
  <si>
    <t>2018-07-09T17:52:14+00:00</t>
  </si>
  <si>
    <t>CLINTON TOWNSHIP</t>
  </si>
  <si>
    <t>48038-1629</t>
  </si>
  <si>
    <t>111-7812086-8230612</t>
  </si>
  <si>
    <t>2018-07-08T02:11:48+00:00</t>
  </si>
  <si>
    <t>2018-07-08T22:44:26+00:00</t>
  </si>
  <si>
    <t>Kentucky</t>
  </si>
  <si>
    <t>112-7345922-7757051</t>
  </si>
  <si>
    <t>2018-07-08T00:43:39+00:00</t>
  </si>
  <si>
    <t>2018-07-08T19:46:39+00:00</t>
  </si>
  <si>
    <t>Birmingham</t>
  </si>
  <si>
    <t>113-7314851-9252228</t>
  </si>
  <si>
    <t>2018-07-08T00:24:48+00:00</t>
  </si>
  <si>
    <t>2018-07-08T10:23:30+00:00</t>
  </si>
  <si>
    <t>NORTH LIBERTY</t>
  </si>
  <si>
    <t>52317-9724</t>
  </si>
  <si>
    <t>113-2736042-5694669</t>
  </si>
  <si>
    <t>2018-07-08T00:18:08+00:00</t>
  </si>
  <si>
    <t>2018-07-08T21:45:42+00:00</t>
  </si>
  <si>
    <t>SUWANEE</t>
  </si>
  <si>
    <t>30024-3220</t>
  </si>
  <si>
    <t>销量</t>
  </si>
  <si>
    <t>日均销量</t>
  </si>
  <si>
    <t>合计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</si>
  <si>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</si>
  <si>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</si>
  <si>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</si>
  <si>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</si>
  <si>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</si>
  <si>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</si>
  <si>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</si>
  <si>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</si>
  <si>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</si>
  <si>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</si>
  <si>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</si>
  <si>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</si>
  <si>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</si>
  <si>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</si>
  <si>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</si>
  <si>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</si>
  <si>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</si>
  <si>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</si>
  <si>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</si>
  <si>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</si>
  <si>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ST172</t>
  </si>
  <si>
    <t>TZ-IUYL240</t>
  </si>
  <si>
    <t>SCF-D01</t>
  </si>
  <si>
    <t>ST155</t>
  </si>
  <si>
    <t>ST173</t>
  </si>
  <si>
    <t>ST085</t>
  </si>
  <si>
    <t>LGQ-IUYL100</t>
  </si>
  <si>
    <t>GW-LULHY</t>
  </si>
  <si>
    <t>XQ-IUYL260</t>
  </si>
  <si>
    <t>ST170</t>
  </si>
  <si>
    <t>Pajamas-sb001</t>
  </si>
  <si>
    <t>WF7125</t>
  </si>
  <si>
    <t>SCF-B01</t>
  </si>
  <si>
    <t>ST006</t>
  </si>
  <si>
    <t>BBBD-BUSB1605</t>
  </si>
  <si>
    <t>DZ-IUYL210</t>
  </si>
  <si>
    <t>BBBD-1605A</t>
  </si>
  <si>
    <t>DZ-IUYL220</t>
  </si>
  <si>
    <t>ST-K157</t>
  </si>
  <si>
    <t>ST171</t>
  </si>
  <si>
    <t>DZ-IUYL200</t>
  </si>
  <si>
    <t>AQD-IUYL330</t>
  </si>
  <si>
    <t>SCF-C01</t>
  </si>
  <si>
    <t>MJ-IUYL230</t>
  </si>
  <si>
    <t>KZ-LY021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</si>
</sst>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7" fillId="1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2" fillId="15" borderId="4" applyNumberFormat="0" applyAlignment="0" applyProtection="0">
      <alignment vertical="center"/>
    </xf>
    <xf numFmtId="0" fontId="6" fillId="15" borderId="2" applyNumberFormat="0" applyAlignment="0" applyProtection="0">
      <alignment vertical="center"/>
    </xf>
    <xf numFmtId="0" fontId="5" fillId="14" borderId="1" applyNumberFormat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</cellStyleXfs>
  <cellXfs count="12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/>
    <xf numFmtId="176" fontId="0" fillId="2" borderId="0" xfId="0" applyNumberFormat="1" applyFill="1" applyBorder="1"/>
    <xf numFmtId="176" fontId="0" fillId="2" borderId="0" xfId="0" applyNumberFormat="1" applyFill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19050</xdr:colOff>
          <xdr:row>0</xdr:row>
          <xdr:rowOff>0</xdr:rowOff>
        </xdr:from>
        <xdr:to>
          <xdr:col>35</xdr:col>
          <xdr:colOff>0</xdr:colOff>
          <xdr:row>2</xdr:row>
          <xdr:rowOff>18415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4174450" y="0"/>
              <a:ext cx="1352550" cy="3803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0</xdr:rowOff>
        </xdr:from>
        <xdr:to>
          <xdr:col>5</xdr:col>
          <xdr:colOff>9525</xdr:colOff>
          <xdr:row>4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67100" y="542925"/>
              <a:ext cx="14001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</xdr:row>
          <xdr:rowOff>0</xdr:rowOff>
        </xdr:from>
        <xdr:to>
          <xdr:col>4</xdr:col>
          <xdr:colOff>657225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57475" y="180975"/>
              <a:ext cx="13525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CX-TW401-blue-L</v>
          </cell>
          <cell r="B997" t="str">
            <v>CX-TW401</v>
          </cell>
        </row>
        <row r="998">
          <cell r="A998" t="str">
            <v>CX-TW401-blue-M</v>
          </cell>
          <cell r="B998" t="str">
            <v>CX-TW401</v>
          </cell>
        </row>
        <row r="999">
          <cell r="A999" t="str">
            <v>CX-TW401-blue-S</v>
          </cell>
          <cell r="B999" t="str">
            <v>CX-TW401</v>
          </cell>
        </row>
        <row r="1000">
          <cell r="A1000" t="str">
            <v>CX-TW401-blue-XL</v>
          </cell>
          <cell r="B1000" t="str">
            <v>CX-TW401</v>
          </cell>
        </row>
        <row r="1001">
          <cell r="A1001" t="str">
            <v>CX-TW401-coffee-L</v>
          </cell>
          <cell r="B1001" t="str">
            <v>CX-TW401</v>
          </cell>
        </row>
        <row r="1002">
          <cell r="A1002" t="str">
            <v>CX-TW401-coffee-L-MX</v>
          </cell>
          <cell r="B1002" t="str">
            <v>CX-TW401</v>
          </cell>
        </row>
        <row r="1003">
          <cell r="A1003" t="str">
            <v>CX-TW401-coffee-M</v>
          </cell>
          <cell r="B1003" t="str">
            <v>CX-TW401</v>
          </cell>
        </row>
        <row r="1004">
          <cell r="A1004" t="str">
            <v>CX-TW401-coffee-M-MX</v>
          </cell>
          <cell r="B1004" t="str">
            <v>CX-TW401</v>
          </cell>
        </row>
        <row r="1005">
          <cell r="A1005" t="str">
            <v>CX-TW401-coffee-S</v>
          </cell>
          <cell r="B1005" t="str">
            <v>CX-TW401</v>
          </cell>
        </row>
        <row r="1006">
          <cell r="A1006" t="str">
            <v>CX-TW401-coffee-S-MX</v>
          </cell>
          <cell r="B1006" t="str">
            <v>CX-TW401</v>
          </cell>
        </row>
        <row r="1007">
          <cell r="A1007" t="str">
            <v>CX-TW401-coffee-XL</v>
          </cell>
          <cell r="B1007" t="str">
            <v>CX-TW401</v>
          </cell>
        </row>
        <row r="1008">
          <cell r="A1008" t="str">
            <v>CX-TW401-coffee-XL-MX</v>
          </cell>
          <cell r="B1008" t="str">
            <v>CX-TW401</v>
          </cell>
        </row>
        <row r="1009">
          <cell r="A1009" t="str">
            <v>CX-TW401-green-L</v>
          </cell>
          <cell r="B1009" t="str">
            <v>CX-TW401</v>
          </cell>
        </row>
        <row r="1010">
          <cell r="A1010" t="str">
            <v>CX-TW401-green-L-MX</v>
          </cell>
          <cell r="B1010" t="str">
            <v>CX-TW401</v>
          </cell>
        </row>
        <row r="1011">
          <cell r="A1011" t="str">
            <v>CX-TW401-green-M</v>
          </cell>
          <cell r="B1011" t="str">
            <v>CX-TW401</v>
          </cell>
        </row>
        <row r="1012">
          <cell r="A1012" t="str">
            <v>CX-TW401-green-M-MX</v>
          </cell>
          <cell r="B1012" t="str">
            <v>CX-TW401</v>
          </cell>
        </row>
        <row r="1013">
          <cell r="A1013" t="str">
            <v>CX-TW401-green-S</v>
          </cell>
          <cell r="B1013" t="str">
            <v>CX-TW401</v>
          </cell>
        </row>
        <row r="1014">
          <cell r="A1014" t="str">
            <v>CX-TW401-green-S-MX</v>
          </cell>
          <cell r="B1014" t="str">
            <v>CX-TW401</v>
          </cell>
        </row>
        <row r="1015">
          <cell r="A1015" t="str">
            <v>CX-TW401-green-XL</v>
          </cell>
          <cell r="B1015" t="str">
            <v>CX-TW401</v>
          </cell>
        </row>
        <row r="1016">
          <cell r="A1016" t="str">
            <v>CX-TW401-green-XL-MX</v>
          </cell>
          <cell r="B1016" t="str">
            <v>CX-TW401</v>
          </cell>
        </row>
        <row r="1017">
          <cell r="A1017" t="str">
            <v>CX-TW401-grey-L</v>
          </cell>
          <cell r="B1017" t="str">
            <v>CX-TW401</v>
          </cell>
        </row>
        <row r="1018">
          <cell r="A1018" t="str">
            <v>CX-TW401-grey-L-MX</v>
          </cell>
          <cell r="B1018" t="str">
            <v>CX-TW401</v>
          </cell>
        </row>
        <row r="1019">
          <cell r="A1019" t="str">
            <v>CX-TW401-grey-M</v>
          </cell>
          <cell r="B1019" t="str">
            <v>CX-TW401</v>
          </cell>
        </row>
        <row r="1020">
          <cell r="A1020" t="str">
            <v>CX-TW401-grey-S</v>
          </cell>
          <cell r="B1020" t="str">
            <v>CX-TW401</v>
          </cell>
        </row>
        <row r="1021">
          <cell r="A1021" t="str">
            <v>CX-TW401-grey-XL</v>
          </cell>
          <cell r="B1021" t="str">
            <v>CX-TW401</v>
          </cell>
        </row>
        <row r="1022">
          <cell r="A1022" t="str">
            <v>CX-TW4600-blue-M</v>
          </cell>
          <cell r="B1022" t="str">
            <v>CX-TW4600</v>
          </cell>
        </row>
        <row r="1023">
          <cell r="A1023" t="str">
            <v>CX-TW4600-coffee-L</v>
          </cell>
          <cell r="B1023" t="str">
            <v>CX-TW4600</v>
          </cell>
        </row>
        <row r="1024">
          <cell r="A1024" t="str">
            <v>CX-TW4600-coffee-XL</v>
          </cell>
          <cell r="B1024" t="str">
            <v>CX-TW4600</v>
          </cell>
        </row>
        <row r="1025">
          <cell r="A1025" t="str">
            <v>CX-TW4600-green-XL</v>
          </cell>
          <cell r="B1025" t="str">
            <v>CX-TW4600</v>
          </cell>
        </row>
        <row r="1026">
          <cell r="A1026" t="str">
            <v>CX-TW4600-grey-L</v>
          </cell>
          <cell r="B1026" t="str">
            <v>CX-TW4600</v>
          </cell>
        </row>
        <row r="1027">
          <cell r="A1027" t="str">
            <v>CX-TW4600-grey-XL</v>
          </cell>
          <cell r="B1027" t="str">
            <v>CX-TW4600</v>
          </cell>
        </row>
        <row r="1028">
          <cell r="A1028" t="str">
            <v>DK-HM0280-OR-L</v>
          </cell>
          <cell r="B1028" t="str">
            <v>DK-HM0280</v>
          </cell>
        </row>
        <row r="1029">
          <cell r="A1029" t="str">
            <v>DK-HM0280-R0-L</v>
          </cell>
          <cell r="B1029" t="str">
            <v>DK-HM0280</v>
          </cell>
        </row>
        <row r="1030">
          <cell r="A1030" t="str">
            <v>DK-HM0280-R0-M</v>
          </cell>
          <cell r="B1030" t="str">
            <v>DK-HM0280</v>
          </cell>
        </row>
        <row r="1031">
          <cell r="A1031" t="str">
            <v>DK-HM0280-YH-L</v>
          </cell>
          <cell r="B1031" t="str">
            <v>DK-HM0280</v>
          </cell>
        </row>
        <row r="1032">
          <cell r="A1032" t="str">
            <v>DK-HM0280-YH-M</v>
          </cell>
          <cell r="B1032" t="str">
            <v>DK-HM0280</v>
          </cell>
        </row>
        <row r="1033">
          <cell r="A1033" t="str">
            <v>DK-HM1789</v>
          </cell>
          <cell r="B1033" t="str">
            <v>DK-HM1789</v>
          </cell>
        </row>
        <row r="1034">
          <cell r="A1034" t="str">
            <v>DK-HM1789-B0TW-2XL</v>
          </cell>
          <cell r="B1034" t="str">
            <v>DK-HM1789</v>
          </cell>
        </row>
        <row r="1035">
          <cell r="A1035" t="str">
            <v>DK-HM1789-B0TW-L</v>
          </cell>
          <cell r="B1035" t="str">
            <v>DK-HM1789</v>
          </cell>
        </row>
        <row r="1036">
          <cell r="A1036" t="str">
            <v>DK-HM1789-B0TW-M</v>
          </cell>
          <cell r="B1036" t="str">
            <v>DK-HM1789</v>
          </cell>
        </row>
        <row r="1037">
          <cell r="A1037" t="str">
            <v>DK-HM1789-B0TW-S</v>
          </cell>
          <cell r="B1037" t="str">
            <v>DK-HM1789</v>
          </cell>
        </row>
        <row r="1038">
          <cell r="A1038" t="str">
            <v>DK-HM1789-B0TW-XL</v>
          </cell>
          <cell r="B1038" t="str">
            <v>DK-HM1789</v>
          </cell>
        </row>
        <row r="1039">
          <cell r="A1039" t="str">
            <v>DK-HM1789-B2-2XL</v>
          </cell>
          <cell r="B1039" t="str">
            <v>DK-HM1789</v>
          </cell>
        </row>
        <row r="1040">
          <cell r="A1040" t="str">
            <v>DK-HM1789-B2-L</v>
          </cell>
          <cell r="B1040" t="str">
            <v>DK-HM1789</v>
          </cell>
        </row>
        <row r="1041">
          <cell r="A1041" t="str">
            <v>DK-HM1789-B2-M</v>
          </cell>
          <cell r="B1041" t="str">
            <v>DK-HM1789</v>
          </cell>
        </row>
        <row r="1042">
          <cell r="A1042" t="str">
            <v>DK-HM1789-B2-S</v>
          </cell>
          <cell r="B1042" t="str">
            <v>DK-HM1789</v>
          </cell>
        </row>
        <row r="1043">
          <cell r="A1043" t="str">
            <v>DK-HM1789-B2-XL</v>
          </cell>
          <cell r="B1043" t="str">
            <v>DK-HM1789</v>
          </cell>
        </row>
        <row r="1044">
          <cell r="A1044" t="str">
            <v>DK-HM1789-BD-2XL</v>
          </cell>
          <cell r="B1044" t="str">
            <v>DK-HM1789</v>
          </cell>
        </row>
        <row r="1045">
          <cell r="A1045" t="str">
            <v>DK-HM1789-BD-L</v>
          </cell>
          <cell r="B1045" t="str">
            <v>DK-HM1789</v>
          </cell>
        </row>
        <row r="1046">
          <cell r="A1046" t="str">
            <v>DK-HM1789-BD-M</v>
          </cell>
          <cell r="B1046" t="str">
            <v>DK-HM1789</v>
          </cell>
        </row>
        <row r="1047">
          <cell r="A1047" t="str">
            <v>DK-HM1789-BD-S</v>
          </cell>
          <cell r="B1047" t="str">
            <v>DK-HM1789</v>
          </cell>
        </row>
        <row r="1048">
          <cell r="A1048" t="str">
            <v>DK-HM1789-BD-XL</v>
          </cell>
          <cell r="B1048" t="str">
            <v>DK-HM1789</v>
          </cell>
        </row>
        <row r="1049">
          <cell r="A1049" t="str">
            <v>DK-HM1789-FL-2XL</v>
          </cell>
          <cell r="B1049" t="str">
            <v>DK-HM1789</v>
          </cell>
        </row>
        <row r="1050">
          <cell r="A1050" t="str">
            <v>DK-HM1789-FL-L</v>
          </cell>
          <cell r="B1050" t="str">
            <v>DK-HM1789</v>
          </cell>
        </row>
        <row r="1051">
          <cell r="A1051" t="str">
            <v>DK-HM1789-FL-M</v>
          </cell>
          <cell r="B1051" t="str">
            <v>DK-HM1789</v>
          </cell>
        </row>
        <row r="1052">
          <cell r="A1052" t="str">
            <v>DK-HM1789-FL-S</v>
          </cell>
          <cell r="B1052" t="str">
            <v>DK-HM1789</v>
          </cell>
        </row>
        <row r="1053">
          <cell r="A1053" t="str">
            <v>DK-HM1789-FL-XL</v>
          </cell>
          <cell r="B1053" t="str">
            <v>DK-HM1789</v>
          </cell>
        </row>
        <row r="1054">
          <cell r="A1054" t="str">
            <v>DK-HM1789-GrTW-2XL</v>
          </cell>
          <cell r="B1054" t="str">
            <v>DK-HM1789</v>
          </cell>
        </row>
        <row r="1055">
          <cell r="A1055" t="str">
            <v>DK-HM1789-GrTW-L</v>
          </cell>
          <cell r="B1055" t="str">
            <v>DK-HM1789</v>
          </cell>
        </row>
        <row r="1056">
          <cell r="A1056" t="str">
            <v>DK-HM1789-GrTW-M</v>
          </cell>
          <cell r="B1056" t="str">
            <v>DK-HM1789</v>
          </cell>
        </row>
        <row r="1057">
          <cell r="A1057" t="str">
            <v>DK-HM1789-GrTW-S</v>
          </cell>
          <cell r="B1057" t="str">
            <v>DK-HM1789</v>
          </cell>
        </row>
        <row r="1058">
          <cell r="A1058" t="str">
            <v>DK-HM1789-GrTW-XL</v>
          </cell>
          <cell r="B1058" t="str">
            <v>DK-HM1789</v>
          </cell>
        </row>
        <row r="1059">
          <cell r="A1059" t="str">
            <v>DK-HM1789-GZ-2XL</v>
          </cell>
          <cell r="B1059" t="str">
            <v>DK-HM1789</v>
          </cell>
        </row>
        <row r="1060">
          <cell r="A1060" t="str">
            <v>DK-HM1789-GZ-L</v>
          </cell>
          <cell r="B1060" t="str">
            <v>DK-HM1789</v>
          </cell>
        </row>
        <row r="1061">
          <cell r="A1061" t="str">
            <v>DK-HM1789-GZ-M</v>
          </cell>
          <cell r="B1061" t="str">
            <v>DK-HM1789</v>
          </cell>
        </row>
        <row r="1062">
          <cell r="A1062" t="str">
            <v>DK-HM1789-GZ-S</v>
          </cell>
          <cell r="B1062" t="str">
            <v>DK-HM1789</v>
          </cell>
        </row>
        <row r="1063">
          <cell r="A1063" t="str">
            <v>DK-HM1789-GZ-XL</v>
          </cell>
          <cell r="B1063" t="str">
            <v>DK-HM1789</v>
          </cell>
        </row>
        <row r="1064">
          <cell r="A1064" t="str">
            <v>DK-HM1789-K0-2XL</v>
          </cell>
          <cell r="B1064" t="str">
            <v>DK-HM1789</v>
          </cell>
        </row>
        <row r="1065">
          <cell r="A1065" t="str">
            <v>DK-HM1789-K0-L</v>
          </cell>
          <cell r="B1065" t="str">
            <v>DK-HM1789</v>
          </cell>
        </row>
        <row r="1066">
          <cell r="A1066" t="str">
            <v>DK-HM1789-K0-M</v>
          </cell>
          <cell r="B1066" t="str">
            <v>DK-HM1789</v>
          </cell>
        </row>
        <row r="1067">
          <cell r="A1067" t="str">
            <v>DK-HM1789-K0-S</v>
          </cell>
          <cell r="B1067" t="str">
            <v>DK-HM1789</v>
          </cell>
        </row>
        <row r="1068">
          <cell r="A1068" t="str">
            <v>DK-HM1789-K0-XL</v>
          </cell>
          <cell r="B1068" t="str">
            <v>DK-HM1789</v>
          </cell>
        </row>
        <row r="1069">
          <cell r="A1069" t="str">
            <v>DK-HM1789-PI-2XL</v>
          </cell>
          <cell r="B1069" t="str">
            <v>DK-HM1789</v>
          </cell>
        </row>
        <row r="1070">
          <cell r="A1070" t="str">
            <v>DK-HM1789-PI-L</v>
          </cell>
          <cell r="B1070" t="str">
            <v>DK-HM1789</v>
          </cell>
        </row>
        <row r="1071">
          <cell r="A1071" t="str">
            <v>DK-HM1789-PI-M</v>
          </cell>
          <cell r="B1071" t="str">
            <v>DK-HM1789</v>
          </cell>
        </row>
        <row r="1072">
          <cell r="A1072" t="str">
            <v>DK-HM1789-PI-S</v>
          </cell>
          <cell r="B1072" t="str">
            <v>DK-HM1789</v>
          </cell>
        </row>
        <row r="1073">
          <cell r="A1073" t="str">
            <v>DK-HM1789-PiTW-2XL</v>
          </cell>
          <cell r="B1073" t="str">
            <v>DK-HM1789</v>
          </cell>
        </row>
        <row r="1074">
          <cell r="A1074" t="str">
            <v>DK-HM1789-PiTW-L</v>
          </cell>
          <cell r="B1074" t="str">
            <v>DK-HM1789</v>
          </cell>
        </row>
        <row r="1075">
          <cell r="A1075" t="str">
            <v>DK-HM1789-PiTW-M</v>
          </cell>
          <cell r="B1075" t="str">
            <v>DK-HM1789</v>
          </cell>
        </row>
        <row r="1076">
          <cell r="A1076" t="str">
            <v>DK-HM1789-PiTW-S</v>
          </cell>
          <cell r="B1076" t="str">
            <v>DK-HM1789</v>
          </cell>
        </row>
        <row r="1077">
          <cell r="A1077" t="str">
            <v>DK-HM1789-PiTW-XL</v>
          </cell>
          <cell r="B1077" t="str">
            <v>DK-HM1789</v>
          </cell>
        </row>
        <row r="1078">
          <cell r="A1078" t="str">
            <v>DK-HM1789-PI-XL</v>
          </cell>
          <cell r="B1078" t="str">
            <v>DK-HM1789</v>
          </cell>
        </row>
        <row r="1079">
          <cell r="A1079" t="str">
            <v>DK-HM1789-PP-2XL</v>
          </cell>
          <cell r="B1079" t="str">
            <v>DK-HM1789</v>
          </cell>
        </row>
        <row r="1080">
          <cell r="A1080" t="str">
            <v>DK-HM1789-PP-L</v>
          </cell>
          <cell r="B1080" t="str">
            <v>DK-HM1789</v>
          </cell>
        </row>
        <row r="1081">
          <cell r="A1081" t="str">
            <v>DK-HM1789-PP-M</v>
          </cell>
          <cell r="B1081" t="str">
            <v>DK-HM1789</v>
          </cell>
        </row>
        <row r="1082">
          <cell r="A1082" t="str">
            <v>DK-HM1789-PP-S</v>
          </cell>
          <cell r="B1082" t="str">
            <v>DK-HM1789</v>
          </cell>
        </row>
        <row r="1083">
          <cell r="A1083" t="str">
            <v>DK-HM1789-PP-XL</v>
          </cell>
          <cell r="B1083" t="str">
            <v>DK-HM1789</v>
          </cell>
        </row>
        <row r="1084">
          <cell r="A1084" t="str">
            <v>DK-HM1789-R2-2XL</v>
          </cell>
          <cell r="B1084" t="str">
            <v>DK-HM1789</v>
          </cell>
        </row>
        <row r="1085">
          <cell r="A1085" t="str">
            <v>DK-HM1789-R2-L</v>
          </cell>
          <cell r="B1085" t="str">
            <v>DK-HM1789</v>
          </cell>
        </row>
        <row r="1086">
          <cell r="A1086" t="str">
            <v>DK-HM1789-R2-M</v>
          </cell>
          <cell r="B1086" t="str">
            <v>DK-HM1789</v>
          </cell>
        </row>
        <row r="1087">
          <cell r="A1087" t="str">
            <v>DK-HM1789-R2-S</v>
          </cell>
          <cell r="B1087" t="str">
            <v>DK-HM1789</v>
          </cell>
        </row>
        <row r="1088">
          <cell r="A1088" t="str">
            <v>DK-HM1789-R2-XL</v>
          </cell>
          <cell r="B1088" t="str">
            <v>DK-HM1789</v>
          </cell>
        </row>
        <row r="1089">
          <cell r="A1089" t="str">
            <v>DK-HM1789-W0-2XL</v>
          </cell>
          <cell r="B1089" t="str">
            <v>DK-HM1789</v>
          </cell>
        </row>
        <row r="1090">
          <cell r="A1090" t="str">
            <v>DK-HM1789-W0-L</v>
          </cell>
          <cell r="B1090" t="str">
            <v>DK-HM1789</v>
          </cell>
        </row>
        <row r="1091">
          <cell r="A1091" t="str">
            <v>DK-HM1789-W0-M</v>
          </cell>
          <cell r="B1091" t="str">
            <v>DK-HM1789</v>
          </cell>
        </row>
        <row r="1092">
          <cell r="A1092" t="str">
            <v>DK-HM1789-W0-S</v>
          </cell>
          <cell r="B1092" t="str">
            <v>DK-HM1789</v>
          </cell>
        </row>
        <row r="1093">
          <cell r="A1093" t="str">
            <v>DK-HM1789-W0-XL</v>
          </cell>
          <cell r="B1093" t="str">
            <v>DK-HM1789</v>
          </cell>
        </row>
        <row r="1094">
          <cell r="A1094" t="str">
            <v>DK-HM1789-Y0-L</v>
          </cell>
          <cell r="B1094" t="str">
            <v>DK-HM1789</v>
          </cell>
        </row>
        <row r="1095">
          <cell r="A1095" t="str">
            <v>DK-HM1789-Y0-M</v>
          </cell>
          <cell r="B1095" t="str">
            <v>DK-HM1789</v>
          </cell>
        </row>
        <row r="1096">
          <cell r="A1096" t="str">
            <v>DK-HM1789-Y0-S</v>
          </cell>
          <cell r="B1096" t="str">
            <v>DK-HM1789</v>
          </cell>
        </row>
        <row r="1097">
          <cell r="A1097" t="str">
            <v>DK-HM1789-Y0-XL</v>
          </cell>
          <cell r="B1097" t="str">
            <v>DK-HM1789</v>
          </cell>
        </row>
        <row r="1098">
          <cell r="A1098" t="str">
            <v>DK-HM1789-ZL-2XL</v>
          </cell>
          <cell r="B1098" t="str">
            <v>DK-HM1789</v>
          </cell>
        </row>
        <row r="1099">
          <cell r="A1099" t="str">
            <v>DK-HM1789-ZL-2XL-GM</v>
          </cell>
          <cell r="B1099" t="str">
            <v>DK-HM1789</v>
          </cell>
        </row>
        <row r="1100">
          <cell r="A1100" t="str">
            <v>DK-HM1789-ZL-L</v>
          </cell>
          <cell r="B1100" t="str">
            <v>DK-HM1789</v>
          </cell>
        </row>
        <row r="1101">
          <cell r="A1101" t="str">
            <v>DK-HM1789-ZL-M</v>
          </cell>
          <cell r="B1101" t="str">
            <v>DK-HM1789</v>
          </cell>
        </row>
        <row r="1102">
          <cell r="A1102" t="str">
            <v>DK-HM1789-ZL-S</v>
          </cell>
          <cell r="B1102" t="str">
            <v>DK-HM1789</v>
          </cell>
        </row>
        <row r="1103">
          <cell r="A1103" t="str">
            <v>DK-HM1789-ZL-XL</v>
          </cell>
          <cell r="B1103" t="str">
            <v>DK-HM1789</v>
          </cell>
        </row>
        <row r="1104">
          <cell r="A1104" t="str">
            <v>DK-LY110-KQ-29-GM</v>
          </cell>
          <cell r="B1104" t="str">
            <v>DK-LY110</v>
          </cell>
        </row>
        <row r="1105">
          <cell r="A1105" t="str">
            <v>DK-LY110-KQ-30-GM</v>
          </cell>
          <cell r="B1105" t="str">
            <v>DK-LY110</v>
          </cell>
        </row>
        <row r="1106">
          <cell r="A1106" t="str">
            <v>DK-LY110-KQ-31-GM</v>
          </cell>
          <cell r="B1106" t="str">
            <v>DK-LY110</v>
          </cell>
        </row>
        <row r="1107">
          <cell r="A1107" t="str">
            <v>DK-LY110-KQ-32-GM</v>
          </cell>
          <cell r="B1107" t="str">
            <v>DK-LY110</v>
          </cell>
        </row>
        <row r="1108">
          <cell r="A1108" t="str">
            <v>DK-LY110-KQ-33-GM</v>
          </cell>
          <cell r="B1108" t="str">
            <v>DK-LY110</v>
          </cell>
        </row>
        <row r="1109">
          <cell r="A1109" t="str">
            <v>DK-LY110-KQ-34-GM</v>
          </cell>
          <cell r="B1109" t="str">
            <v>DK-LY110</v>
          </cell>
        </row>
        <row r="1110">
          <cell r="A1110" t="str">
            <v>DK-LY110-KQ-38-GM</v>
          </cell>
          <cell r="B1110" t="str">
            <v>DK-LY110</v>
          </cell>
        </row>
        <row r="1111">
          <cell r="A1111" t="str">
            <v>DK-LY110-KQ-38-GM-1</v>
          </cell>
          <cell r="B1111" t="str">
            <v>DK-LY110</v>
          </cell>
        </row>
        <row r="1112">
          <cell r="A1112" t="str">
            <v>DK-LY110-KQ-42-GM</v>
          </cell>
          <cell r="B1112" t="str">
            <v>DK-LY110</v>
          </cell>
        </row>
        <row r="1113">
          <cell r="A1113" t="str">
            <v>DK-LY110-KQ-44-GM</v>
          </cell>
          <cell r="B1113" t="str">
            <v>DK-LY110</v>
          </cell>
        </row>
        <row r="1114">
          <cell r="A1114" t="str">
            <v>DK-LY110-OR-29-GM</v>
          </cell>
          <cell r="B1114" t="str">
            <v>DK-LY110</v>
          </cell>
        </row>
        <row r="1115">
          <cell r="A1115" t="str">
            <v>DK-LY110-OR-30-GM</v>
          </cell>
          <cell r="B1115" t="str">
            <v>DK-LY110</v>
          </cell>
        </row>
        <row r="1116">
          <cell r="A1116" t="str">
            <v>DK-LY110-OR-31-GM</v>
          </cell>
          <cell r="B1116" t="str">
            <v>DK-LY110</v>
          </cell>
        </row>
        <row r="1117">
          <cell r="A1117" t="str">
            <v>DK-LY110-OR-32-GM</v>
          </cell>
          <cell r="B1117" t="str">
            <v>DK-LY110</v>
          </cell>
        </row>
        <row r="1118">
          <cell r="A1118" t="str">
            <v>DK-LY110-OR-33-GM</v>
          </cell>
          <cell r="B1118" t="str">
            <v>DK-LY110</v>
          </cell>
        </row>
        <row r="1119">
          <cell r="A1119" t="str">
            <v>DK-LY110-OR-34-GM</v>
          </cell>
          <cell r="B1119" t="str">
            <v>DK-LY110</v>
          </cell>
        </row>
        <row r="1120">
          <cell r="A1120" t="str">
            <v>DK-LY110-OR-36-GM</v>
          </cell>
          <cell r="B1120" t="str">
            <v>DK-LY110</v>
          </cell>
        </row>
        <row r="1121">
          <cell r="A1121" t="str">
            <v>DK-LY110-OR-38-GM</v>
          </cell>
          <cell r="B1121" t="str">
            <v>DK-LY110</v>
          </cell>
        </row>
        <row r="1122">
          <cell r="A1122" t="str">
            <v>DK-LY110-OR-40-GM</v>
          </cell>
          <cell r="B1122" t="str">
            <v>DK-LY110</v>
          </cell>
        </row>
        <row r="1123">
          <cell r="A1123" t="str">
            <v>DK-LY110-OR-42-GM</v>
          </cell>
          <cell r="B1123" t="str">
            <v>DK-LY110</v>
          </cell>
        </row>
        <row r="1124">
          <cell r="A1124" t="str">
            <v>DK-LY110-OR-44-GM</v>
          </cell>
          <cell r="B1124" t="str">
            <v>DK-LY110</v>
          </cell>
        </row>
        <row r="1125">
          <cell r="A1125" t="str">
            <v>DK-LY155-K0-30</v>
          </cell>
          <cell r="B1125" t="str">
            <v>DK-LY155</v>
          </cell>
        </row>
        <row r="1126">
          <cell r="A1126" t="str">
            <v>DK-LY155-K0-32</v>
          </cell>
          <cell r="B1126" t="str">
            <v>DK-LY155</v>
          </cell>
        </row>
        <row r="1127">
          <cell r="A1127" t="str">
            <v>DK-LY155-K0-34</v>
          </cell>
          <cell r="B1127" t="str">
            <v>DK-LY155</v>
          </cell>
        </row>
        <row r="1128">
          <cell r="A1128" t="str">
            <v>DK-LY155-K0-36</v>
          </cell>
          <cell r="B1128" t="str">
            <v>DK-LY155</v>
          </cell>
        </row>
        <row r="1129">
          <cell r="A1129" t="str">
            <v>DK-LY155-K0-38</v>
          </cell>
          <cell r="B1129" t="str">
            <v>DK-LY155</v>
          </cell>
        </row>
        <row r="1130">
          <cell r="A1130" t="str">
            <v>DK-LY155-K0-40</v>
          </cell>
          <cell r="B1130" t="str">
            <v>DK-LY155</v>
          </cell>
        </row>
        <row r="1131">
          <cell r="A1131" t="str">
            <v>DK-LY155-K0-42</v>
          </cell>
          <cell r="B1131" t="str">
            <v>DK-LY155</v>
          </cell>
        </row>
        <row r="1132">
          <cell r="A1132" t="str">
            <v>DK-LY155-KQ-30</v>
          </cell>
          <cell r="B1132" t="str">
            <v>DK-LY155</v>
          </cell>
        </row>
        <row r="1133">
          <cell r="A1133" t="str">
            <v>DK-LY155-KQ-32</v>
          </cell>
          <cell r="B1133" t="str">
            <v>DK-LY155</v>
          </cell>
        </row>
        <row r="1134">
          <cell r="A1134" t="str">
            <v>DK-LY155-KQ-34</v>
          </cell>
          <cell r="B1134" t="str">
            <v>DK-LY155</v>
          </cell>
        </row>
        <row r="1135">
          <cell r="A1135" t="str">
            <v>DK-LY155-KQ-36</v>
          </cell>
          <cell r="B1135" t="str">
            <v>DK-LY155</v>
          </cell>
        </row>
        <row r="1136">
          <cell r="A1136" t="str">
            <v>DK-LY155-KQ-38</v>
          </cell>
          <cell r="B1136" t="str">
            <v>DK-LY155</v>
          </cell>
        </row>
        <row r="1137">
          <cell r="A1137" t="str">
            <v>DK-LY155-KQ-40</v>
          </cell>
          <cell r="B1137" t="str">
            <v>DK-LY155</v>
          </cell>
        </row>
        <row r="1138">
          <cell r="A1138" t="str">
            <v>DK-LY155-KQ-42</v>
          </cell>
          <cell r="B1138" t="str">
            <v>DK-LY155</v>
          </cell>
        </row>
        <row r="1139">
          <cell r="A1139" t="str">
            <v>DK-LY155-N0-30</v>
          </cell>
          <cell r="B1139" t="str">
            <v>DK-LY155</v>
          </cell>
        </row>
        <row r="1140">
          <cell r="A1140" t="str">
            <v>DK-LY155-N0-32</v>
          </cell>
          <cell r="B1140" t="str">
            <v>DK-LY155</v>
          </cell>
        </row>
        <row r="1141">
          <cell r="A1141" t="str">
            <v>DK-LY155-N0-34</v>
          </cell>
          <cell r="B1141" t="str">
            <v>DK-LY155</v>
          </cell>
        </row>
        <row r="1142">
          <cell r="A1142" t="str">
            <v>DK-LY155-N0-38</v>
          </cell>
          <cell r="B1142" t="str">
            <v>DK-LY155</v>
          </cell>
        </row>
        <row r="1143">
          <cell r="A1143" t="str">
            <v>DK-LY155-N0-40</v>
          </cell>
          <cell r="B1143" t="str">
            <v>DK-LY155</v>
          </cell>
        </row>
        <row r="1144">
          <cell r="A1144" t="str">
            <v>DK-LY155-N0-42</v>
          </cell>
          <cell r="B1144" t="str">
            <v>DK-LY155</v>
          </cell>
        </row>
        <row r="1145">
          <cell r="A1145" t="str">
            <v>DK-LY-K157-AG-32</v>
          </cell>
          <cell r="B1145" t="str">
            <v>DK-LY-K157</v>
          </cell>
        </row>
        <row r="1146">
          <cell r="A1146" t="str">
            <v>DK-LY-K157-AG-34</v>
          </cell>
          <cell r="B1146" t="str">
            <v>DK-LY-K157</v>
          </cell>
        </row>
        <row r="1147">
          <cell r="A1147" t="str">
            <v>DK-LY-K157-AG-36</v>
          </cell>
          <cell r="B1147" t="str">
            <v>DK-LY-K157</v>
          </cell>
        </row>
        <row r="1148">
          <cell r="A1148" t="str">
            <v>DK-LY-K157-AG-38</v>
          </cell>
          <cell r="B1148" t="str">
            <v>DK-LY-K157</v>
          </cell>
        </row>
        <row r="1149">
          <cell r="A1149" t="str">
            <v>DK-LY-K157-AG-40</v>
          </cell>
          <cell r="B1149" t="str">
            <v>DK-LY-K157</v>
          </cell>
        </row>
        <row r="1150">
          <cell r="A1150" t="str">
            <v>DK-LY-K157-AG-42</v>
          </cell>
          <cell r="B1150" t="str">
            <v>DK-LY-K157</v>
          </cell>
        </row>
        <row r="1151">
          <cell r="A1151" t="str">
            <v>DK-LY-K157-AG-44</v>
          </cell>
          <cell r="B1151" t="str">
            <v>DK-LY-K157</v>
          </cell>
        </row>
        <row r="1152">
          <cell r="A1152" t="str">
            <v>DK-LY-K157-B0-32</v>
          </cell>
          <cell r="B1152" t="str">
            <v>DK-LY-K157</v>
          </cell>
        </row>
        <row r="1153">
          <cell r="A1153" t="str">
            <v>DK-LY-K157-B0-34</v>
          </cell>
          <cell r="B1153" t="str">
            <v>DK-LY-K157</v>
          </cell>
        </row>
        <row r="1154">
          <cell r="A1154" t="str">
            <v>DK-LY-K157-B0-36</v>
          </cell>
          <cell r="B1154" t="str">
            <v>DK-LY-K157</v>
          </cell>
        </row>
        <row r="1155">
          <cell r="A1155" t="str">
            <v>DK-LY-K157-B0-38</v>
          </cell>
          <cell r="B1155" t="str">
            <v>DK-LY-K157</v>
          </cell>
        </row>
        <row r="1156">
          <cell r="A1156" t="str">
            <v>DK-LY-K157-B0-40</v>
          </cell>
          <cell r="B1156" t="str">
            <v>DK-LY-K157</v>
          </cell>
        </row>
        <row r="1157">
          <cell r="A1157" t="str">
            <v>DK-LY-K157-B0-42</v>
          </cell>
          <cell r="B1157" t="str">
            <v>DK-LY-K157</v>
          </cell>
        </row>
        <row r="1158">
          <cell r="A1158" t="str">
            <v>DK-LY-K157-B0-44</v>
          </cell>
          <cell r="B1158" t="str">
            <v>DK-LY-K157</v>
          </cell>
        </row>
        <row r="1159">
          <cell r="A1159" t="str">
            <v>DK-LY-K157-K0-32</v>
          </cell>
          <cell r="B1159" t="str">
            <v>DK-LY-K157</v>
          </cell>
        </row>
        <row r="1160">
          <cell r="A1160" t="str">
            <v>DK-LY-K157-K0-34</v>
          </cell>
          <cell r="B1160" t="str">
            <v>DK-LY-K157</v>
          </cell>
        </row>
        <row r="1161">
          <cell r="A1161" t="str">
            <v>DK-LY-K157-K0-36</v>
          </cell>
          <cell r="B1161" t="str">
            <v>DK-LY-K157</v>
          </cell>
        </row>
        <row r="1162">
          <cell r="A1162" t="str">
            <v>DK-LY-K157-K0-38</v>
          </cell>
          <cell r="B1162" t="str">
            <v>DK-LY-K157</v>
          </cell>
        </row>
        <row r="1163">
          <cell r="A1163" t="str">
            <v>DK-LY-K157-K0-40</v>
          </cell>
          <cell r="B1163" t="str">
            <v>DK-LY-K157</v>
          </cell>
        </row>
        <row r="1164">
          <cell r="A1164" t="str">
            <v>DK-LY-K157-K0-42</v>
          </cell>
          <cell r="B1164" t="str">
            <v>DK-LY-K157</v>
          </cell>
        </row>
        <row r="1165">
          <cell r="A1165" t="str">
            <v>DK-LY-K157-K0-44</v>
          </cell>
          <cell r="B1165" t="str">
            <v>DK-LY-K157</v>
          </cell>
        </row>
        <row r="1166">
          <cell r="A1166" t="str">
            <v>DK-LY-K157-KQ-32</v>
          </cell>
          <cell r="B1166" t="str">
            <v>DK-LY-K157</v>
          </cell>
        </row>
        <row r="1167">
          <cell r="A1167" t="str">
            <v>DK-LY-K157-KQ-34</v>
          </cell>
          <cell r="B1167" t="str">
            <v>DK-LY-K157</v>
          </cell>
        </row>
        <row r="1168">
          <cell r="A1168" t="str">
            <v>DK-LY-K157-KQ-36</v>
          </cell>
          <cell r="B1168" t="str">
            <v>DK-LY-K157</v>
          </cell>
        </row>
        <row r="1169">
          <cell r="A1169" t="str">
            <v>DK-LY-K157-KQ-38</v>
          </cell>
          <cell r="B1169" t="str">
            <v>DK-LY-K157</v>
          </cell>
        </row>
        <row r="1170">
          <cell r="A1170" t="str">
            <v>DK-LY-K157-KQ-40</v>
          </cell>
          <cell r="B1170" t="str">
            <v>DK-LY-K157</v>
          </cell>
        </row>
        <row r="1171">
          <cell r="A1171" t="str">
            <v>DK-LY-K157-KQ-42</v>
          </cell>
          <cell r="B1171" t="str">
            <v>DK-LY-K157</v>
          </cell>
        </row>
        <row r="1172">
          <cell r="A1172" t="str">
            <v>DK-LY-K157-KQ-44</v>
          </cell>
          <cell r="B1172" t="str">
            <v>DK-LY-K157</v>
          </cell>
        </row>
        <row r="1173">
          <cell r="A1173" t="str">
            <v>DK-LY-K157-OR-32</v>
          </cell>
          <cell r="B1173" t="str">
            <v>DK-LY-K157</v>
          </cell>
        </row>
        <row r="1174">
          <cell r="A1174" t="str">
            <v>DK-LY-K157-OR-34</v>
          </cell>
          <cell r="B1174" t="str">
            <v>DK-LY-K157</v>
          </cell>
        </row>
        <row r="1175">
          <cell r="A1175" t="str">
            <v>DK-LY-K157-OR-36</v>
          </cell>
          <cell r="B1175" t="str">
            <v>DK-LY-K157</v>
          </cell>
        </row>
        <row r="1176">
          <cell r="A1176" t="str">
            <v>DK-LY-K157-OR-38</v>
          </cell>
          <cell r="B1176" t="str">
            <v>DK-LY-K157</v>
          </cell>
        </row>
        <row r="1177">
          <cell r="A1177" t="str">
            <v>DK-LY-K157-OR-40</v>
          </cell>
          <cell r="B1177" t="str">
            <v>DK-LY-K157</v>
          </cell>
        </row>
        <row r="1178">
          <cell r="A1178" t="str">
            <v>DK-LY-K157-OR-42</v>
          </cell>
          <cell r="B1178" t="str">
            <v>DK-LY-K157</v>
          </cell>
        </row>
        <row r="1179">
          <cell r="A1179" t="str">
            <v>DK-LY-K157-OR-44</v>
          </cell>
          <cell r="B1179" t="str">
            <v>DK-LY-K157</v>
          </cell>
        </row>
        <row r="1180">
          <cell r="A1180" t="str">
            <v>DK-LY-K518-B0-32</v>
          </cell>
          <cell r="B1180" t="str">
            <v>DK-LY-K518</v>
          </cell>
        </row>
        <row r="1181">
          <cell r="A1181" t="str">
            <v>DK-LY-K518-B0-34</v>
          </cell>
          <cell r="B1181" t="str">
            <v>DK-LY-K518</v>
          </cell>
        </row>
        <row r="1182">
          <cell r="A1182" t="str">
            <v>DK-LY-K518-B0-36</v>
          </cell>
          <cell r="B1182" t="str">
            <v>DK-LY-K518</v>
          </cell>
        </row>
        <row r="1183">
          <cell r="A1183" t="str">
            <v>DK-LY-K518-B0-38</v>
          </cell>
          <cell r="B1183" t="str">
            <v>DK-LY-K518</v>
          </cell>
        </row>
        <row r="1184">
          <cell r="A1184" t="str">
            <v>DK-LY-K518-B0-40</v>
          </cell>
          <cell r="B1184" t="str">
            <v>DK-LY-K518</v>
          </cell>
        </row>
        <row r="1185">
          <cell r="A1185" t="str">
            <v>DK-LY-K518-B0-42</v>
          </cell>
          <cell r="B1185" t="str">
            <v>DK-LY-K518</v>
          </cell>
        </row>
        <row r="1186">
          <cell r="A1186" t="str">
            <v>DK-LY-K518-B0-44</v>
          </cell>
          <cell r="B1186" t="str">
            <v>DK-LY-K518</v>
          </cell>
        </row>
        <row r="1187">
          <cell r="A1187" t="str">
            <v>DK-LY-K518-G0-32</v>
          </cell>
          <cell r="B1187" t="str">
            <v>DK-LY-K518</v>
          </cell>
        </row>
        <row r="1188">
          <cell r="A1188" t="str">
            <v>DK-LY-K518-G0-34</v>
          </cell>
          <cell r="B1188" t="str">
            <v>DK-LY-K518</v>
          </cell>
        </row>
        <row r="1189">
          <cell r="A1189" t="str">
            <v>DK-LY-K518-G0-36</v>
          </cell>
          <cell r="B1189" t="str">
            <v>DK-LY-K518</v>
          </cell>
        </row>
        <row r="1190">
          <cell r="A1190" t="str">
            <v>DK-LY-K518-G0-38</v>
          </cell>
          <cell r="B1190" t="str">
            <v>DK-LY-K518</v>
          </cell>
        </row>
        <row r="1191">
          <cell r="A1191" t="str">
            <v>DK-LY-K518-G0-40</v>
          </cell>
          <cell r="B1191" t="str">
            <v>DK-LY-K518</v>
          </cell>
        </row>
        <row r="1192">
          <cell r="A1192" t="str">
            <v>DK-LY-K518-G0-42</v>
          </cell>
          <cell r="B1192" t="str">
            <v>DK-LY-K518</v>
          </cell>
        </row>
        <row r="1193">
          <cell r="A1193" t="str">
            <v>DK-LY-K518-G0-44</v>
          </cell>
          <cell r="B1193" t="str">
            <v>DK-LY-K518</v>
          </cell>
        </row>
        <row r="1194">
          <cell r="A1194" t="str">
            <v>DK-LY-K518-K0-32</v>
          </cell>
          <cell r="B1194" t="str">
            <v>DK-LY-K518</v>
          </cell>
        </row>
        <row r="1195">
          <cell r="A1195" t="str">
            <v>DK-LY-K518-K0-34</v>
          </cell>
          <cell r="B1195" t="str">
            <v>DK-LY-K518</v>
          </cell>
        </row>
        <row r="1196">
          <cell r="A1196" t="str">
            <v>DK-LY-K518-K0-36</v>
          </cell>
          <cell r="B1196" t="str">
            <v>DK-LY-K518</v>
          </cell>
        </row>
        <row r="1197">
          <cell r="A1197" t="str">
            <v>DK-LY-K518-K0-38</v>
          </cell>
          <cell r="B1197" t="str">
            <v>DK-LY-K518</v>
          </cell>
        </row>
        <row r="1198">
          <cell r="A1198" t="str">
            <v>DK-LY-K518-K0-40</v>
          </cell>
          <cell r="B1198" t="str">
            <v>DK-LY-K518</v>
          </cell>
        </row>
        <row r="1199">
          <cell r="A1199" t="str">
            <v>DK-LY-K518-K0-42</v>
          </cell>
          <cell r="B1199" t="str">
            <v>DK-LY-K518</v>
          </cell>
        </row>
        <row r="1200">
          <cell r="A1200" t="str">
            <v>DK-LY-K518-K0-44</v>
          </cell>
          <cell r="B1200" t="str">
            <v>DK-LY-K518</v>
          </cell>
        </row>
        <row r="1201">
          <cell r="A1201" t="str">
            <v>DK-LY-K518-KQ-32</v>
          </cell>
          <cell r="B1201" t="str">
            <v>DK-LY-K518</v>
          </cell>
        </row>
        <row r="1202">
          <cell r="A1202" t="str">
            <v>DK-LY-K518-KQ-34</v>
          </cell>
          <cell r="B1202" t="str">
            <v>DK-LY-K518</v>
          </cell>
        </row>
        <row r="1203">
          <cell r="A1203" t="str">
            <v>DK-LY-K518-KQ-36</v>
          </cell>
          <cell r="B1203" t="str">
            <v>DK-LY-K518</v>
          </cell>
        </row>
        <row r="1204">
          <cell r="A1204" t="str">
            <v>DK-LY-K518-KQ-38</v>
          </cell>
          <cell r="B1204" t="str">
            <v>DK-LY-K518</v>
          </cell>
        </row>
        <row r="1205">
          <cell r="A1205" t="str">
            <v>DK-LY-K518-KQ-40</v>
          </cell>
          <cell r="B1205" t="str">
            <v>DK-LY-K518</v>
          </cell>
        </row>
        <row r="1206">
          <cell r="A1206" t="str">
            <v>DK-LY-K518-KQ-42</v>
          </cell>
          <cell r="B1206" t="str">
            <v>DK-LY-K518</v>
          </cell>
        </row>
        <row r="1207">
          <cell r="A1207" t="str">
            <v>DK-LY-K518-KQ-44</v>
          </cell>
          <cell r="B1207" t="str">
            <v>DK-LY-K518</v>
          </cell>
        </row>
        <row r="1208">
          <cell r="A1208" t="str">
            <v>DK-LY-K518-OR-32</v>
          </cell>
          <cell r="B1208" t="str">
            <v>DK-LY-K518</v>
          </cell>
        </row>
        <row r="1209">
          <cell r="A1209" t="str">
            <v>DK-LY-K518-OR-34</v>
          </cell>
          <cell r="B1209" t="str">
            <v>DK-LY-K518</v>
          </cell>
        </row>
        <row r="1210">
          <cell r="A1210" t="str">
            <v>DK-LY-K518-OR-36</v>
          </cell>
          <cell r="B1210" t="str">
            <v>DK-LY-K518</v>
          </cell>
        </row>
        <row r="1211">
          <cell r="A1211" t="str">
            <v>DK-LY-K518-OR-38</v>
          </cell>
          <cell r="B1211" t="str">
            <v>DK-LY-K518</v>
          </cell>
        </row>
        <row r="1212">
          <cell r="A1212" t="str">
            <v>DK-LY-K518-OR-40</v>
          </cell>
          <cell r="B1212" t="str">
            <v>DK-LY-K518</v>
          </cell>
        </row>
        <row r="1213">
          <cell r="A1213" t="str">
            <v>DK-LY-K518-OR-42</v>
          </cell>
          <cell r="B1213" t="str">
            <v>DK-LY-K518</v>
          </cell>
        </row>
        <row r="1214">
          <cell r="A1214" t="str">
            <v>DK-LY-K518-OR-44</v>
          </cell>
          <cell r="B1214" t="str">
            <v>DK-LY-K518</v>
          </cell>
        </row>
        <row r="1215">
          <cell r="A1215" t="str">
            <v>DK-LY-K559-K0-32</v>
          </cell>
          <cell r="B1215" t="str">
            <v>DK-LY-K559</v>
          </cell>
        </row>
        <row r="1216">
          <cell r="A1216" t="str">
            <v>DK-LY-K559-K0-34</v>
          </cell>
          <cell r="B1216" t="str">
            <v>DK-LY-K559</v>
          </cell>
        </row>
        <row r="1217">
          <cell r="A1217" t="str">
            <v>DK-LY-K559-K0-36</v>
          </cell>
          <cell r="B1217" t="str">
            <v>DK-LY-K559</v>
          </cell>
        </row>
        <row r="1218">
          <cell r="A1218" t="str">
            <v>DK-LY-K559-K0-38</v>
          </cell>
          <cell r="B1218" t="str">
            <v>DK-LY-K559</v>
          </cell>
        </row>
        <row r="1219">
          <cell r="A1219" t="str">
            <v>DK-LY-K559-K0-40</v>
          </cell>
          <cell r="B1219" t="str">
            <v>DK-LY-K559</v>
          </cell>
        </row>
        <row r="1220">
          <cell r="A1220" t="str">
            <v>DK-LY-K559-K0-42</v>
          </cell>
          <cell r="B1220" t="str">
            <v>DK-LY-K559</v>
          </cell>
        </row>
        <row r="1221">
          <cell r="A1221" t="str">
            <v>DK-LY-K559-K0-44</v>
          </cell>
          <cell r="B1221" t="str">
            <v>DK-LY-K559</v>
          </cell>
        </row>
        <row r="1222">
          <cell r="A1222" t="str">
            <v>DK-LY-K559-KQ-32</v>
          </cell>
          <cell r="B1222" t="str">
            <v>DK-LY-K559</v>
          </cell>
        </row>
        <row r="1223">
          <cell r="A1223" t="str">
            <v>DK-LY-K559-KQ-34</v>
          </cell>
          <cell r="B1223" t="str">
            <v>DK-LY-K559</v>
          </cell>
        </row>
        <row r="1224">
          <cell r="A1224" t="str">
            <v>DK-LY-K559-KQ-36</v>
          </cell>
          <cell r="B1224" t="str">
            <v>DK-LY-K559</v>
          </cell>
        </row>
        <row r="1225">
          <cell r="A1225" t="str">
            <v>DK-LY-K559-KQ-38</v>
          </cell>
          <cell r="B1225" t="str">
            <v>DK-LY-K559</v>
          </cell>
        </row>
        <row r="1226">
          <cell r="A1226" t="str">
            <v>DK-LY-K559-KQ-40</v>
          </cell>
          <cell r="B1226" t="str">
            <v>DK-LY-K559</v>
          </cell>
        </row>
        <row r="1227">
          <cell r="A1227" t="str">
            <v>DK-LY-K559-KQ-42</v>
          </cell>
          <cell r="B1227" t="str">
            <v>DK-LY-K559</v>
          </cell>
        </row>
        <row r="1228">
          <cell r="A1228" t="str">
            <v>DK-LY-K559-KQ-44</v>
          </cell>
          <cell r="B1228" t="str">
            <v>DK-LY-K559</v>
          </cell>
        </row>
        <row r="1229">
          <cell r="A1229" t="str">
            <v>DK-LY-K559-LB-32</v>
          </cell>
          <cell r="B1229" t="str">
            <v>DK-LY-K559</v>
          </cell>
        </row>
        <row r="1230">
          <cell r="A1230" t="str">
            <v>DK-LY-K559-LB-34</v>
          </cell>
          <cell r="B1230" t="str">
            <v>DK-LY-K559</v>
          </cell>
        </row>
        <row r="1231">
          <cell r="A1231" t="str">
            <v>DK-LY-K559-LB-36</v>
          </cell>
          <cell r="B1231" t="str">
            <v>DK-LY-K559</v>
          </cell>
        </row>
        <row r="1232">
          <cell r="A1232" t="str">
            <v>DK-LY-K559-LB-38</v>
          </cell>
          <cell r="B1232" t="str">
            <v>DK-LY-K559</v>
          </cell>
        </row>
        <row r="1233">
          <cell r="A1233" t="str">
            <v>DK-LY-K559-LB-40</v>
          </cell>
          <cell r="B1233" t="str">
            <v>DK-LY-K559</v>
          </cell>
        </row>
        <row r="1234">
          <cell r="A1234" t="str">
            <v>DK-LY-K559-LB-42</v>
          </cell>
          <cell r="B1234" t="str">
            <v>DK-LY-K559</v>
          </cell>
        </row>
        <row r="1235">
          <cell r="A1235" t="str">
            <v>DK-LY-K559-LB-44</v>
          </cell>
          <cell r="B1235" t="str">
            <v>DK-LY-K559</v>
          </cell>
        </row>
        <row r="1236">
          <cell r="A1236" t="str">
            <v>DK-LY-K559-OR-32</v>
          </cell>
          <cell r="B1236" t="str">
            <v>DK-LY-K559</v>
          </cell>
        </row>
        <row r="1237">
          <cell r="A1237" t="str">
            <v>DK-LY-K559-OR-34</v>
          </cell>
          <cell r="B1237" t="str">
            <v>DK-LY-K559</v>
          </cell>
        </row>
        <row r="1238">
          <cell r="A1238" t="str">
            <v>DK-LY-K559-OR-36</v>
          </cell>
          <cell r="B1238" t="str">
            <v>DK-LY-K559</v>
          </cell>
        </row>
        <row r="1239">
          <cell r="A1239" t="str">
            <v>DK-LY-K559-OR-38</v>
          </cell>
          <cell r="B1239" t="str">
            <v>DK-LY-K559</v>
          </cell>
        </row>
        <row r="1240">
          <cell r="A1240" t="str">
            <v>DK-LY-K559-OR-40</v>
          </cell>
          <cell r="B1240" t="str">
            <v>DK-LY-K559</v>
          </cell>
        </row>
        <row r="1241">
          <cell r="A1241" t="str">
            <v>DK-LY-K559-OR-42</v>
          </cell>
          <cell r="B1241" t="str">
            <v>DK-LY-K559</v>
          </cell>
        </row>
        <row r="1242">
          <cell r="A1242" t="str">
            <v>DK-LY-K559-OR-44</v>
          </cell>
          <cell r="B1242" t="str">
            <v>DK-LY-K559</v>
          </cell>
        </row>
        <row r="1243">
          <cell r="A1243" t="str">
            <v>DK-LY-K559-R0-32</v>
          </cell>
          <cell r="B1243" t="str">
            <v>DK-LY-K559</v>
          </cell>
        </row>
        <row r="1244">
          <cell r="A1244" t="str">
            <v>DK-LY-K559-R0-34</v>
          </cell>
          <cell r="B1244" t="str">
            <v>DK-LY-K559</v>
          </cell>
        </row>
        <row r="1245">
          <cell r="A1245" t="str">
            <v>DK-LY-K559-R0-36</v>
          </cell>
          <cell r="B1245" t="str">
            <v>DK-LY-K559</v>
          </cell>
        </row>
        <row r="1246">
          <cell r="A1246" t="str">
            <v>DK-LY-K559-R0-38</v>
          </cell>
          <cell r="B1246" t="str">
            <v>DK-LY-K559</v>
          </cell>
        </row>
        <row r="1247">
          <cell r="A1247" t="str">
            <v>DK-LY-K559-R0-40</v>
          </cell>
          <cell r="B1247" t="str">
            <v>DK-LY-K559</v>
          </cell>
        </row>
        <row r="1248">
          <cell r="A1248" t="str">
            <v>DK-LY-K559-R0-42</v>
          </cell>
          <cell r="B1248" t="str">
            <v>DK-LY-K559</v>
          </cell>
        </row>
        <row r="1249">
          <cell r="A1249" t="str">
            <v>DK-LY-K559-R0-44</v>
          </cell>
          <cell r="B1249" t="str">
            <v>DK-LY-K559</v>
          </cell>
        </row>
        <row r="1250">
          <cell r="A1250" t="str">
            <v>DS002</v>
          </cell>
          <cell r="B1250" t="str">
            <v>DS002</v>
          </cell>
        </row>
        <row r="1251">
          <cell r="A1251" t="str">
            <v>DX-TW410</v>
          </cell>
          <cell r="B1251" t="str">
            <v>DX-TW410</v>
          </cell>
        </row>
        <row r="1252">
          <cell r="A1252" t="str">
            <v>DX-TW410-K0-2X</v>
          </cell>
          <cell r="B1252" t="str">
            <v>DX-TW410</v>
          </cell>
        </row>
        <row r="1253">
          <cell r="A1253" t="str">
            <v>DX-TW410-K0-L</v>
          </cell>
          <cell r="B1253" t="str">
            <v>DX-TW410</v>
          </cell>
        </row>
        <row r="1254">
          <cell r="A1254" t="str">
            <v>DX-TW410-K0-M</v>
          </cell>
          <cell r="B1254" t="str">
            <v>DX-TW410</v>
          </cell>
        </row>
        <row r="1255">
          <cell r="A1255" t="str">
            <v>DX-TW410-K0-S</v>
          </cell>
          <cell r="B1255" t="str">
            <v>DX-TW410</v>
          </cell>
        </row>
        <row r="1256">
          <cell r="A1256" t="str">
            <v>DX-TW410-K0-XL</v>
          </cell>
          <cell r="B1256" t="str">
            <v>DX-TW410</v>
          </cell>
        </row>
        <row r="1257">
          <cell r="A1257" t="str">
            <v>DX-TW410-K0-XS</v>
          </cell>
          <cell r="B1257" t="str">
            <v>DX-TW410</v>
          </cell>
        </row>
        <row r="1258">
          <cell r="A1258" t="str">
            <v>DZ-IUYL200-BK</v>
          </cell>
          <cell r="B1258" t="str">
            <v>DZ-IUYL200</v>
          </cell>
        </row>
        <row r="1259">
          <cell r="A1259" t="str">
            <v>DZ-IUYL200-GR</v>
          </cell>
          <cell r="B1259" t="str">
            <v>DZ-IUYL200</v>
          </cell>
        </row>
        <row r="1260">
          <cell r="A1260" t="str">
            <v>DZ-IUYL210-BK</v>
          </cell>
          <cell r="B1260" t="str">
            <v>DZ-IUYL210</v>
          </cell>
        </row>
        <row r="1261">
          <cell r="A1261" t="str">
            <v>DZ-IUYL210-CF</v>
          </cell>
          <cell r="B1261" t="str">
            <v>DZ-IUYL210</v>
          </cell>
        </row>
        <row r="1262">
          <cell r="A1262" t="str">
            <v>DZ-IUYL210-GR</v>
          </cell>
          <cell r="B1262" t="str">
            <v>DZ-IUYL210</v>
          </cell>
        </row>
        <row r="1263">
          <cell r="A1263" t="str">
            <v>DZ-IUYL210-KK</v>
          </cell>
          <cell r="B1263" t="str">
            <v>DZ-IUYL210</v>
          </cell>
        </row>
        <row r="1264">
          <cell r="A1264" t="str">
            <v>DZ-IUYL220-BK</v>
          </cell>
          <cell r="B1264" t="str">
            <v>DZ-IUYL220</v>
          </cell>
        </row>
        <row r="1265">
          <cell r="A1265" t="str">
            <v>DZ-IUYL220-GR</v>
          </cell>
          <cell r="B1265" t="str">
            <v>DZ-IUYL220</v>
          </cell>
        </row>
        <row r="1266">
          <cell r="A1266" t="str">
            <v>FBA-YZ5505Da0L</v>
          </cell>
          <cell r="B1266" t="str">
            <v>YZ5505</v>
          </cell>
        </row>
        <row r="1267">
          <cell r="A1267" t="str">
            <v>FBA-YZ5505Da2L</v>
          </cell>
          <cell r="B1267" t="str">
            <v>YZ5505</v>
          </cell>
        </row>
        <row r="1268">
          <cell r="A1268" t="str">
            <v>FBA-YZ5505DaM</v>
          </cell>
          <cell r="B1268" t="str">
            <v>YZ5505</v>
          </cell>
        </row>
        <row r="1269">
          <cell r="A1269" t="str">
            <v>FBA-YZ5505DaS</v>
          </cell>
          <cell r="B1269" t="str">
            <v>YZ5505</v>
          </cell>
        </row>
        <row r="1270">
          <cell r="A1270" t="str">
            <v>FBA-YZ5505DaXL</v>
          </cell>
          <cell r="B1270" t="str">
            <v>YZ5505</v>
          </cell>
        </row>
        <row r="1271">
          <cell r="A1271" t="str">
            <v>FBA-YZ5505DaXS</v>
          </cell>
          <cell r="B1271" t="str">
            <v>YZ5505</v>
          </cell>
        </row>
        <row r="1272">
          <cell r="A1272" t="str">
            <v>FT5505</v>
          </cell>
          <cell r="B1272" t="str">
            <v>FT5505</v>
          </cell>
        </row>
        <row r="1273">
          <cell r="A1273" t="str">
            <v>GM-0012L-ZJ</v>
          </cell>
          <cell r="B1273" t="str">
            <v>GM-001</v>
          </cell>
        </row>
        <row r="1274">
          <cell r="A1274" t="str">
            <v>GM-0013L</v>
          </cell>
          <cell r="B1274" t="str">
            <v>GM-001</v>
          </cell>
        </row>
        <row r="1275">
          <cell r="A1275" t="str">
            <v>GM-0014L-C</v>
          </cell>
          <cell r="B1275" t="str">
            <v>GM-001</v>
          </cell>
        </row>
        <row r="1276">
          <cell r="A1276" t="str">
            <v>GM-001L</v>
          </cell>
          <cell r="B1276" t="str">
            <v>GM-001</v>
          </cell>
        </row>
        <row r="1277">
          <cell r="A1277" t="str">
            <v>GM-001L-ZJ</v>
          </cell>
          <cell r="B1277" t="str">
            <v>GM-001</v>
          </cell>
        </row>
        <row r="1278">
          <cell r="A1278" t="str">
            <v>GM-001M-ZJ</v>
          </cell>
          <cell r="B1278" t="str">
            <v>GM-001</v>
          </cell>
        </row>
        <row r="1279">
          <cell r="A1279" t="str">
            <v>GM-001XL-ZJ</v>
          </cell>
          <cell r="B1279" t="str">
            <v>GM-001</v>
          </cell>
        </row>
        <row r="1280">
          <cell r="A1280" t="str">
            <v>GM-AC</v>
          </cell>
          <cell r="B1280" t="str">
            <v>GM-AC</v>
          </cell>
        </row>
        <row r="1281">
          <cell r="A1281" t="str">
            <v>GM-SJ002</v>
          </cell>
          <cell r="B1281" t="str">
            <v>GM-SJ002</v>
          </cell>
        </row>
        <row r="1282">
          <cell r="A1282" t="str">
            <v>GM-SJ002B0</v>
          </cell>
          <cell r="B1282" t="str">
            <v>GM-SJ002</v>
          </cell>
        </row>
        <row r="1283">
          <cell r="A1283" t="str">
            <v>GM-SJ002B0-GM</v>
          </cell>
          <cell r="B1283" t="str">
            <v>GM-SJ002</v>
          </cell>
        </row>
        <row r="1284">
          <cell r="A1284" t="str">
            <v>GM-SJ002BW</v>
          </cell>
          <cell r="B1284" t="str">
            <v>GM-SJ002</v>
          </cell>
        </row>
        <row r="1285">
          <cell r="A1285" t="str">
            <v>GM-SJ002G0</v>
          </cell>
          <cell r="B1285" t="str">
            <v>GM-SJ002</v>
          </cell>
        </row>
        <row r="1286">
          <cell r="A1286" t="str">
            <v>GM-SJ002-Pi</v>
          </cell>
          <cell r="B1286" t="str">
            <v>GM-SJ002</v>
          </cell>
        </row>
        <row r="1287">
          <cell r="A1287" t="str">
            <v>GM-SJ002W0</v>
          </cell>
          <cell r="B1287" t="str">
            <v>GM-SJ002</v>
          </cell>
        </row>
        <row r="1288">
          <cell r="A1288" t="str">
            <v>GM-SJ002W0-GM</v>
          </cell>
          <cell r="B1288" t="str">
            <v>GM-SJ002</v>
          </cell>
        </row>
        <row r="1289">
          <cell r="A1289" t="str">
            <v>GS-IUYL270</v>
          </cell>
          <cell r="B1289" t="str">
            <v>GS-IUYL270</v>
          </cell>
        </row>
        <row r="1290">
          <cell r="A1290" t="str">
            <v>GS-IUYL280-1</v>
          </cell>
          <cell r="B1290" t="str">
            <v>GS-IUYL280</v>
          </cell>
        </row>
        <row r="1291">
          <cell r="A1291" t="str">
            <v>GS-IUYL280-2</v>
          </cell>
          <cell r="B1291" t="str">
            <v>GS-IUYL280</v>
          </cell>
        </row>
        <row r="1292">
          <cell r="A1292" t="str">
            <v>GS-IUYL280-3</v>
          </cell>
          <cell r="B1292" t="str">
            <v>GS-IUYL280</v>
          </cell>
        </row>
        <row r="1293">
          <cell r="A1293" t="str">
            <v>GS-PUHM019-B0-L</v>
          </cell>
          <cell r="B1293" t="str">
            <v>GS-PUHM019</v>
          </cell>
        </row>
        <row r="1294">
          <cell r="A1294" t="str">
            <v>GS-PUHM019-B0-M</v>
          </cell>
          <cell r="B1294" t="str">
            <v>GS-PUHM019</v>
          </cell>
        </row>
        <row r="1295">
          <cell r="A1295" t="str">
            <v>GS-PUHM019-B0-S</v>
          </cell>
          <cell r="B1295" t="str">
            <v>GS-PUHM019</v>
          </cell>
        </row>
        <row r="1296">
          <cell r="A1296" t="str">
            <v>GS-PUHM019-B0-XL</v>
          </cell>
          <cell r="B1296" t="str">
            <v>GS-PUHM019</v>
          </cell>
        </row>
        <row r="1297">
          <cell r="A1297" t="str">
            <v>GS-PUHM019-K0-L</v>
          </cell>
          <cell r="B1297" t="str">
            <v>GS-PUHM019</v>
          </cell>
        </row>
        <row r="1298">
          <cell r="A1298" t="str">
            <v>GS-PUHM019-K0-M</v>
          </cell>
          <cell r="B1298" t="str">
            <v>GS-PUHM019</v>
          </cell>
        </row>
        <row r="1299">
          <cell r="A1299" t="str">
            <v>GS-PUHM019-K0-S</v>
          </cell>
          <cell r="B1299" t="str">
            <v>GS-PUHM019</v>
          </cell>
        </row>
        <row r="1300">
          <cell r="A1300" t="str">
            <v>GS-PUHM019-K0-XL</v>
          </cell>
          <cell r="B1300" t="str">
            <v>GS-PUHM019</v>
          </cell>
        </row>
        <row r="1301">
          <cell r="A1301" t="str">
            <v>GS-PUHM019-R0-L</v>
          </cell>
          <cell r="B1301" t="str">
            <v>GS-PUHM019</v>
          </cell>
        </row>
        <row r="1302">
          <cell r="A1302" t="str">
            <v>GS-PUHM019-R0-M</v>
          </cell>
          <cell r="B1302" t="str">
            <v>GS-PUHM019</v>
          </cell>
        </row>
        <row r="1303">
          <cell r="A1303" t="str">
            <v>GS-PUHM019-R0-S</v>
          </cell>
          <cell r="B1303" t="str">
            <v>GS-PUHM019</v>
          </cell>
        </row>
        <row r="1304">
          <cell r="A1304" t="str">
            <v>GS-PUHM019-R0-XL</v>
          </cell>
          <cell r="B1304" t="str">
            <v>GS-PUHM019</v>
          </cell>
        </row>
        <row r="1305">
          <cell r="A1305" t="str">
            <v>GW-LULHY-10</v>
          </cell>
          <cell r="B1305" t="str">
            <v>GW-LULHY</v>
          </cell>
        </row>
        <row r="1306">
          <cell r="A1306" t="str">
            <v>GW-LULHY-4.5</v>
          </cell>
          <cell r="B1306" t="str">
            <v>GW-LULHY</v>
          </cell>
        </row>
        <row r="1307">
          <cell r="A1307" t="str">
            <v>GW-LULHY-5.1</v>
          </cell>
          <cell r="B1307" t="str">
            <v>GW-LULHY</v>
          </cell>
        </row>
        <row r="1308">
          <cell r="A1308" t="str">
            <v>GW-LULHY-6.2</v>
          </cell>
          <cell r="B1308" t="str">
            <v>GW-LULHY</v>
          </cell>
        </row>
        <row r="1309">
          <cell r="A1309" t="str">
            <v>GW-LULHY-7.6</v>
          </cell>
          <cell r="B1309" t="str">
            <v>GW-LULHY</v>
          </cell>
        </row>
        <row r="1310">
          <cell r="A1310" t="str">
            <v>GW-LULHY-8.8</v>
          </cell>
          <cell r="B1310" t="str">
            <v>GW-LULHY</v>
          </cell>
        </row>
        <row r="1311">
          <cell r="A1311" t="str">
            <v>HZB-QJTZ-IUYL300310</v>
          </cell>
          <cell r="B1311" t="str">
            <v>HZB-QJTZ-IUYL300310</v>
          </cell>
        </row>
        <row r="1312">
          <cell r="A1312" t="str">
            <v>JK-CL0137</v>
          </cell>
          <cell r="B1312" t="str">
            <v>JK-CL0137</v>
          </cell>
        </row>
        <row r="1313">
          <cell r="A1313" t="str">
            <v>JK-CL0137-BD-2XL</v>
          </cell>
          <cell r="B1313" t="str">
            <v>JK-CL0137</v>
          </cell>
        </row>
        <row r="1314">
          <cell r="A1314" t="str">
            <v>JK-CL0137-BD-3XL</v>
          </cell>
          <cell r="B1314" t="str">
            <v>JK-CL0137</v>
          </cell>
        </row>
        <row r="1315">
          <cell r="A1315" t="str">
            <v>JK-CL0137-BD-L</v>
          </cell>
          <cell r="B1315" t="str">
            <v>JK-CL0137</v>
          </cell>
        </row>
        <row r="1316">
          <cell r="A1316" t="str">
            <v>JK-CL0137-BD-M</v>
          </cell>
          <cell r="B1316" t="str">
            <v>JK-CL0137</v>
          </cell>
        </row>
        <row r="1317">
          <cell r="A1317" t="str">
            <v>JK-CL0137-BD-S</v>
          </cell>
          <cell r="B1317" t="str">
            <v>JK-CL0137</v>
          </cell>
        </row>
        <row r="1318">
          <cell r="A1318" t="str">
            <v>JK-CL0137-BD-XL</v>
          </cell>
          <cell r="B1318" t="str">
            <v>JK-CL0137</v>
          </cell>
        </row>
        <row r="1319">
          <cell r="A1319" t="str">
            <v>JK-CL0137-G7-2XL</v>
          </cell>
          <cell r="B1319" t="str">
            <v>JK-CL0137</v>
          </cell>
        </row>
        <row r="1320">
          <cell r="A1320" t="str">
            <v>JK-CL0137-G7-3XL</v>
          </cell>
          <cell r="B1320" t="str">
            <v>JK-CL0137</v>
          </cell>
        </row>
        <row r="1321">
          <cell r="A1321" t="str">
            <v>JK-CL0137-G7-L</v>
          </cell>
          <cell r="B1321" t="str">
            <v>JK-CL0137</v>
          </cell>
        </row>
        <row r="1322">
          <cell r="A1322" t="str">
            <v>JK-CL0137-G7-M</v>
          </cell>
          <cell r="B1322" t="str">
            <v>JK-CL0137</v>
          </cell>
        </row>
        <row r="1323">
          <cell r="A1323" t="str">
            <v>JK-CL0137-G7-S</v>
          </cell>
          <cell r="B1323" t="str">
            <v>JK-CL0137</v>
          </cell>
        </row>
        <row r="1324">
          <cell r="A1324" t="str">
            <v>JK-CL0137-G7-XL</v>
          </cell>
          <cell r="B1324" t="str">
            <v>JK-CL0137</v>
          </cell>
        </row>
        <row r="1325">
          <cell r="A1325" t="str">
            <v>JK-CL0137-K0-2XL</v>
          </cell>
          <cell r="B1325" t="str">
            <v>JK-CL0137</v>
          </cell>
        </row>
        <row r="1326">
          <cell r="A1326" t="str">
            <v>JK-CL0137-K0-3XL</v>
          </cell>
          <cell r="B1326" t="str">
            <v>JK-CL0137</v>
          </cell>
        </row>
        <row r="1327">
          <cell r="A1327" t="str">
            <v>JK-CL0137-K0-L</v>
          </cell>
          <cell r="B1327" t="str">
            <v>JK-CL0137</v>
          </cell>
        </row>
        <row r="1328">
          <cell r="A1328" t="str">
            <v>JK-CL0137-K0-M</v>
          </cell>
          <cell r="B1328" t="str">
            <v>JK-CL0137</v>
          </cell>
        </row>
        <row r="1329">
          <cell r="A1329" t="str">
            <v>JK-CL0137-K0-S</v>
          </cell>
          <cell r="B1329" t="str">
            <v>JK-CL0137</v>
          </cell>
        </row>
        <row r="1330">
          <cell r="A1330" t="str">
            <v>JK-CL0137-K0-XL</v>
          </cell>
          <cell r="B1330" t="str">
            <v>JK-CL0137</v>
          </cell>
        </row>
        <row r="1331">
          <cell r="A1331" t="str">
            <v>JK-CL0137-ZL-2XL</v>
          </cell>
          <cell r="B1331" t="str">
            <v>JK-CL0137</v>
          </cell>
        </row>
        <row r="1332">
          <cell r="A1332" t="str">
            <v>JK-CL0137-ZL-3XL</v>
          </cell>
          <cell r="B1332" t="str">
            <v>JK-CL0137</v>
          </cell>
        </row>
        <row r="1333">
          <cell r="A1333" t="str">
            <v>JK-CL0137-ZL-L</v>
          </cell>
          <cell r="B1333" t="str">
            <v>JK-CL0137</v>
          </cell>
        </row>
        <row r="1334">
          <cell r="A1334" t="str">
            <v>JK-CL0137-ZL-M</v>
          </cell>
          <cell r="B1334" t="str">
            <v>JK-CL0137</v>
          </cell>
        </row>
        <row r="1335">
          <cell r="A1335" t="str">
            <v>JK-CL0137-ZL-S</v>
          </cell>
          <cell r="B1335" t="str">
            <v>JK-CL0137</v>
          </cell>
        </row>
        <row r="1336">
          <cell r="A1336" t="str">
            <v>JK-CL0137-ZL-XL</v>
          </cell>
          <cell r="B1336" t="str">
            <v>JK-CL0137</v>
          </cell>
        </row>
        <row r="1337">
          <cell r="A1337" t="str">
            <v>JK-SB015-DG-L</v>
          </cell>
          <cell r="B1337" t="str">
            <v>JK-SB015</v>
          </cell>
        </row>
        <row r="1338">
          <cell r="A1338" t="str">
            <v>JK-SB015-DG-M</v>
          </cell>
          <cell r="B1338" t="str">
            <v>JK-SB015</v>
          </cell>
        </row>
        <row r="1339">
          <cell r="A1339" t="str">
            <v>JK-SB015-DG-S</v>
          </cell>
          <cell r="B1339" t="str">
            <v>JK-SB015</v>
          </cell>
        </row>
        <row r="1340">
          <cell r="A1340" t="str">
            <v>JK-SB015-DG-XL</v>
          </cell>
          <cell r="B1340" t="str">
            <v>JK-SB015</v>
          </cell>
        </row>
        <row r="1341">
          <cell r="A1341" t="str">
            <v>JK-SB015-DG-XXL</v>
          </cell>
          <cell r="B1341" t="str">
            <v>JK-SB015</v>
          </cell>
        </row>
        <row r="1342">
          <cell r="A1342" t="str">
            <v>JK-SB015-KK-L</v>
          </cell>
          <cell r="B1342" t="str">
            <v>JK-SB015</v>
          </cell>
        </row>
        <row r="1343">
          <cell r="A1343" t="str">
            <v>JK-SB015-KK-M</v>
          </cell>
          <cell r="B1343" t="str">
            <v>JK-SB015</v>
          </cell>
        </row>
        <row r="1344">
          <cell r="A1344" t="str">
            <v>JK-SB015-KK-S</v>
          </cell>
          <cell r="B1344" t="str">
            <v>JK-SB015</v>
          </cell>
        </row>
        <row r="1345">
          <cell r="A1345" t="str">
            <v>JK-SB015-KK-XL</v>
          </cell>
          <cell r="B1345" t="str">
            <v>JK-SB015</v>
          </cell>
        </row>
        <row r="1346">
          <cell r="A1346" t="str">
            <v>JK-SB015-KK-XXL</v>
          </cell>
          <cell r="B1346" t="str">
            <v>JK-SB015</v>
          </cell>
        </row>
        <row r="1347">
          <cell r="A1347" t="str">
            <v>JK-SB015-LG-L</v>
          </cell>
          <cell r="B1347" t="str">
            <v>JK-SB015</v>
          </cell>
        </row>
        <row r="1348">
          <cell r="A1348" t="str">
            <v>JK-SB015-LG-M</v>
          </cell>
          <cell r="B1348" t="str">
            <v>JK-SB015</v>
          </cell>
        </row>
        <row r="1349">
          <cell r="A1349" t="str">
            <v>JK-SB015-LG-S</v>
          </cell>
          <cell r="B1349" t="str">
            <v>JK-SB015</v>
          </cell>
        </row>
        <row r="1350">
          <cell r="A1350" t="str">
            <v>JK-SB015-LG-XL</v>
          </cell>
          <cell r="B1350" t="str">
            <v>JK-SB015</v>
          </cell>
        </row>
        <row r="1351">
          <cell r="A1351" t="str">
            <v>JK-SB015-LG-XXL</v>
          </cell>
          <cell r="B1351" t="str">
            <v>JK-SB015</v>
          </cell>
        </row>
        <row r="1352">
          <cell r="A1352" t="str">
            <v>JK-SB016-BK-L</v>
          </cell>
          <cell r="B1352" t="str">
            <v>JK-SB016</v>
          </cell>
        </row>
        <row r="1353">
          <cell r="A1353" t="str">
            <v>JK-SB016-BK-M</v>
          </cell>
          <cell r="B1353" t="str">
            <v>JK-SB016</v>
          </cell>
        </row>
        <row r="1354">
          <cell r="A1354" t="str">
            <v>JK-SB016-BK-S</v>
          </cell>
          <cell r="B1354" t="str">
            <v>JK-SB016</v>
          </cell>
        </row>
        <row r="1355">
          <cell r="A1355" t="str">
            <v>JK-SB016-BK-XL</v>
          </cell>
          <cell r="B1355" t="str">
            <v>JK-SB016</v>
          </cell>
        </row>
        <row r="1356">
          <cell r="A1356" t="str">
            <v>JK-SB016-BK-XXL</v>
          </cell>
          <cell r="B1356" t="str">
            <v>JK-SB016</v>
          </cell>
        </row>
        <row r="1357">
          <cell r="A1357" t="str">
            <v>JK-SB016-CF-L</v>
          </cell>
          <cell r="B1357" t="str">
            <v>JK-SB016</v>
          </cell>
        </row>
        <row r="1358">
          <cell r="A1358" t="str">
            <v>JK-SB016-CF-M</v>
          </cell>
          <cell r="B1358" t="str">
            <v>JK-SB016</v>
          </cell>
        </row>
        <row r="1359">
          <cell r="A1359" t="str">
            <v>JK-SB016-CF-S</v>
          </cell>
          <cell r="B1359" t="str">
            <v>JK-SB016</v>
          </cell>
        </row>
        <row r="1360">
          <cell r="A1360" t="str">
            <v>JK-SB016-CF-XL</v>
          </cell>
          <cell r="B1360" t="str">
            <v>JK-SB016</v>
          </cell>
        </row>
        <row r="1361">
          <cell r="A1361" t="str">
            <v>JK-SB016-CF-XXL</v>
          </cell>
          <cell r="B1361" t="str">
            <v>JK-SB016</v>
          </cell>
        </row>
        <row r="1362">
          <cell r="A1362" t="str">
            <v>JK-SB016-GR-L</v>
          </cell>
          <cell r="B1362" t="str">
            <v>JK-SB016</v>
          </cell>
        </row>
        <row r="1363">
          <cell r="A1363" t="str">
            <v>JK-SB016-GR-M</v>
          </cell>
          <cell r="B1363" t="str">
            <v>JK-SB016</v>
          </cell>
        </row>
        <row r="1364">
          <cell r="A1364" t="str">
            <v>JK-SB016-GR-S</v>
          </cell>
          <cell r="B1364" t="str">
            <v>JK-SB016</v>
          </cell>
        </row>
        <row r="1365">
          <cell r="A1365" t="str">
            <v>JK-SB016-GR-XL</v>
          </cell>
          <cell r="B1365" t="str">
            <v>JK-SB016</v>
          </cell>
        </row>
        <row r="1366">
          <cell r="A1366" t="str">
            <v>JK-SB016-GR-XXL</v>
          </cell>
          <cell r="B1366" t="str">
            <v>JK-SB016</v>
          </cell>
        </row>
        <row r="1367">
          <cell r="A1367" t="str">
            <v>KZ-LY021-BK-32</v>
          </cell>
          <cell r="B1367" t="str">
            <v>KZ-LY021</v>
          </cell>
        </row>
        <row r="1368">
          <cell r="A1368" t="str">
            <v>KZ-LY021-BK-34</v>
          </cell>
          <cell r="B1368" t="str">
            <v>KZ-LY021</v>
          </cell>
        </row>
        <row r="1369">
          <cell r="A1369" t="str">
            <v>KZ-LY021-BK-36</v>
          </cell>
          <cell r="B1369" t="str">
            <v>KZ-LY021</v>
          </cell>
        </row>
        <row r="1370">
          <cell r="A1370" t="str">
            <v>KZ-LY021-BK-38</v>
          </cell>
          <cell r="B1370" t="str">
            <v>KZ-LY021</v>
          </cell>
        </row>
        <row r="1371">
          <cell r="A1371" t="str">
            <v>KZ-LY021-BK-40</v>
          </cell>
          <cell r="B1371" t="str">
            <v>KZ-LY021</v>
          </cell>
        </row>
        <row r="1372">
          <cell r="A1372" t="str">
            <v>KZ-LY021-BL-32</v>
          </cell>
          <cell r="B1372" t="str">
            <v>KZ-LY021</v>
          </cell>
        </row>
        <row r="1373">
          <cell r="A1373" t="str">
            <v>KZ-LY021-BL-34</v>
          </cell>
          <cell r="B1373" t="str">
            <v>KZ-LY021</v>
          </cell>
        </row>
        <row r="1374">
          <cell r="A1374" t="str">
            <v>KZ-LY021-BL-36</v>
          </cell>
          <cell r="B1374" t="str">
            <v>KZ-LY021</v>
          </cell>
        </row>
        <row r="1375">
          <cell r="A1375" t="str">
            <v>KZ-LY021-BL-38</v>
          </cell>
          <cell r="B1375" t="str">
            <v>KZ-LY021</v>
          </cell>
        </row>
        <row r="1376">
          <cell r="A1376" t="str">
            <v>KZ-LY021-BL-40</v>
          </cell>
          <cell r="B1376" t="str">
            <v>KZ-LY021</v>
          </cell>
        </row>
        <row r="1377">
          <cell r="A1377" t="str">
            <v>KZ-LY021-GY-32</v>
          </cell>
          <cell r="B1377" t="str">
            <v>KZ-LY021</v>
          </cell>
        </row>
        <row r="1378">
          <cell r="A1378" t="str">
            <v>KZ-LY021-GY-34</v>
          </cell>
          <cell r="B1378" t="str">
            <v>KZ-LY021</v>
          </cell>
        </row>
        <row r="1379">
          <cell r="A1379" t="str">
            <v>KZ-LY021-GY-36</v>
          </cell>
          <cell r="B1379" t="str">
            <v>KZ-LY021</v>
          </cell>
        </row>
        <row r="1380">
          <cell r="A1380" t="str">
            <v>KZ-LY021-GY-38</v>
          </cell>
          <cell r="B1380" t="str">
            <v>KZ-LY021</v>
          </cell>
        </row>
        <row r="1381">
          <cell r="A1381" t="str">
            <v>KZ-LY021-GY-40</v>
          </cell>
          <cell r="B1381" t="str">
            <v>KZ-LY021</v>
          </cell>
        </row>
        <row r="1382">
          <cell r="A1382" t="str">
            <v>KZ-LY021-KK-32</v>
          </cell>
          <cell r="B1382" t="str">
            <v>KZ-LY021</v>
          </cell>
        </row>
        <row r="1383">
          <cell r="A1383" t="str">
            <v>KZ-LY021-KK-34</v>
          </cell>
          <cell r="B1383" t="str">
            <v>KZ-LY021</v>
          </cell>
        </row>
        <row r="1384">
          <cell r="A1384" t="str">
            <v>KZ-LY021-KK-36</v>
          </cell>
          <cell r="B1384" t="str">
            <v>KZ-LY021</v>
          </cell>
        </row>
        <row r="1385">
          <cell r="A1385" t="str">
            <v>KZ-LY021-KK-38</v>
          </cell>
          <cell r="B1385" t="str">
            <v>KZ-LY021</v>
          </cell>
        </row>
        <row r="1386">
          <cell r="A1386" t="str">
            <v>KZ-LY021-KK-40</v>
          </cell>
          <cell r="B1386" t="str">
            <v>KZ-LY021</v>
          </cell>
        </row>
        <row r="1387">
          <cell r="A1387" t="str">
            <v>KZ-LY021-NY-32</v>
          </cell>
          <cell r="B1387" t="str">
            <v>KZ-LY021</v>
          </cell>
        </row>
        <row r="1388">
          <cell r="A1388" t="str">
            <v>KZ-LY021-NY-34</v>
          </cell>
          <cell r="B1388" t="str">
            <v>KZ-LY021</v>
          </cell>
        </row>
        <row r="1389">
          <cell r="A1389" t="str">
            <v>KZ-LY021-NY-36</v>
          </cell>
          <cell r="B1389" t="str">
            <v>KZ-LY021</v>
          </cell>
        </row>
        <row r="1390">
          <cell r="A1390" t="str">
            <v>KZ-LY021-NY-38</v>
          </cell>
          <cell r="B1390" t="str">
            <v>KZ-LY021</v>
          </cell>
        </row>
        <row r="1391">
          <cell r="A1391" t="str">
            <v>KZ-LY021-NY-40</v>
          </cell>
          <cell r="B1391" t="str">
            <v>KZ-LY021</v>
          </cell>
        </row>
        <row r="1392">
          <cell r="A1392" t="str">
            <v>KZ-LY021-WR-32</v>
          </cell>
          <cell r="B1392" t="str">
            <v>KZ-LY021</v>
          </cell>
        </row>
        <row r="1393">
          <cell r="A1393" t="str">
            <v>KZ-LY021-WR-34</v>
          </cell>
          <cell r="B1393" t="str">
            <v>KZ-LY021</v>
          </cell>
        </row>
        <row r="1394">
          <cell r="A1394" t="str">
            <v>KZ-LY021-WR-36</v>
          </cell>
          <cell r="B1394" t="str">
            <v>KZ-LY021</v>
          </cell>
        </row>
        <row r="1395">
          <cell r="A1395" t="str">
            <v>KZ-LY021-WR-38</v>
          </cell>
          <cell r="B1395" t="str">
            <v>KZ-LY021</v>
          </cell>
        </row>
        <row r="1396">
          <cell r="A1396" t="str">
            <v>KZ-LY021-WR-40</v>
          </cell>
          <cell r="B1396" t="str">
            <v>KZ-LY021</v>
          </cell>
        </row>
        <row r="1397">
          <cell r="A1397" t="str">
            <v>LGQ-IUYL100-BL</v>
          </cell>
          <cell r="B1397" t="str">
            <v>LGQ-IUYL100</v>
          </cell>
        </row>
        <row r="1398">
          <cell r="A1398" t="str">
            <v>LGQ-IUYL100-GN</v>
          </cell>
          <cell r="B1398" t="str">
            <v>LGQ-IUYL100</v>
          </cell>
        </row>
        <row r="1399">
          <cell r="A1399" t="str">
            <v>LGQ-IUYL100-PK</v>
          </cell>
          <cell r="B1399" t="str">
            <v>LGQ-IUYL100</v>
          </cell>
        </row>
        <row r="1400">
          <cell r="A1400" t="str">
            <v>LGQ-IUYL100-RD</v>
          </cell>
          <cell r="B1400" t="str">
            <v>LGQ-IUYL100</v>
          </cell>
        </row>
        <row r="1401">
          <cell r="A1401" t="str">
            <v>LGQ-IUYL100-WT</v>
          </cell>
          <cell r="B1401" t="str">
            <v>LGQ-IUYL100</v>
          </cell>
        </row>
        <row r="1402">
          <cell r="A1402" t="str">
            <v>LGQ-IUYL100-YL</v>
          </cell>
          <cell r="B1402" t="str">
            <v>LGQ-IUYL100</v>
          </cell>
        </row>
        <row r="1403">
          <cell r="A1403" t="str">
            <v>LYQ-1010</v>
          </cell>
          <cell r="B1403" t="str">
            <v>LYQ-1010</v>
          </cell>
        </row>
        <row r="1404">
          <cell r="A1404" t="str">
            <v>LYQ-1010K02L</v>
          </cell>
          <cell r="B1404" t="str">
            <v>LYQ-1010</v>
          </cell>
        </row>
        <row r="1405">
          <cell r="A1405" t="str">
            <v>LYQ-1010K02L-MX</v>
          </cell>
          <cell r="B1405" t="str">
            <v>LYQ-1010</v>
          </cell>
        </row>
        <row r="1406">
          <cell r="A1406" t="str">
            <v>LYQ-1010K03L</v>
          </cell>
          <cell r="B1406" t="str">
            <v>LYQ-1010</v>
          </cell>
        </row>
        <row r="1407">
          <cell r="A1407" t="str">
            <v>LYQ-1010K03L-MX</v>
          </cell>
          <cell r="B1407" t="str">
            <v>LYQ-1010</v>
          </cell>
        </row>
        <row r="1408">
          <cell r="A1408" t="str">
            <v>LYQ-1010K0L</v>
          </cell>
          <cell r="B1408" t="str">
            <v>LYQ-1010</v>
          </cell>
        </row>
        <row r="1409">
          <cell r="A1409" t="str">
            <v>LYQ-1010K0L-MX</v>
          </cell>
          <cell r="B1409" t="str">
            <v>LYQ-1010</v>
          </cell>
        </row>
        <row r="1410">
          <cell r="A1410" t="str">
            <v>LYQ-1010K0M</v>
          </cell>
          <cell r="B1410" t="str">
            <v>LYQ-1010</v>
          </cell>
        </row>
        <row r="1411">
          <cell r="A1411" t="str">
            <v>LYQ-1010K0M-MX</v>
          </cell>
          <cell r="B1411" t="str">
            <v>LYQ-1010</v>
          </cell>
        </row>
        <row r="1412">
          <cell r="A1412" t="str">
            <v>LYQ-1010K0S</v>
          </cell>
          <cell r="B1412" t="str">
            <v>LYQ-1010</v>
          </cell>
        </row>
        <row r="1413">
          <cell r="A1413" t="str">
            <v>LYQ-1010K0S-MX</v>
          </cell>
          <cell r="B1413" t="str">
            <v>LYQ-1010</v>
          </cell>
        </row>
        <row r="1414">
          <cell r="A1414" t="str">
            <v>LYQ-1010K0XL</v>
          </cell>
          <cell r="B1414" t="str">
            <v>LYQ-1010</v>
          </cell>
        </row>
        <row r="1415">
          <cell r="A1415" t="str">
            <v>LYQ-1010K0XL-MX</v>
          </cell>
          <cell r="B1415" t="str">
            <v>LYQ-1010</v>
          </cell>
        </row>
        <row r="1416">
          <cell r="A1416" t="str">
            <v>LYQ-1010N02L</v>
          </cell>
          <cell r="B1416" t="str">
            <v>LYQ-1010</v>
          </cell>
        </row>
        <row r="1417">
          <cell r="A1417" t="str">
            <v>LYQ-1010N03L</v>
          </cell>
          <cell r="B1417" t="str">
            <v>LYQ-1010</v>
          </cell>
        </row>
        <row r="1418">
          <cell r="A1418" t="str">
            <v>LYQ-1010N0L</v>
          </cell>
          <cell r="B1418" t="str">
            <v>LYQ-1010</v>
          </cell>
        </row>
        <row r="1419">
          <cell r="A1419" t="str">
            <v>LYQ-1010N0M</v>
          </cell>
          <cell r="B1419" t="str">
            <v>LYQ-1010</v>
          </cell>
        </row>
        <row r="1420">
          <cell r="A1420" t="str">
            <v>LYQ-1010N0S</v>
          </cell>
          <cell r="B1420" t="str">
            <v>LYQ-1010</v>
          </cell>
        </row>
        <row r="1421">
          <cell r="A1421" t="str">
            <v>LYQ-1010N0S-New</v>
          </cell>
          <cell r="B1421" t="str">
            <v>LYQ-1010</v>
          </cell>
        </row>
        <row r="1422">
          <cell r="A1422" t="str">
            <v>LYQ-1010N0XL</v>
          </cell>
          <cell r="B1422" t="str">
            <v>LYQ-1010</v>
          </cell>
        </row>
        <row r="1423">
          <cell r="A1423" t="str">
            <v>LYQ-1010P02L</v>
          </cell>
          <cell r="B1423" t="str">
            <v>LYQ-1010</v>
          </cell>
        </row>
        <row r="1424">
          <cell r="A1424" t="str">
            <v>LYQ-1010P02L-MX</v>
          </cell>
          <cell r="B1424" t="str">
            <v>LYQ-1010</v>
          </cell>
        </row>
        <row r="1425">
          <cell r="A1425" t="str">
            <v>LYQ-1010P03L</v>
          </cell>
          <cell r="B1425" t="str">
            <v>LYQ-1010</v>
          </cell>
        </row>
        <row r="1426">
          <cell r="A1426" t="str">
            <v>LYQ-1010P03L-MX</v>
          </cell>
          <cell r="B1426" t="str">
            <v>LYQ-1010</v>
          </cell>
        </row>
        <row r="1427">
          <cell r="A1427" t="str">
            <v>LYQ-1010P0L</v>
          </cell>
          <cell r="B1427" t="str">
            <v>LYQ-1010</v>
          </cell>
        </row>
        <row r="1428">
          <cell r="A1428" t="str">
            <v>LYQ-1010P0L-MX</v>
          </cell>
          <cell r="B1428" t="str">
            <v>LYQ-1010</v>
          </cell>
        </row>
        <row r="1429">
          <cell r="A1429" t="str">
            <v>LYQ-1010P0M</v>
          </cell>
          <cell r="B1429" t="str">
            <v>LYQ-1010</v>
          </cell>
        </row>
        <row r="1430">
          <cell r="A1430" t="str">
            <v>LYQ-1010P0M-MX</v>
          </cell>
          <cell r="B1430" t="str">
            <v>LYQ-1010</v>
          </cell>
        </row>
        <row r="1431">
          <cell r="A1431" t="str">
            <v>LYQ-1010P0S</v>
          </cell>
          <cell r="B1431" t="str">
            <v>LYQ-1010</v>
          </cell>
        </row>
        <row r="1432">
          <cell r="A1432" t="str">
            <v>LYQ-1010P0S-MX</v>
          </cell>
          <cell r="B1432" t="str">
            <v>LYQ-1010</v>
          </cell>
        </row>
        <row r="1433">
          <cell r="A1433" t="str">
            <v>LYQ-1010P0XL</v>
          </cell>
          <cell r="B1433" t="str">
            <v>LYQ-1010</v>
          </cell>
        </row>
        <row r="1434">
          <cell r="A1434" t="str">
            <v>LYQ-1010P0XL-MX</v>
          </cell>
          <cell r="B1434" t="str">
            <v>LYQ-1010</v>
          </cell>
        </row>
        <row r="1435">
          <cell r="A1435" t="str">
            <v>LYQ-1010W02L</v>
          </cell>
          <cell r="B1435" t="str">
            <v>LYQ-1010</v>
          </cell>
        </row>
        <row r="1436">
          <cell r="A1436" t="str">
            <v>LYQ-1010W03L</v>
          </cell>
          <cell r="B1436" t="str">
            <v>LYQ-1010</v>
          </cell>
        </row>
        <row r="1437">
          <cell r="A1437" t="str">
            <v>LYQ-1010W0L</v>
          </cell>
          <cell r="B1437" t="str">
            <v>LYQ-1010</v>
          </cell>
        </row>
        <row r="1438">
          <cell r="A1438" t="str">
            <v>LYQ-1010W0M</v>
          </cell>
          <cell r="B1438" t="str">
            <v>LYQ-1010</v>
          </cell>
        </row>
        <row r="1439">
          <cell r="A1439" t="str">
            <v>LYQ-1010W0M-GM</v>
          </cell>
          <cell r="B1439" t="str">
            <v>LYQ-1010</v>
          </cell>
        </row>
        <row r="1440">
          <cell r="A1440" t="str">
            <v>LYQ-1010W0S</v>
          </cell>
          <cell r="B1440" t="str">
            <v>LYQ-1010</v>
          </cell>
        </row>
        <row r="1441">
          <cell r="A1441" t="str">
            <v>LYQ-1010W0XL</v>
          </cell>
          <cell r="B1441" t="str">
            <v>LYQ-1010</v>
          </cell>
        </row>
        <row r="1442">
          <cell r="A1442" t="str">
            <v>LYQ2015B0</v>
          </cell>
          <cell r="B1442" t="str">
            <v>LYQ2015</v>
          </cell>
        </row>
        <row r="1443">
          <cell r="A1443" t="str">
            <v>LYQ2015FB</v>
          </cell>
          <cell r="B1443" t="str">
            <v>LYQ2015</v>
          </cell>
        </row>
        <row r="1444">
          <cell r="A1444" t="str">
            <v>LYQ2015G0</v>
          </cell>
          <cell r="B1444" t="str">
            <v>LYQ2015</v>
          </cell>
        </row>
        <row r="1445">
          <cell r="A1445" t="str">
            <v>LYQ2015K0</v>
          </cell>
          <cell r="B1445" t="str">
            <v>LYQ2015</v>
          </cell>
        </row>
        <row r="1446">
          <cell r="A1446" t="str">
            <v>LYQ2015P0</v>
          </cell>
          <cell r="B1446" t="str">
            <v>LYQ2015</v>
          </cell>
        </row>
        <row r="1447">
          <cell r="A1447" t="str">
            <v>LYQ2015R0</v>
          </cell>
          <cell r="B1447" t="str">
            <v>LYQ2015</v>
          </cell>
        </row>
        <row r="1448">
          <cell r="A1448" t="str">
            <v>LYQ2015W0</v>
          </cell>
          <cell r="B1448" t="str">
            <v>LYQ2015</v>
          </cell>
        </row>
        <row r="1449">
          <cell r="A1449" t="str">
            <v>LYQ2015W0-GM</v>
          </cell>
          <cell r="B1449" t="str">
            <v>LYQ2015</v>
          </cell>
        </row>
        <row r="1450">
          <cell r="A1450" t="str">
            <v>LYQ-29CA-BD-L</v>
          </cell>
          <cell r="B1450" t="str">
            <v>LYQ-29CA</v>
          </cell>
        </row>
        <row r="1451">
          <cell r="A1451" t="str">
            <v>LYQ-29CA-BD-S</v>
          </cell>
          <cell r="B1451" t="str">
            <v>LYQ-29CA</v>
          </cell>
        </row>
        <row r="1452">
          <cell r="A1452" t="str">
            <v>LYQ-29CA-BD-XL</v>
          </cell>
          <cell r="B1452" t="str">
            <v>LYQ-29CA</v>
          </cell>
        </row>
        <row r="1453">
          <cell r="A1453" t="str">
            <v>LYQ-29CA-G7-L</v>
          </cell>
          <cell r="B1453" t="str">
            <v>LYQ-29CA</v>
          </cell>
        </row>
        <row r="1454">
          <cell r="A1454" t="str">
            <v>LYQ-29CA-G7-M</v>
          </cell>
          <cell r="B1454" t="str">
            <v>LYQ-29CA</v>
          </cell>
        </row>
        <row r="1455">
          <cell r="A1455" t="str">
            <v>LYQ-29CA-G7-S</v>
          </cell>
          <cell r="B1455" t="str">
            <v>LYQ-29CA</v>
          </cell>
        </row>
        <row r="1456">
          <cell r="A1456" t="str">
            <v>LYQ-29CA-G7-XL</v>
          </cell>
          <cell r="B1456" t="str">
            <v>LYQ-29CA</v>
          </cell>
        </row>
        <row r="1457">
          <cell r="A1457" t="str">
            <v>LYQ-29CA-K0-L</v>
          </cell>
          <cell r="B1457" t="str">
            <v>LYQ-29CA</v>
          </cell>
        </row>
        <row r="1458">
          <cell r="A1458" t="str">
            <v>LYQ-29CA-K0-M</v>
          </cell>
          <cell r="B1458" t="str">
            <v>LYQ-29CA</v>
          </cell>
        </row>
        <row r="1459">
          <cell r="A1459" t="str">
            <v>LYQ-29CA-K0-S</v>
          </cell>
          <cell r="B1459" t="str">
            <v>LYQ-29CA</v>
          </cell>
        </row>
        <row r="1460">
          <cell r="A1460" t="str">
            <v>LYQ-29CA-K0-XL</v>
          </cell>
          <cell r="B1460" t="str">
            <v>LYQ-29CA</v>
          </cell>
        </row>
        <row r="1461">
          <cell r="A1461" t="str">
            <v>LYQ-29PHJ-BD-L</v>
          </cell>
          <cell r="B1461" t="str">
            <v>LYQ-29PHJ</v>
          </cell>
        </row>
        <row r="1462">
          <cell r="A1462" t="str">
            <v>LYQ-29PHJ-BD-L-MX</v>
          </cell>
          <cell r="B1462" t="str">
            <v>LYQ-29PHJ</v>
          </cell>
        </row>
        <row r="1463">
          <cell r="A1463" t="str">
            <v>LYQ-29PHJ-BD-M</v>
          </cell>
          <cell r="B1463" t="str">
            <v>LYQ-29PHJ</v>
          </cell>
        </row>
        <row r="1464">
          <cell r="A1464" t="str">
            <v>LYQ-29PHJ-BD-M-MX</v>
          </cell>
          <cell r="B1464" t="str">
            <v>LYQ-29PHJ</v>
          </cell>
        </row>
        <row r="1465">
          <cell r="A1465" t="str">
            <v>LYQ-29PHJ-BD-S</v>
          </cell>
          <cell r="B1465" t="str">
            <v>LYQ-29PHJ</v>
          </cell>
        </row>
        <row r="1466">
          <cell r="A1466" t="str">
            <v>LYQ-29PHJ-BD-XL</v>
          </cell>
          <cell r="B1466" t="str">
            <v>LYQ-29PHJ</v>
          </cell>
        </row>
        <row r="1467">
          <cell r="A1467" t="str">
            <v>LYQ-29PHJ-BD-XL-MX</v>
          </cell>
          <cell r="B1467" t="str">
            <v>LYQ-29PHJ</v>
          </cell>
        </row>
        <row r="1468">
          <cell r="A1468" t="str">
            <v>LYQ-29PHJ-C0-L</v>
          </cell>
          <cell r="B1468" t="str">
            <v>LYQ-29PHJ</v>
          </cell>
        </row>
        <row r="1469">
          <cell r="A1469" t="str">
            <v>LYQ-29PHJ-C0-M</v>
          </cell>
          <cell r="B1469" t="str">
            <v>LYQ-29PHJ</v>
          </cell>
        </row>
        <row r="1470">
          <cell r="A1470" t="str">
            <v>LYQ-29PHJ-C0-S</v>
          </cell>
          <cell r="B1470" t="str">
            <v>LYQ-29PHJ</v>
          </cell>
        </row>
        <row r="1471">
          <cell r="A1471" t="str">
            <v>LYQ-29PHJ-C0-XL</v>
          </cell>
          <cell r="B1471" t="str">
            <v>LYQ-29PHJ</v>
          </cell>
        </row>
        <row r="1472">
          <cell r="A1472" t="str">
            <v>LYQ-29PHJ-G7-L</v>
          </cell>
          <cell r="B1472" t="str">
            <v>LYQ-29PHJ</v>
          </cell>
        </row>
        <row r="1473">
          <cell r="A1473" t="str">
            <v>LYQ-29PHJ-G7-L-MX</v>
          </cell>
          <cell r="B1473" t="str">
            <v>LYQ-29PHJ</v>
          </cell>
        </row>
        <row r="1474">
          <cell r="A1474" t="str">
            <v>LYQ-29PHJ-G7-M</v>
          </cell>
          <cell r="B1474" t="str">
            <v>LYQ-29PHJ</v>
          </cell>
        </row>
        <row r="1475">
          <cell r="A1475" t="str">
            <v>LYQ-29PHJ-G7-M-MX</v>
          </cell>
          <cell r="B1475" t="str">
            <v>LYQ-29PHJ</v>
          </cell>
        </row>
        <row r="1476">
          <cell r="A1476" t="str">
            <v>LYQ-29PHJ-G7-S</v>
          </cell>
          <cell r="B1476" t="str">
            <v>LYQ-29PHJ</v>
          </cell>
        </row>
        <row r="1477">
          <cell r="A1477" t="str">
            <v>LYQ-29PHJ-G7-S-MX</v>
          </cell>
          <cell r="B1477" t="str">
            <v>LYQ-29PHJ</v>
          </cell>
        </row>
        <row r="1478">
          <cell r="A1478" t="str">
            <v>LYQ-29PHJ-G7-XL</v>
          </cell>
          <cell r="B1478" t="str">
            <v>LYQ-29PHJ</v>
          </cell>
        </row>
        <row r="1479">
          <cell r="A1479" t="str">
            <v>LYQ-29PHJ-G7-XL-MX</v>
          </cell>
          <cell r="B1479" t="str">
            <v>LYQ-29PHJ</v>
          </cell>
        </row>
        <row r="1480">
          <cell r="A1480" t="str">
            <v>LYQ-29PHJ-K0-L</v>
          </cell>
          <cell r="B1480" t="str">
            <v>LYQ-29PHJ</v>
          </cell>
        </row>
        <row r="1481">
          <cell r="A1481" t="str">
            <v>LYQ-29PHJ-K0-L-MX</v>
          </cell>
          <cell r="B1481" t="str">
            <v>LYQ-29PHJ</v>
          </cell>
        </row>
        <row r="1482">
          <cell r="A1482" t="str">
            <v>LYQ-29PHJ-K0-M</v>
          </cell>
          <cell r="B1482" t="str">
            <v>LYQ-29PHJ</v>
          </cell>
        </row>
        <row r="1483">
          <cell r="A1483" t="str">
            <v>LYQ-29PHJ-K0-S</v>
          </cell>
          <cell r="B1483" t="str">
            <v>LYQ-29PHJ</v>
          </cell>
        </row>
        <row r="1484">
          <cell r="A1484" t="str">
            <v>LYQ-29PHJ-K0-XL</v>
          </cell>
          <cell r="B1484" t="str">
            <v>LYQ-29PHJ</v>
          </cell>
        </row>
        <row r="1485">
          <cell r="A1485" t="str">
            <v>LYQ-29PHJ-X0-L</v>
          </cell>
          <cell r="B1485" t="str">
            <v>LYQ-29PHJ</v>
          </cell>
        </row>
        <row r="1486">
          <cell r="A1486" t="str">
            <v>LYQ-29PHJ-X0-L-MX</v>
          </cell>
          <cell r="B1486" t="str">
            <v>LYQ-29PHJ</v>
          </cell>
        </row>
        <row r="1487">
          <cell r="A1487" t="str">
            <v>LYQ-29PHJ-X0-M</v>
          </cell>
          <cell r="B1487" t="str">
            <v>LYQ-29PHJ</v>
          </cell>
        </row>
        <row r="1488">
          <cell r="A1488" t="str">
            <v>LYQ-29PHJ-X0-S</v>
          </cell>
          <cell r="B1488" t="str">
            <v>LYQ-29PHJ</v>
          </cell>
        </row>
        <row r="1489">
          <cell r="A1489" t="str">
            <v>LYQ-29PHJ-X0-XL</v>
          </cell>
          <cell r="B1489" t="str">
            <v>LYQ-29PHJ</v>
          </cell>
        </row>
        <row r="1490">
          <cell r="A1490" t="str">
            <v>LYQ-29PHJ-ZL-L</v>
          </cell>
          <cell r="B1490" t="str">
            <v>LYQ-29PHJ</v>
          </cell>
        </row>
        <row r="1491">
          <cell r="A1491" t="str">
            <v>LYQ-29PHJ-ZL-M</v>
          </cell>
          <cell r="B1491" t="str">
            <v>LYQ-29PHJ</v>
          </cell>
        </row>
        <row r="1492">
          <cell r="A1492" t="str">
            <v>LYQ-29PHJ-ZL-S</v>
          </cell>
          <cell r="B1492" t="str">
            <v>LYQ-29PHJ</v>
          </cell>
        </row>
        <row r="1493">
          <cell r="A1493" t="str">
            <v>LYQ-29PHJ-ZL-XL</v>
          </cell>
          <cell r="B1493" t="str">
            <v>LYQ-29PHJ</v>
          </cell>
        </row>
        <row r="1494">
          <cell r="A1494" t="str">
            <v>LYQ-CA1377-blue-L</v>
          </cell>
          <cell r="B1494" t="str">
            <v>LYQ-CA1377</v>
          </cell>
        </row>
        <row r="1495">
          <cell r="A1495" t="str">
            <v>LYQ-CA1377-blue-M</v>
          </cell>
          <cell r="B1495" t="str">
            <v>LYQ-CA1377</v>
          </cell>
        </row>
        <row r="1496">
          <cell r="A1496" t="str">
            <v>LYQ-CA1377-blue-S</v>
          </cell>
          <cell r="B1496" t="str">
            <v>LYQ-CA1377</v>
          </cell>
        </row>
        <row r="1497">
          <cell r="A1497" t="str">
            <v>LYQ-CA1377-blue-XL</v>
          </cell>
          <cell r="B1497" t="str">
            <v>LYQ-CA1377</v>
          </cell>
        </row>
        <row r="1498">
          <cell r="A1498" t="str">
            <v>LYQ-CA1377-grey0-L</v>
          </cell>
          <cell r="B1498" t="str">
            <v>LYQ-CA1377</v>
          </cell>
        </row>
        <row r="1499">
          <cell r="A1499" t="str">
            <v>LYQ-CA1377-grey0-M</v>
          </cell>
          <cell r="B1499" t="str">
            <v>LYQ-CA1377</v>
          </cell>
        </row>
        <row r="1500">
          <cell r="A1500" t="str">
            <v>LYQ-CA1377-grey0-S</v>
          </cell>
          <cell r="B1500" t="str">
            <v>LYQ-CA1377</v>
          </cell>
        </row>
        <row r="1501">
          <cell r="A1501" t="str">
            <v>LYQ-CA1377-grey0-XL</v>
          </cell>
          <cell r="B1501" t="str">
            <v>LYQ-CA1377</v>
          </cell>
        </row>
        <row r="1502">
          <cell r="A1502" t="str">
            <v>LYQ-CA1377-grey1-L</v>
          </cell>
          <cell r="B1502" t="str">
            <v>LYQ-CA1377</v>
          </cell>
        </row>
        <row r="1503">
          <cell r="A1503" t="str">
            <v>LYQ-CA1377-grey1-M</v>
          </cell>
          <cell r="B1503" t="str">
            <v>LYQ-CA1377</v>
          </cell>
        </row>
        <row r="1504">
          <cell r="A1504" t="str">
            <v>LYQ-CA1377-grey1-S</v>
          </cell>
          <cell r="B1504" t="str">
            <v>LYQ-CA1377</v>
          </cell>
        </row>
        <row r="1505">
          <cell r="A1505" t="str">
            <v>LYQ-CA1377-grey1-XL</v>
          </cell>
          <cell r="B1505" t="str">
            <v>LYQ-CA1377</v>
          </cell>
        </row>
        <row r="1506">
          <cell r="A1506" t="str">
            <v>LYQ-CA1377-purple-L</v>
          </cell>
          <cell r="B1506" t="str">
            <v>LYQ-CA1377</v>
          </cell>
        </row>
        <row r="1507">
          <cell r="A1507" t="str">
            <v>LYQ-CA1377-purple-M</v>
          </cell>
          <cell r="B1507" t="str">
            <v>LYQ-CA1377</v>
          </cell>
        </row>
        <row r="1508">
          <cell r="A1508" t="str">
            <v>LYQ-CA1377-purple-S</v>
          </cell>
          <cell r="B1508" t="str">
            <v>LYQ-CA1377</v>
          </cell>
        </row>
        <row r="1509">
          <cell r="A1509" t="str">
            <v>LYQ-CA1377-rose-L</v>
          </cell>
          <cell r="B1509" t="str">
            <v>LYQ-CA1377</v>
          </cell>
        </row>
        <row r="1510">
          <cell r="A1510" t="str">
            <v>LYQ-CA1377-rose-M</v>
          </cell>
          <cell r="B1510" t="str">
            <v>LYQ-CA1377</v>
          </cell>
        </row>
        <row r="1511">
          <cell r="A1511" t="str">
            <v>LYQ-CA1377-rose-S</v>
          </cell>
          <cell r="B1511" t="str">
            <v>LYQ-CA1377</v>
          </cell>
        </row>
        <row r="1512">
          <cell r="A1512" t="str">
            <v>LYQ-CA1377-rose-XL</v>
          </cell>
          <cell r="B1512" t="str">
            <v>LYQ-CA1377</v>
          </cell>
        </row>
        <row r="1513">
          <cell r="A1513" t="str">
            <v>LYQ-CF0481-BK-2XL</v>
          </cell>
          <cell r="B1513" t="str">
            <v>LYQ-CF0481</v>
          </cell>
        </row>
        <row r="1514">
          <cell r="A1514" t="str">
            <v>LYQ-CF0481-BK-L</v>
          </cell>
          <cell r="B1514" t="str">
            <v>LYQ-CF0481</v>
          </cell>
        </row>
        <row r="1515">
          <cell r="A1515" t="str">
            <v>LYQ-CF0481-BK-M</v>
          </cell>
          <cell r="B1515" t="str">
            <v>LYQ-CF0481</v>
          </cell>
        </row>
        <row r="1516">
          <cell r="A1516" t="str">
            <v>LYQ-CF0481-BK-S</v>
          </cell>
          <cell r="B1516" t="str">
            <v>LYQ-CF0481</v>
          </cell>
        </row>
        <row r="1517">
          <cell r="A1517" t="str">
            <v>LYQ-CF0481-BK-XL</v>
          </cell>
          <cell r="B1517" t="str">
            <v>LYQ-CF0481</v>
          </cell>
        </row>
        <row r="1518">
          <cell r="A1518" t="str">
            <v>LYQ-CF352-LTBU-L</v>
          </cell>
          <cell r="B1518" t="str">
            <v>LYQ-CF352</v>
          </cell>
        </row>
        <row r="1519">
          <cell r="A1519" t="str">
            <v>LYQ-CF352-LTBU-M</v>
          </cell>
          <cell r="B1519" t="str">
            <v>LYQ-CF352</v>
          </cell>
        </row>
        <row r="1520">
          <cell r="A1520" t="str">
            <v>LYQ-CF352-LTBU-S</v>
          </cell>
          <cell r="B1520" t="str">
            <v>LYQ-CF352</v>
          </cell>
        </row>
        <row r="1521">
          <cell r="A1521" t="str">
            <v>LYQ-CF352-LTBU-XL</v>
          </cell>
          <cell r="B1521" t="str">
            <v>LYQ-CF352</v>
          </cell>
        </row>
        <row r="1522">
          <cell r="A1522" t="str">
            <v>LYQ-CF352-OR-L</v>
          </cell>
          <cell r="B1522" t="str">
            <v>LYQ-CF352</v>
          </cell>
        </row>
        <row r="1523">
          <cell r="A1523" t="str">
            <v>LYQ-CF352-OR-M</v>
          </cell>
          <cell r="B1523" t="str">
            <v>LYQ-CF352</v>
          </cell>
        </row>
        <row r="1524">
          <cell r="A1524" t="str">
            <v>LYQ-CF352-OR-S</v>
          </cell>
          <cell r="B1524" t="str">
            <v>LYQ-CF352</v>
          </cell>
        </row>
        <row r="1525">
          <cell r="A1525" t="str">
            <v>LYQ-CF352-OR-XL</v>
          </cell>
          <cell r="B1525" t="str">
            <v>LYQ-CF352</v>
          </cell>
        </row>
        <row r="1526">
          <cell r="A1526" t="str">
            <v>LYQ-CF352-PU-L</v>
          </cell>
          <cell r="B1526" t="str">
            <v>LYQ-CF352</v>
          </cell>
        </row>
        <row r="1527">
          <cell r="A1527" t="str">
            <v>LYQ-CF352-PU-M</v>
          </cell>
          <cell r="B1527" t="str">
            <v>LYQ-CF352</v>
          </cell>
        </row>
        <row r="1528">
          <cell r="A1528" t="str">
            <v>LYQ-CF352-PU-S</v>
          </cell>
          <cell r="B1528" t="str">
            <v>LYQ-CF352</v>
          </cell>
        </row>
        <row r="1529">
          <cell r="A1529" t="str">
            <v>LYQ-CF352-PU-XL</v>
          </cell>
          <cell r="B1529" t="str">
            <v>LYQ-CF352</v>
          </cell>
        </row>
        <row r="1530">
          <cell r="A1530" t="str">
            <v>LYQ-CF352-RD-L</v>
          </cell>
          <cell r="B1530" t="str">
            <v>LYQ-CF352</v>
          </cell>
        </row>
        <row r="1531">
          <cell r="A1531" t="str">
            <v>LYQ-CF352-RD-M</v>
          </cell>
          <cell r="B1531" t="str">
            <v>LYQ-CF352</v>
          </cell>
        </row>
        <row r="1532">
          <cell r="A1532" t="str">
            <v>LYQ-CF352-RD-XL</v>
          </cell>
          <cell r="B1532" t="str">
            <v>LYQ-CF352</v>
          </cell>
        </row>
        <row r="1533">
          <cell r="A1533" t="str">
            <v>LYQ-CF8215-BK-3XL</v>
          </cell>
          <cell r="B1533" t="str">
            <v>LYQ-CF8215</v>
          </cell>
        </row>
        <row r="1534">
          <cell r="A1534" t="str">
            <v>LYQ-CF8215-BK-L</v>
          </cell>
          <cell r="B1534" t="str">
            <v>LYQ-CF8215</v>
          </cell>
        </row>
        <row r="1535">
          <cell r="A1535" t="str">
            <v>LYQ-CF8215-BK-M</v>
          </cell>
          <cell r="B1535" t="str">
            <v>LYQ-CF8215</v>
          </cell>
        </row>
        <row r="1536">
          <cell r="A1536" t="str">
            <v>LYQ-CF8215-BK-XL</v>
          </cell>
          <cell r="B1536" t="str">
            <v>LYQ-CF8215</v>
          </cell>
        </row>
        <row r="1537">
          <cell r="A1537" t="str">
            <v>LYQ-CF8215-ZL-L</v>
          </cell>
          <cell r="B1537" t="str">
            <v>LYQ-CF8215</v>
          </cell>
        </row>
        <row r="1538">
          <cell r="A1538" t="str">
            <v>LYQ-CF8215-ZL-M</v>
          </cell>
          <cell r="B1538" t="str">
            <v>LYQ-CF8215</v>
          </cell>
        </row>
        <row r="1539">
          <cell r="A1539" t="str">
            <v>LYQ-CF8215-ZL-S</v>
          </cell>
          <cell r="B1539" t="str">
            <v>LYQ-CF8215</v>
          </cell>
        </row>
        <row r="1540">
          <cell r="A1540" t="str">
            <v>LYQ-CF8215-ZL-XL</v>
          </cell>
          <cell r="B1540" t="str">
            <v>LYQ-CF8215</v>
          </cell>
        </row>
        <row r="1541">
          <cell r="A1541" t="str">
            <v>LYQ-CF8501-AMGR-L</v>
          </cell>
          <cell r="B1541" t="str">
            <v>LYQ-CF8501</v>
          </cell>
        </row>
        <row r="1542">
          <cell r="A1542" t="str">
            <v>LYQ-CF8501-AMGR-M</v>
          </cell>
          <cell r="B1542" t="str">
            <v>LYQ-CF8501</v>
          </cell>
        </row>
        <row r="1543">
          <cell r="A1543" t="str">
            <v>LYQ-CF8501-AMGR-S</v>
          </cell>
          <cell r="B1543" t="str">
            <v>LYQ-CF8501</v>
          </cell>
        </row>
        <row r="1544">
          <cell r="A1544" t="str">
            <v>LYQ-CF8501-BK-2XL</v>
          </cell>
          <cell r="B1544" t="str">
            <v>LYQ-CF8501</v>
          </cell>
        </row>
        <row r="1545">
          <cell r="A1545" t="str">
            <v>LYQ-CF8501-BK-3XL</v>
          </cell>
          <cell r="B1545" t="str">
            <v>LYQ-CF8501</v>
          </cell>
        </row>
        <row r="1546">
          <cell r="A1546" t="str">
            <v>LYQ-CF8501-BK-L</v>
          </cell>
          <cell r="B1546" t="str">
            <v>LYQ-CF8501</v>
          </cell>
        </row>
        <row r="1547">
          <cell r="A1547" t="str">
            <v>LYQ-CF8501-BK-M</v>
          </cell>
          <cell r="B1547" t="str">
            <v>LYQ-CF8501</v>
          </cell>
        </row>
        <row r="1548">
          <cell r="A1548" t="str">
            <v>LYQ-CF8501-BK-S</v>
          </cell>
          <cell r="B1548" t="str">
            <v>LYQ-CF8501</v>
          </cell>
        </row>
        <row r="1549">
          <cell r="A1549" t="str">
            <v>LYQ-CF8501-BK-XL</v>
          </cell>
          <cell r="B1549" t="str">
            <v>LYQ-CF8501</v>
          </cell>
        </row>
        <row r="1550">
          <cell r="A1550" t="str">
            <v>LYQ-CF8501-DKGY-4XL</v>
          </cell>
          <cell r="B1550" t="str">
            <v>LYQ-CF8501</v>
          </cell>
        </row>
        <row r="1551">
          <cell r="A1551" t="str">
            <v>LYQ-CF8501-WI-2XL</v>
          </cell>
          <cell r="B1551" t="str">
            <v>LYQ-CF8501</v>
          </cell>
        </row>
        <row r="1552">
          <cell r="A1552" t="str">
            <v>LYQ-CF8501-WI-3XL</v>
          </cell>
          <cell r="B1552" t="str">
            <v>LYQ-CF8501</v>
          </cell>
        </row>
        <row r="1553">
          <cell r="A1553" t="str">
            <v>LYQ-CF8501-WI-L</v>
          </cell>
          <cell r="B1553" t="str">
            <v>LYQ-CF8501</v>
          </cell>
        </row>
        <row r="1554">
          <cell r="A1554" t="str">
            <v>LYQ-CF8501-WI-M</v>
          </cell>
          <cell r="B1554" t="str">
            <v>LYQ-CF8501</v>
          </cell>
        </row>
        <row r="1555">
          <cell r="A1555" t="str">
            <v>LYQ-CF8501-WI-S</v>
          </cell>
          <cell r="B1555" t="str">
            <v>LYQ-CF8501</v>
          </cell>
        </row>
        <row r="1556">
          <cell r="A1556" t="str">
            <v>LYQ-CF8501-WI-XL</v>
          </cell>
          <cell r="B1556" t="str">
            <v>LYQ-CF8501</v>
          </cell>
        </row>
        <row r="1557">
          <cell r="A1557" t="str">
            <v>LYQ-CF8512-BK-L</v>
          </cell>
          <cell r="B1557" t="str">
            <v>LYQ-CF8512</v>
          </cell>
        </row>
        <row r="1558">
          <cell r="A1558" t="str">
            <v>LYQ-CF8512-BK-M</v>
          </cell>
          <cell r="B1558" t="str">
            <v>LYQ-CF8512</v>
          </cell>
        </row>
        <row r="1559">
          <cell r="A1559" t="str">
            <v>LYQ-CF8512-BK-S</v>
          </cell>
          <cell r="B1559" t="str">
            <v>LYQ-CF8512</v>
          </cell>
        </row>
        <row r="1560">
          <cell r="A1560" t="str">
            <v>LYQ-CF8512-BK-XL</v>
          </cell>
          <cell r="B1560" t="str">
            <v>LYQ-CF8512</v>
          </cell>
        </row>
        <row r="1561">
          <cell r="A1561" t="str">
            <v>LYQ-CF8512-BK-XXL</v>
          </cell>
          <cell r="B1561" t="str">
            <v>LYQ-CF8512</v>
          </cell>
        </row>
        <row r="1562">
          <cell r="A1562" t="str">
            <v>LYQ-CF8512-BU-L</v>
          </cell>
          <cell r="B1562" t="str">
            <v>LYQ-CF8512</v>
          </cell>
        </row>
        <row r="1563">
          <cell r="A1563" t="str">
            <v>LYQ-CF8512-BU-M</v>
          </cell>
          <cell r="B1563" t="str">
            <v>LYQ-CF8512</v>
          </cell>
        </row>
        <row r="1564">
          <cell r="A1564" t="str">
            <v>LYQ-CF8512-BU-S</v>
          </cell>
          <cell r="B1564" t="str">
            <v>LYQ-CF8512</v>
          </cell>
        </row>
        <row r="1565">
          <cell r="A1565" t="str">
            <v>LYQ-CF8512-BU-XL</v>
          </cell>
          <cell r="B1565" t="str">
            <v>LYQ-CF8512</v>
          </cell>
        </row>
        <row r="1566">
          <cell r="A1566" t="str">
            <v>LYQ-CF8512-BU-XXL</v>
          </cell>
          <cell r="B1566" t="str">
            <v>LYQ-CF8512</v>
          </cell>
        </row>
        <row r="1567">
          <cell r="A1567" t="str">
            <v>LYQ-CF8512-DKGR-L</v>
          </cell>
          <cell r="B1567" t="str">
            <v>LYQ-CF8512</v>
          </cell>
        </row>
        <row r="1568">
          <cell r="A1568" t="str">
            <v>LYQ-CF8512-DKGR-M</v>
          </cell>
          <cell r="B1568" t="str">
            <v>LYQ-CF8512</v>
          </cell>
        </row>
        <row r="1569">
          <cell r="A1569" t="str">
            <v>LYQ-CF8512-DKGR-S</v>
          </cell>
          <cell r="B1569" t="str">
            <v>LYQ-CF8512</v>
          </cell>
        </row>
        <row r="1570">
          <cell r="A1570" t="str">
            <v>LYQ-CF8512-DKGR-XL</v>
          </cell>
          <cell r="B1570" t="str">
            <v>LYQ-CF8512</v>
          </cell>
        </row>
        <row r="1571">
          <cell r="A1571" t="str">
            <v>LYQ-CF8512-DKGR-XXL</v>
          </cell>
          <cell r="B1571" t="str">
            <v>LYQ-CF8512</v>
          </cell>
        </row>
        <row r="1572">
          <cell r="A1572" t="str">
            <v>LYQ-CF8512-GR-L</v>
          </cell>
          <cell r="B1572" t="str">
            <v>LYQ-CF8512</v>
          </cell>
        </row>
        <row r="1573">
          <cell r="A1573" t="str">
            <v>LYQ-CF8512-GR-M</v>
          </cell>
          <cell r="B1573" t="str">
            <v>LYQ-CF8512</v>
          </cell>
        </row>
        <row r="1574">
          <cell r="A1574" t="str">
            <v>LYQ-CF8512-GR-S</v>
          </cell>
          <cell r="B1574" t="str">
            <v>LYQ-CF8512</v>
          </cell>
        </row>
        <row r="1575">
          <cell r="A1575" t="str">
            <v>LYQ-CF8512-GR-XL</v>
          </cell>
          <cell r="B1575" t="str">
            <v>LYQ-CF8512</v>
          </cell>
        </row>
        <row r="1576">
          <cell r="A1576" t="str">
            <v>LYQ-CF8512-GR-XXL</v>
          </cell>
          <cell r="B1576" t="str">
            <v>LYQ-CF8512</v>
          </cell>
        </row>
        <row r="1577">
          <cell r="A1577" t="str">
            <v>LYQ-CF8512-NAVY-L</v>
          </cell>
          <cell r="B1577" t="str">
            <v>LYQ-CF8512</v>
          </cell>
        </row>
        <row r="1578">
          <cell r="A1578" t="str">
            <v>LYQ-CF8512-NAVY-M</v>
          </cell>
          <cell r="B1578" t="str">
            <v>LYQ-CF8512</v>
          </cell>
        </row>
        <row r="1579">
          <cell r="A1579" t="str">
            <v>LYQ-CF8512-NAVY-S</v>
          </cell>
          <cell r="B1579" t="str">
            <v>LYQ-CF8512</v>
          </cell>
        </row>
        <row r="1580">
          <cell r="A1580" t="str">
            <v>LYQ-CF8512-NAVY-XL</v>
          </cell>
          <cell r="B1580" t="str">
            <v>LYQ-CF8512</v>
          </cell>
        </row>
        <row r="1581">
          <cell r="A1581" t="str">
            <v>LYQ-CF8512-NAVY-XXL</v>
          </cell>
          <cell r="B1581" t="str">
            <v>LYQ-CF8512</v>
          </cell>
        </row>
        <row r="1582">
          <cell r="A1582" t="str">
            <v>LYQ-CF8512-WI-L</v>
          </cell>
          <cell r="B1582" t="str">
            <v>LYQ-CF8512</v>
          </cell>
        </row>
        <row r="1583">
          <cell r="A1583" t="str">
            <v>LYQ-CF8512-WI-M</v>
          </cell>
          <cell r="B1583" t="str">
            <v>LYQ-CF8512</v>
          </cell>
        </row>
        <row r="1584">
          <cell r="A1584" t="str">
            <v>LYQ-CF8512-WI-S</v>
          </cell>
          <cell r="B1584" t="str">
            <v>LYQ-CF8512</v>
          </cell>
        </row>
        <row r="1585">
          <cell r="A1585" t="str">
            <v>LYQ-CF8512-WI-XL</v>
          </cell>
          <cell r="B1585" t="str">
            <v>LYQ-CF8512</v>
          </cell>
        </row>
        <row r="1586">
          <cell r="A1586" t="str">
            <v>LYQ-CF8512-WI-XXL</v>
          </cell>
          <cell r="B1586" t="str">
            <v>LYQ-CF8512</v>
          </cell>
        </row>
        <row r="1587">
          <cell r="A1587" t="str">
            <v>LYQ-CFB0516-RDPO-S</v>
          </cell>
          <cell r="B1587" t="str">
            <v>LYQ-CFB0516</v>
          </cell>
        </row>
        <row r="1588">
          <cell r="A1588" t="str">
            <v>LYQ-CFL02-BK-2XL</v>
          </cell>
          <cell r="B1588" t="str">
            <v>LYQ-CFL02</v>
          </cell>
        </row>
        <row r="1589">
          <cell r="A1589" t="str">
            <v>LYQ-CFL02-BK-L</v>
          </cell>
          <cell r="B1589" t="str">
            <v>LYQ-CFL02</v>
          </cell>
        </row>
        <row r="1590">
          <cell r="A1590" t="str">
            <v>LYQ-CFL02-BK-M</v>
          </cell>
          <cell r="B1590" t="str">
            <v>LYQ-CFL02</v>
          </cell>
        </row>
        <row r="1591">
          <cell r="A1591" t="str">
            <v>LYQ-CFL02-BK-S</v>
          </cell>
          <cell r="B1591" t="str">
            <v>LYQ-CFL02</v>
          </cell>
        </row>
        <row r="1592">
          <cell r="A1592" t="str">
            <v>LYQ-CFL02-BK-XL</v>
          </cell>
          <cell r="B1592" t="str">
            <v>LYQ-CFL02</v>
          </cell>
        </row>
        <row r="1593">
          <cell r="A1593" t="str">
            <v>LYQ-CL0045-K0-L</v>
          </cell>
          <cell r="B1593" t="str">
            <v>LYQ-CL0045</v>
          </cell>
        </row>
        <row r="1594">
          <cell r="A1594" t="str">
            <v>LYQ-CL0045-K0-M</v>
          </cell>
          <cell r="B1594" t="str">
            <v>LYQ-CL0045</v>
          </cell>
        </row>
        <row r="1595">
          <cell r="A1595" t="str">
            <v>LYQ-CL0045-K0-S</v>
          </cell>
          <cell r="B1595" t="str">
            <v>LYQ-CL0045</v>
          </cell>
        </row>
        <row r="1596">
          <cell r="A1596" t="str">
            <v>LYQ-CL0045-K0-XL</v>
          </cell>
          <cell r="B1596" t="str">
            <v>LYQ-CL0045</v>
          </cell>
        </row>
        <row r="1597">
          <cell r="A1597" t="str">
            <v>LYQ-CL0045-Y0-L</v>
          </cell>
          <cell r="B1597" t="str">
            <v>LYQ-CL0045</v>
          </cell>
        </row>
        <row r="1598">
          <cell r="A1598" t="str">
            <v>LYQ-CL0045-Y0-M</v>
          </cell>
          <cell r="B1598" t="str">
            <v>LYQ-CL0045</v>
          </cell>
        </row>
        <row r="1599">
          <cell r="A1599" t="str">
            <v>LYQ-CL0045-Y0-S</v>
          </cell>
          <cell r="B1599" t="str">
            <v>LYQ-CL0045</v>
          </cell>
        </row>
        <row r="1600">
          <cell r="A1600" t="str">
            <v>LYQ-CL0045-Y0-XL</v>
          </cell>
          <cell r="B1600" t="str">
            <v>LYQ-CL0045</v>
          </cell>
        </row>
        <row r="1601">
          <cell r="A1601" t="str">
            <v>LYQ-CL0127</v>
          </cell>
          <cell r="B1601" t="str">
            <v>LYQ-CL0127</v>
          </cell>
        </row>
        <row r="1602">
          <cell r="A1602" t="str">
            <v>LYQ-CL0127-B0-2XL</v>
          </cell>
          <cell r="B1602" t="str">
            <v>LYQ-CL0127</v>
          </cell>
        </row>
        <row r="1603">
          <cell r="A1603" t="str">
            <v>LYQ-CL0127-B0-3XL</v>
          </cell>
          <cell r="B1603" t="str">
            <v>LYQ-CL0127</v>
          </cell>
        </row>
        <row r="1604">
          <cell r="A1604" t="str">
            <v>LYQ-CL0127-B0-XL</v>
          </cell>
          <cell r="B1604" t="str">
            <v>LYQ-CL0127</v>
          </cell>
        </row>
        <row r="1605">
          <cell r="A1605" t="str">
            <v>LYQ-CL0127-KQ-2XL</v>
          </cell>
          <cell r="B1605" t="str">
            <v>LYQ-CL0127</v>
          </cell>
        </row>
        <row r="1606">
          <cell r="A1606" t="str">
            <v>LYQ-CL0127-KQ-3XL</v>
          </cell>
          <cell r="B1606" t="str">
            <v>LYQ-CL0127</v>
          </cell>
        </row>
        <row r="1607">
          <cell r="A1607" t="str">
            <v>LYQ-CL0127-KQ-XL</v>
          </cell>
          <cell r="B1607" t="str">
            <v>LYQ-CL0127</v>
          </cell>
        </row>
        <row r="1608">
          <cell r="A1608" t="str">
            <v>LYQ-CL0127-R2-2XL</v>
          </cell>
          <cell r="B1608" t="str">
            <v>LYQ-CL0127</v>
          </cell>
        </row>
        <row r="1609">
          <cell r="A1609" t="str">
            <v>LYQ-CL0127-R2-3XL</v>
          </cell>
          <cell r="B1609" t="str">
            <v>LYQ-CL0127</v>
          </cell>
        </row>
        <row r="1610">
          <cell r="A1610" t="str">
            <v>LYQ-CL0127-R2-XL</v>
          </cell>
          <cell r="B1610" t="str">
            <v>LYQ-CL0127</v>
          </cell>
        </row>
        <row r="1611">
          <cell r="A1611" t="str">
            <v>LYQ-CL430-K0-M</v>
          </cell>
          <cell r="B1611" t="str">
            <v>LYQ-CL430</v>
          </cell>
        </row>
        <row r="1612">
          <cell r="A1612" t="str">
            <v>LYQ-CL435-W0-XL</v>
          </cell>
          <cell r="B1612" t="str">
            <v>LYQ-CL435</v>
          </cell>
        </row>
        <row r="1613">
          <cell r="A1613" t="str">
            <v>LYQ-CL61652-R6-L</v>
          </cell>
          <cell r="B1613" t="str">
            <v>LYQ-CL61652</v>
          </cell>
        </row>
        <row r="1614">
          <cell r="A1614" t="str">
            <v>LYQ-CL61652-R6-M</v>
          </cell>
          <cell r="B1614" t="str">
            <v>LYQ-CL61652</v>
          </cell>
        </row>
        <row r="1615">
          <cell r="A1615" t="str">
            <v>LYQ-CL61652-R6-S</v>
          </cell>
          <cell r="B1615" t="str">
            <v>LYQ-CL61652</v>
          </cell>
        </row>
        <row r="1616">
          <cell r="A1616" t="str">
            <v>LYQ-CL61652-R6-XL</v>
          </cell>
          <cell r="B1616" t="str">
            <v>LYQ-CL61652</v>
          </cell>
        </row>
        <row r="1617">
          <cell r="A1617" t="str">
            <v>LYQ-CL6287-B0-L</v>
          </cell>
          <cell r="B1617" t="str">
            <v>LYQ-CL6287</v>
          </cell>
        </row>
        <row r="1618">
          <cell r="A1618" t="str">
            <v>LYQ-CL6287-FB-L</v>
          </cell>
          <cell r="B1618" t="str">
            <v>LYQ-CL6287</v>
          </cell>
        </row>
        <row r="1619">
          <cell r="A1619" t="str">
            <v>LYQ-CL6287-FB-XL</v>
          </cell>
          <cell r="B1619" t="str">
            <v>LYQ-CL6287</v>
          </cell>
        </row>
        <row r="1620">
          <cell r="A1620" t="str">
            <v>LYQ-CL6287-G7-L</v>
          </cell>
          <cell r="B1620" t="str">
            <v>LYQ-CL6287</v>
          </cell>
        </row>
        <row r="1621">
          <cell r="A1621" t="str">
            <v>LYQ-CL6287-G7-M</v>
          </cell>
          <cell r="B1621" t="str">
            <v>LYQ-CL6287</v>
          </cell>
        </row>
        <row r="1622">
          <cell r="A1622" t="str">
            <v>LYQ-CL6287-K0-L</v>
          </cell>
          <cell r="B1622" t="str">
            <v>LYQ-CL6287</v>
          </cell>
        </row>
        <row r="1623">
          <cell r="A1623" t="str">
            <v>LYQ-CL6287-K0-M</v>
          </cell>
          <cell r="B1623" t="str">
            <v>LYQ-CL6287</v>
          </cell>
        </row>
        <row r="1624">
          <cell r="A1624" t="str">
            <v>LYQ-CL6287-K0-XL</v>
          </cell>
          <cell r="B1624" t="str">
            <v>LYQ-CL6287</v>
          </cell>
        </row>
        <row r="1625">
          <cell r="A1625" t="str">
            <v>LYQ-CL6408NO-G0-L</v>
          </cell>
          <cell r="B1625" t="str">
            <v>LYQ-CL6408</v>
          </cell>
        </row>
        <row r="1626">
          <cell r="A1626" t="str">
            <v>LYQ-CL6408NO-K0-L</v>
          </cell>
          <cell r="B1626" t="str">
            <v>LYQ-CL6408</v>
          </cell>
        </row>
        <row r="1627">
          <cell r="A1627" t="str">
            <v>LYQ-CL6408SL-G0XL</v>
          </cell>
          <cell r="B1627" t="str">
            <v>LYQ-CL6408</v>
          </cell>
        </row>
        <row r="1628">
          <cell r="A1628" t="str">
            <v>LYQ-CL6408SL-K0XL</v>
          </cell>
          <cell r="B1628" t="str">
            <v>LYQ-CL6408</v>
          </cell>
        </row>
        <row r="1629">
          <cell r="A1629" t="str">
            <v>LYQ-CL7232M</v>
          </cell>
          <cell r="B1629" t="str">
            <v>LYQ-CL7232M</v>
          </cell>
        </row>
        <row r="1630">
          <cell r="A1630" t="str">
            <v>LYQ-CL90501</v>
          </cell>
          <cell r="B1630" t="str">
            <v>LYQ-CL90501</v>
          </cell>
        </row>
        <row r="1631">
          <cell r="A1631" t="str">
            <v>LYQ-CL90501-G7-2XL</v>
          </cell>
          <cell r="B1631" t="str">
            <v>LYQ-CL90501</v>
          </cell>
        </row>
        <row r="1632">
          <cell r="A1632" t="str">
            <v>LYQ-CL90501-G7-L</v>
          </cell>
          <cell r="B1632" t="str">
            <v>LYQ-CL90501</v>
          </cell>
        </row>
        <row r="1633">
          <cell r="A1633" t="str">
            <v>LYQ-CL90501-G7-M</v>
          </cell>
          <cell r="B1633" t="str">
            <v>LYQ-CL90501</v>
          </cell>
        </row>
        <row r="1634">
          <cell r="A1634" t="str">
            <v>LYQ-CL90501-G7-S</v>
          </cell>
          <cell r="B1634" t="str">
            <v>LYQ-CL90501</v>
          </cell>
        </row>
        <row r="1635">
          <cell r="A1635" t="str">
            <v>LYQ-CL90501-G7-XL</v>
          </cell>
          <cell r="B1635" t="str">
            <v>LYQ-CL90501</v>
          </cell>
        </row>
        <row r="1636">
          <cell r="A1636" t="str">
            <v>LYQ-CLA6005-BD-XL</v>
          </cell>
          <cell r="B1636" t="str">
            <v>LYQ-CLA6005</v>
          </cell>
        </row>
        <row r="1637">
          <cell r="A1637" t="str">
            <v>LYQ-CLAM035-FL-S</v>
          </cell>
          <cell r="B1637" t="str">
            <v>LYQ-CLAM035</v>
          </cell>
        </row>
        <row r="1638">
          <cell r="A1638" t="str">
            <v>LYQ-CLBAH002-L</v>
          </cell>
          <cell r="B1638" t="str">
            <v>LYQ-CLBAH002</v>
          </cell>
        </row>
        <row r="1639">
          <cell r="A1639" t="str">
            <v>LYQ-CLBAH002-M</v>
          </cell>
          <cell r="B1639" t="str">
            <v>LYQ-CLBAH002</v>
          </cell>
        </row>
        <row r="1640">
          <cell r="A1640" t="str">
            <v>LYQ-CLBAH002-S</v>
          </cell>
          <cell r="B1640" t="str">
            <v>LYQ-CLBAH002</v>
          </cell>
        </row>
        <row r="1641">
          <cell r="A1641" t="str">
            <v>LYQ-CLBAH002-XL</v>
          </cell>
          <cell r="B1641" t="str">
            <v>LYQ-CLBAH002</v>
          </cell>
        </row>
        <row r="1642">
          <cell r="A1642" t="str">
            <v>LYQ-CLZ095E02L</v>
          </cell>
          <cell r="B1642" t="str">
            <v>LYQ-CLZ095</v>
          </cell>
        </row>
        <row r="1643">
          <cell r="A1643" t="str">
            <v>LYQ-CLZ095E0L</v>
          </cell>
          <cell r="B1643" t="str">
            <v>LYQ-CLZ095</v>
          </cell>
        </row>
        <row r="1644">
          <cell r="A1644" t="str">
            <v>LYQ-CLZ095E0M</v>
          </cell>
          <cell r="B1644" t="str">
            <v>LYQ-CLZ095</v>
          </cell>
        </row>
        <row r="1645">
          <cell r="A1645" t="str">
            <v>LYQ-CLZ095E0S</v>
          </cell>
          <cell r="B1645" t="str">
            <v>LYQ-CLZ095</v>
          </cell>
        </row>
        <row r="1646">
          <cell r="A1646" t="str">
            <v>LYQ-CLZ095E0XL</v>
          </cell>
          <cell r="B1646" t="str">
            <v>LYQ-CLZ095</v>
          </cell>
        </row>
        <row r="1647">
          <cell r="A1647" t="str">
            <v>LYQ-CLZ095K02L</v>
          </cell>
          <cell r="B1647" t="str">
            <v>LYQ-CLZ095</v>
          </cell>
        </row>
        <row r="1648">
          <cell r="A1648" t="str">
            <v>LYQ-CLZ095K0L</v>
          </cell>
          <cell r="B1648" t="str">
            <v>LYQ-CLZ095</v>
          </cell>
        </row>
        <row r="1649">
          <cell r="A1649" t="str">
            <v>LYQ-CLZ095K0M</v>
          </cell>
          <cell r="B1649" t="str">
            <v>LYQ-CLZ095</v>
          </cell>
        </row>
        <row r="1650">
          <cell r="A1650" t="str">
            <v>LYQ-CLZ095R22L</v>
          </cell>
          <cell r="B1650" t="str">
            <v>LYQ-CLZ095</v>
          </cell>
        </row>
        <row r="1651">
          <cell r="A1651" t="str">
            <v>LYQ-CLZ095R2L</v>
          </cell>
          <cell r="B1651" t="str">
            <v>LYQ-CLZ095</v>
          </cell>
        </row>
        <row r="1652">
          <cell r="A1652" t="str">
            <v>LYQ-CLZ095R2M</v>
          </cell>
          <cell r="B1652" t="str">
            <v>LYQ-CLZ095</v>
          </cell>
        </row>
        <row r="1653">
          <cell r="A1653" t="str">
            <v>LYQ-CLZ095R2S</v>
          </cell>
          <cell r="B1653" t="str">
            <v>LYQ-CLZ095</v>
          </cell>
        </row>
        <row r="1654">
          <cell r="A1654" t="str">
            <v>LYQ-CLZ095R2XL</v>
          </cell>
          <cell r="B1654" t="str">
            <v>LYQ-CLZ095</v>
          </cell>
        </row>
        <row r="1655">
          <cell r="A1655" t="str">
            <v>LYQ-CS04</v>
          </cell>
          <cell r="B1655" t="str">
            <v>LYQ-CS04</v>
          </cell>
        </row>
        <row r="1656">
          <cell r="A1656" t="str">
            <v>LYQ-CS04-CO-2XL</v>
          </cell>
          <cell r="B1656" t="str">
            <v>LYQ-CS04</v>
          </cell>
        </row>
        <row r="1657">
          <cell r="A1657" t="str">
            <v>LYQ-CS04-CO-L</v>
          </cell>
          <cell r="B1657" t="str">
            <v>LYQ-CS04</v>
          </cell>
        </row>
        <row r="1658">
          <cell r="A1658" t="str">
            <v>LYQ-CS04-CO-M</v>
          </cell>
          <cell r="B1658" t="str">
            <v>LYQ-CS04</v>
          </cell>
        </row>
        <row r="1659">
          <cell r="A1659" t="str">
            <v>LYQ-CS04-CO-S</v>
          </cell>
          <cell r="B1659" t="str">
            <v>LYQ-CS04</v>
          </cell>
        </row>
        <row r="1660">
          <cell r="A1660" t="str">
            <v>LYQ-CS04-CO-XL</v>
          </cell>
          <cell r="B1660" t="str">
            <v>LYQ-CS04</v>
          </cell>
        </row>
        <row r="1661">
          <cell r="A1661" t="str">
            <v>LYQ-CS04-G0-2XL</v>
          </cell>
          <cell r="B1661" t="str">
            <v>LYQ-CS04</v>
          </cell>
        </row>
        <row r="1662">
          <cell r="A1662" t="str">
            <v>LYQ-CS04-G0-L</v>
          </cell>
          <cell r="B1662" t="str">
            <v>LYQ-CS04</v>
          </cell>
        </row>
        <row r="1663">
          <cell r="A1663" t="str">
            <v>LYQ-CS04-G0-M</v>
          </cell>
          <cell r="B1663" t="str">
            <v>LYQ-CS04</v>
          </cell>
        </row>
        <row r="1664">
          <cell r="A1664" t="str">
            <v>LYQ-CS04-G0-S</v>
          </cell>
          <cell r="B1664" t="str">
            <v>LYQ-CS04</v>
          </cell>
        </row>
        <row r="1665">
          <cell r="A1665" t="str">
            <v>LYQ-CS04-G0-XL</v>
          </cell>
          <cell r="B1665" t="str">
            <v>LYQ-CS04</v>
          </cell>
        </row>
        <row r="1666">
          <cell r="A1666" t="str">
            <v>LYQ-CS04-GR-2XL</v>
          </cell>
          <cell r="B1666" t="str">
            <v>LYQ-CS04</v>
          </cell>
        </row>
        <row r="1667">
          <cell r="A1667" t="str">
            <v>LYQ-CS04-GR-L</v>
          </cell>
          <cell r="B1667" t="str">
            <v>LYQ-CS04</v>
          </cell>
        </row>
        <row r="1668">
          <cell r="A1668" t="str">
            <v>LYQ-CS04-GR-M</v>
          </cell>
          <cell r="B1668" t="str">
            <v>LYQ-CS04</v>
          </cell>
        </row>
        <row r="1669">
          <cell r="A1669" t="str">
            <v>LYQ-CS04-GR-S</v>
          </cell>
          <cell r="B1669" t="str">
            <v>LYQ-CS04</v>
          </cell>
        </row>
        <row r="1670">
          <cell r="A1670" t="str">
            <v>LYQ-CS04-GR-XL</v>
          </cell>
          <cell r="B1670" t="str">
            <v>LYQ-CS04</v>
          </cell>
        </row>
        <row r="1671">
          <cell r="A1671" t="str">
            <v>LYQ-CS04-K0-2XL</v>
          </cell>
          <cell r="B1671" t="str">
            <v>LYQ-CS04</v>
          </cell>
        </row>
        <row r="1672">
          <cell r="A1672" t="str">
            <v>LYQ-CS04-K0-L</v>
          </cell>
          <cell r="B1672" t="str">
            <v>LYQ-CS04</v>
          </cell>
        </row>
        <row r="1673">
          <cell r="A1673" t="str">
            <v>LYQ-CS04-K0-M</v>
          </cell>
          <cell r="B1673" t="str">
            <v>LYQ-CS04</v>
          </cell>
        </row>
        <row r="1674">
          <cell r="A1674" t="str">
            <v>LYQ-CS04-K0-S</v>
          </cell>
          <cell r="B1674" t="str">
            <v>LYQ-CS04</v>
          </cell>
        </row>
        <row r="1675">
          <cell r="A1675" t="str">
            <v>LYQ-CS04-K0-XL</v>
          </cell>
          <cell r="B1675" t="str">
            <v>LYQ-CS04</v>
          </cell>
        </row>
        <row r="1676">
          <cell r="A1676" t="str">
            <v>LYQ-CS04-Wi-2XL</v>
          </cell>
          <cell r="B1676" t="str">
            <v>LYQ-CS04</v>
          </cell>
        </row>
        <row r="1677">
          <cell r="A1677" t="str">
            <v>LYQ-CS04-Wi-L</v>
          </cell>
          <cell r="B1677" t="str">
            <v>LYQ-CS04</v>
          </cell>
        </row>
        <row r="1678">
          <cell r="A1678" t="str">
            <v>LYQ-CS04-Wi-M</v>
          </cell>
          <cell r="B1678" t="str">
            <v>LYQ-CS04</v>
          </cell>
        </row>
        <row r="1679">
          <cell r="A1679" t="str">
            <v>LYQ-CS04-Wi-S</v>
          </cell>
          <cell r="B1679" t="str">
            <v>LYQ-CS04</v>
          </cell>
        </row>
        <row r="1680">
          <cell r="A1680" t="str">
            <v>LYQ-CS04-Wi-XL</v>
          </cell>
          <cell r="B1680" t="str">
            <v>LYQ-CS04</v>
          </cell>
        </row>
        <row r="1681">
          <cell r="A1681" t="str">
            <v>LYQ-CSM048-G0-L</v>
          </cell>
          <cell r="B1681" t="str">
            <v>LYQ-CSM048</v>
          </cell>
        </row>
        <row r="1682">
          <cell r="A1682" t="str">
            <v>LYQ-CSM048-G0-M</v>
          </cell>
          <cell r="B1682" t="str">
            <v>LYQ-CSM048</v>
          </cell>
        </row>
        <row r="1683">
          <cell r="A1683" t="str">
            <v>LYQ-CSM048-G0-S</v>
          </cell>
          <cell r="B1683" t="str">
            <v>LYQ-CSM048</v>
          </cell>
        </row>
        <row r="1684">
          <cell r="A1684" t="str">
            <v>LYQ-CSM048-G0-XL</v>
          </cell>
          <cell r="B1684" t="str">
            <v>LYQ-CSM048</v>
          </cell>
        </row>
        <row r="1685">
          <cell r="A1685" t="str">
            <v>LYQ-CSM048-GR0-L</v>
          </cell>
          <cell r="B1685" t="str">
            <v>LYQ-CSM048</v>
          </cell>
        </row>
        <row r="1686">
          <cell r="A1686" t="str">
            <v>LYQ-CSM048-GR0-M</v>
          </cell>
          <cell r="B1686" t="str">
            <v>LYQ-CSM048</v>
          </cell>
        </row>
        <row r="1687">
          <cell r="A1687" t="str">
            <v>LYQ-CSM048-GR0-S</v>
          </cell>
          <cell r="B1687" t="str">
            <v>LYQ-CSM048</v>
          </cell>
        </row>
        <row r="1688">
          <cell r="A1688" t="str">
            <v>LYQ-CSM048-GR0-XL</v>
          </cell>
          <cell r="B1688" t="str">
            <v>LYQ-CSM048</v>
          </cell>
        </row>
        <row r="1689">
          <cell r="A1689" t="str">
            <v>LYQ-CSM048-GR1-L</v>
          </cell>
          <cell r="B1689" t="str">
            <v>LYQ-CSM048</v>
          </cell>
        </row>
        <row r="1690">
          <cell r="A1690" t="str">
            <v>LYQ-CSM048-GR1-M</v>
          </cell>
          <cell r="B1690" t="str">
            <v>LYQ-CSM048</v>
          </cell>
        </row>
        <row r="1691">
          <cell r="A1691" t="str">
            <v>LYQ-CSM048-GR1-S</v>
          </cell>
          <cell r="B1691" t="str">
            <v>LYQ-CSM048</v>
          </cell>
        </row>
        <row r="1692">
          <cell r="A1692" t="str">
            <v>LYQ-CSM048-GR1-XL</v>
          </cell>
          <cell r="B1692" t="str">
            <v>LYQ-CSM048</v>
          </cell>
        </row>
        <row r="1693">
          <cell r="A1693" t="str">
            <v>LYQ-CSM048-K0-L</v>
          </cell>
          <cell r="B1693" t="str">
            <v>LYQ-CSM048</v>
          </cell>
        </row>
        <row r="1694">
          <cell r="A1694" t="str">
            <v>LYQ-CSM048-K0-M</v>
          </cell>
          <cell r="B1694" t="str">
            <v>LYQ-CSM048</v>
          </cell>
        </row>
        <row r="1695">
          <cell r="A1695" t="str">
            <v>LYQ-CSM048-K0-S</v>
          </cell>
          <cell r="B1695" t="str">
            <v>LYQ-CSM048</v>
          </cell>
        </row>
        <row r="1696">
          <cell r="A1696" t="str">
            <v>LYQ-CSM048-K0-XL</v>
          </cell>
          <cell r="B1696" t="str">
            <v>LYQ-CSM048</v>
          </cell>
        </row>
        <row r="1697">
          <cell r="A1697" t="str">
            <v>LYQ-CSM048-R0-L</v>
          </cell>
          <cell r="B1697" t="str">
            <v>LYQ-CSM048</v>
          </cell>
        </row>
        <row r="1698">
          <cell r="A1698" t="str">
            <v>LYQ-CSM048-R0-M</v>
          </cell>
          <cell r="B1698" t="str">
            <v>LYQ-CSM048</v>
          </cell>
        </row>
        <row r="1699">
          <cell r="A1699" t="str">
            <v>LYQ-CSM048-R0-S</v>
          </cell>
          <cell r="B1699" t="str">
            <v>LYQ-CSM048</v>
          </cell>
        </row>
        <row r="1700">
          <cell r="A1700" t="str">
            <v>LYQ-CSM048-R0-XL</v>
          </cell>
          <cell r="B1700" t="str">
            <v>LYQ-CSM048</v>
          </cell>
        </row>
        <row r="1701">
          <cell r="A1701" t="str">
            <v>LYQ-CSM048-ZL-L</v>
          </cell>
          <cell r="B1701" t="str">
            <v>LYQ-CSM048</v>
          </cell>
        </row>
        <row r="1702">
          <cell r="A1702" t="str">
            <v>LYQ-CSM048-ZL-M</v>
          </cell>
          <cell r="B1702" t="str">
            <v>LYQ-CSM048</v>
          </cell>
        </row>
        <row r="1703">
          <cell r="A1703" t="str">
            <v>LYQ-CSM048-ZL-S</v>
          </cell>
          <cell r="B1703" t="str">
            <v>LYQ-CSM048</v>
          </cell>
        </row>
        <row r="1704">
          <cell r="A1704" t="str">
            <v>LYQ-CSM048-ZL-XL</v>
          </cell>
          <cell r="B1704" t="str">
            <v>LYQ-CSM048</v>
          </cell>
        </row>
        <row r="1705">
          <cell r="A1705" t="str">
            <v>LYQ-G003B02L</v>
          </cell>
          <cell r="B1705" t="str">
            <v>LYQ-G003</v>
          </cell>
        </row>
        <row r="1706">
          <cell r="A1706" t="str">
            <v>LYQ-G003B0L</v>
          </cell>
          <cell r="B1706" t="str">
            <v>LYQ-G003</v>
          </cell>
        </row>
        <row r="1707">
          <cell r="A1707" t="str">
            <v>LYQ-G003B0M</v>
          </cell>
          <cell r="B1707" t="str">
            <v>LYQ-G003</v>
          </cell>
        </row>
        <row r="1708">
          <cell r="A1708" t="str">
            <v>LYQ-G003B0S</v>
          </cell>
          <cell r="B1708" t="str">
            <v>LYQ-G003</v>
          </cell>
        </row>
        <row r="1709">
          <cell r="A1709" t="str">
            <v>LYQ-G003B0XL</v>
          </cell>
          <cell r="B1709" t="str">
            <v>LYQ-G003</v>
          </cell>
        </row>
        <row r="1710">
          <cell r="A1710" t="str">
            <v>LYQ-G003W12L</v>
          </cell>
          <cell r="B1710" t="str">
            <v>LYQ-G003</v>
          </cell>
        </row>
        <row r="1711">
          <cell r="A1711" t="str">
            <v>LYQ-G003W1L</v>
          </cell>
          <cell r="B1711" t="str">
            <v>LYQ-G003</v>
          </cell>
        </row>
        <row r="1712">
          <cell r="A1712" t="str">
            <v>LYQ-G003W1M</v>
          </cell>
          <cell r="B1712" t="str">
            <v>LYQ-G003</v>
          </cell>
        </row>
        <row r="1713">
          <cell r="A1713" t="str">
            <v>LYQ-G003W1S</v>
          </cell>
          <cell r="B1713" t="str">
            <v>LYQ-G003</v>
          </cell>
        </row>
        <row r="1714">
          <cell r="A1714" t="str">
            <v>LYQ-G003W1XL</v>
          </cell>
          <cell r="B1714" t="str">
            <v>LYQ-G003</v>
          </cell>
        </row>
        <row r="1715">
          <cell r="A1715" t="str">
            <v>LYQ-G003ZL2L</v>
          </cell>
          <cell r="B1715" t="str">
            <v>LYQ-G003</v>
          </cell>
        </row>
        <row r="1716">
          <cell r="A1716" t="str">
            <v>LYQ-G003ZLL</v>
          </cell>
          <cell r="B1716" t="str">
            <v>LYQ-G003</v>
          </cell>
        </row>
        <row r="1717">
          <cell r="A1717" t="str">
            <v>LYQ-G003ZLM</v>
          </cell>
          <cell r="B1717" t="str">
            <v>LYQ-G003</v>
          </cell>
        </row>
        <row r="1718">
          <cell r="A1718" t="str">
            <v>LYQ-G003ZLS</v>
          </cell>
          <cell r="B1718" t="str">
            <v>LYQ-G003</v>
          </cell>
        </row>
        <row r="1719">
          <cell r="A1719" t="str">
            <v>LYQ-G003ZLXL</v>
          </cell>
          <cell r="B1719" t="str">
            <v>LYQ-G003</v>
          </cell>
        </row>
        <row r="1720">
          <cell r="A1720" t="str">
            <v>LYQ-HB1377-blue-L</v>
          </cell>
          <cell r="B1720" t="str">
            <v>LYQ-HB1377</v>
          </cell>
        </row>
        <row r="1721">
          <cell r="A1721" t="str">
            <v>LYQ-HB1377-blue-M</v>
          </cell>
          <cell r="B1721" t="str">
            <v>LYQ-HB1377</v>
          </cell>
        </row>
        <row r="1722">
          <cell r="A1722" t="str">
            <v>LYQ-HB1377-blue-S</v>
          </cell>
          <cell r="B1722" t="str">
            <v>LYQ-HB1377</v>
          </cell>
        </row>
        <row r="1723">
          <cell r="A1723" t="str">
            <v>LYQ-HB1377-blue-XL</v>
          </cell>
          <cell r="B1723" t="str">
            <v>LYQ-HB1377</v>
          </cell>
        </row>
        <row r="1724">
          <cell r="A1724" t="str">
            <v>LYQ-HB1377-grey0-L</v>
          </cell>
          <cell r="B1724" t="str">
            <v>LYQ-HB1377</v>
          </cell>
        </row>
        <row r="1725">
          <cell r="A1725" t="str">
            <v>LYQ-HB1377-grey0-M</v>
          </cell>
          <cell r="B1725" t="str">
            <v>LYQ-HB1377</v>
          </cell>
        </row>
        <row r="1726">
          <cell r="A1726" t="str">
            <v>LYQ-HB1377-grey0-S</v>
          </cell>
          <cell r="B1726" t="str">
            <v>LYQ-HB1377</v>
          </cell>
        </row>
        <row r="1727">
          <cell r="A1727" t="str">
            <v>LYQ-HB1377-grey0-XL</v>
          </cell>
          <cell r="B1727" t="str">
            <v>LYQ-HB1377</v>
          </cell>
        </row>
        <row r="1728">
          <cell r="A1728" t="str">
            <v>LYQ-HB1377-grey1-L</v>
          </cell>
          <cell r="B1728" t="str">
            <v>LYQ-HB1377</v>
          </cell>
        </row>
        <row r="1729">
          <cell r="A1729" t="str">
            <v>LYQ-HB1377-grey1-M</v>
          </cell>
          <cell r="B1729" t="str">
            <v>LYQ-HB1377</v>
          </cell>
        </row>
        <row r="1730">
          <cell r="A1730" t="str">
            <v>LYQ-HB1377-grey1-S</v>
          </cell>
          <cell r="B1730" t="str">
            <v>LYQ-HB1377</v>
          </cell>
        </row>
        <row r="1731">
          <cell r="A1731" t="str">
            <v>LYQ-HB1377-grey1-XL</v>
          </cell>
          <cell r="B1731" t="str">
            <v>LYQ-HB1377</v>
          </cell>
        </row>
        <row r="1732">
          <cell r="A1732" t="str">
            <v>LYQ-HB1377-purple-L</v>
          </cell>
          <cell r="B1732" t="str">
            <v>LYQ-HB1377</v>
          </cell>
        </row>
        <row r="1733">
          <cell r="A1733" t="str">
            <v>LYQ-HB1377-purple-M</v>
          </cell>
          <cell r="B1733" t="str">
            <v>LYQ-HB1377</v>
          </cell>
        </row>
        <row r="1734">
          <cell r="A1734" t="str">
            <v>LYQ-HB1377-purple-S</v>
          </cell>
          <cell r="B1734" t="str">
            <v>LYQ-HB1377</v>
          </cell>
        </row>
        <row r="1735">
          <cell r="A1735" t="str">
            <v>LYQ-HB1377-purple-XL</v>
          </cell>
          <cell r="B1735" t="str">
            <v>LYQ-HB1377</v>
          </cell>
        </row>
        <row r="1736">
          <cell r="A1736" t="str">
            <v>LYQ-HB1377-rose-L</v>
          </cell>
          <cell r="B1736" t="str">
            <v>LYQ-HB1377</v>
          </cell>
        </row>
        <row r="1737">
          <cell r="A1737" t="str">
            <v>LYQ-HB1377-rose-M</v>
          </cell>
          <cell r="B1737" t="str">
            <v>LYQ-HB1377</v>
          </cell>
        </row>
        <row r="1738">
          <cell r="A1738" t="str">
            <v>LYQ-HB1377-rose-S</v>
          </cell>
          <cell r="B1738" t="str">
            <v>LYQ-HB1377</v>
          </cell>
        </row>
        <row r="1739">
          <cell r="A1739" t="str">
            <v>LYQ-HB1377-rose-XL</v>
          </cell>
          <cell r="B1739" t="str">
            <v>LYQ-HB1377</v>
          </cell>
        </row>
        <row r="1740">
          <cell r="A1740" t="str">
            <v>LYQ-HM010</v>
          </cell>
          <cell r="B1740" t="str">
            <v>LYQ-HM010</v>
          </cell>
        </row>
        <row r="1741">
          <cell r="A1741" t="str">
            <v>LYQ-HM010-B0YH-L</v>
          </cell>
          <cell r="B1741" t="str">
            <v>LYQ-HM010</v>
          </cell>
        </row>
        <row r="1742">
          <cell r="A1742" t="str">
            <v>LYQ-HM010-B0YH-M</v>
          </cell>
          <cell r="B1742" t="str">
            <v>LYQ-HM010</v>
          </cell>
        </row>
        <row r="1743">
          <cell r="A1743" t="str">
            <v>LYQ-HM010-K0-M</v>
          </cell>
          <cell r="B1743" t="str">
            <v>LYQ-HM010</v>
          </cell>
        </row>
        <row r="1744">
          <cell r="A1744" t="str">
            <v>LYQ-HM049</v>
          </cell>
          <cell r="B1744" t="str">
            <v>LYQ-HM049</v>
          </cell>
        </row>
        <row r="1745">
          <cell r="A1745" t="str">
            <v>LYQ-HM049-G0-XL</v>
          </cell>
          <cell r="B1745" t="str">
            <v>LYQ-HM049</v>
          </cell>
        </row>
        <row r="1746">
          <cell r="A1746" t="str">
            <v>LYQ-HM049-K0-L</v>
          </cell>
          <cell r="B1746" t="str">
            <v>LYQ-HM049</v>
          </cell>
        </row>
        <row r="1747">
          <cell r="A1747" t="str">
            <v>LYQ-HM049-K0-M</v>
          </cell>
          <cell r="B1747" t="str">
            <v>LYQ-HM049</v>
          </cell>
        </row>
        <row r="1748">
          <cell r="A1748" t="str">
            <v>LYQ-HM049-K0-XL</v>
          </cell>
          <cell r="B1748" t="str">
            <v>LYQ-HM049</v>
          </cell>
        </row>
        <row r="1749">
          <cell r="A1749" t="str">
            <v>LYQ-HM049-ZL-L</v>
          </cell>
          <cell r="B1749" t="str">
            <v>LYQ-HM049</v>
          </cell>
        </row>
        <row r="1750">
          <cell r="A1750" t="str">
            <v>LYQ-HM049-ZL-S</v>
          </cell>
          <cell r="B1750" t="str">
            <v>LYQ-HM049</v>
          </cell>
        </row>
        <row r="1751">
          <cell r="A1751" t="str">
            <v>LYQ-HM049-ZL-XL</v>
          </cell>
          <cell r="B1751" t="str">
            <v>LYQ-HM049</v>
          </cell>
        </row>
        <row r="1752">
          <cell r="A1752" t="str">
            <v>LYQ-HM0505-W0-2XL</v>
          </cell>
          <cell r="B1752" t="str">
            <v>LYQ-HM0505</v>
          </cell>
        </row>
        <row r="1753">
          <cell r="A1753" t="str">
            <v>LYQ-HM0505-W0-3XL</v>
          </cell>
          <cell r="B1753" t="str">
            <v>LYQ-HM0505</v>
          </cell>
        </row>
        <row r="1754">
          <cell r="A1754" t="str">
            <v>LYQ-HM0831-R0-L</v>
          </cell>
          <cell r="B1754" t="str">
            <v>LYQ-HM0831</v>
          </cell>
        </row>
        <row r="1755">
          <cell r="A1755" t="str">
            <v>LYQ-HM0831-R0-M</v>
          </cell>
          <cell r="B1755" t="str">
            <v>LYQ-HM0831</v>
          </cell>
        </row>
        <row r="1756">
          <cell r="A1756" t="str">
            <v>LYQ-HM1205-BR-L</v>
          </cell>
          <cell r="B1756" t="str">
            <v>LYQ-HM1205</v>
          </cell>
        </row>
        <row r="1757">
          <cell r="A1757" t="str">
            <v>LYQ-HM1205-BR-L-CA</v>
          </cell>
          <cell r="B1757" t="str">
            <v>LYQ-HM1205</v>
          </cell>
        </row>
        <row r="1758">
          <cell r="A1758" t="str">
            <v>LYQ-HM1205-BR-M</v>
          </cell>
          <cell r="B1758" t="str">
            <v>LYQ-HM1205</v>
          </cell>
        </row>
        <row r="1759">
          <cell r="A1759" t="str">
            <v>LYQ-HM1205-BR-M-CA</v>
          </cell>
          <cell r="B1759" t="str">
            <v>LYQ-HM1205</v>
          </cell>
        </row>
        <row r="1760">
          <cell r="A1760" t="str">
            <v>LYQ-HM1205-BR-S</v>
          </cell>
          <cell r="B1760" t="str">
            <v>LYQ-HM1205</v>
          </cell>
        </row>
        <row r="1761">
          <cell r="A1761" t="str">
            <v>LYQ-HM1205-BR-S-CA</v>
          </cell>
          <cell r="B1761" t="str">
            <v>LYQ-HM1205</v>
          </cell>
        </row>
        <row r="1762">
          <cell r="A1762" t="str">
            <v>LYQ-HM1205-BR-XL</v>
          </cell>
          <cell r="B1762" t="str">
            <v>LYQ-HM1205</v>
          </cell>
        </row>
        <row r="1763">
          <cell r="A1763" t="str">
            <v>LYQ-HM1205-BR-XL-CA</v>
          </cell>
          <cell r="B1763" t="str">
            <v>LYQ-HM1205</v>
          </cell>
        </row>
        <row r="1764">
          <cell r="A1764" t="str">
            <v>LYQ-HM1205-K0-L</v>
          </cell>
          <cell r="B1764" t="str">
            <v>LYQ-HM1205</v>
          </cell>
        </row>
        <row r="1765">
          <cell r="A1765" t="str">
            <v>LYQ-HM1205-K0-L-CA</v>
          </cell>
          <cell r="B1765" t="str">
            <v>LYQ-HM1205</v>
          </cell>
        </row>
        <row r="1766">
          <cell r="A1766" t="str">
            <v>LYQ-HM1205-K0-M</v>
          </cell>
          <cell r="B1766" t="str">
            <v>LYQ-HM1205</v>
          </cell>
        </row>
        <row r="1767">
          <cell r="A1767" t="str">
            <v>LYQ-HM1205-K0-M-CA</v>
          </cell>
          <cell r="B1767" t="str">
            <v>LYQ-HM1205</v>
          </cell>
        </row>
        <row r="1768">
          <cell r="A1768" t="str">
            <v>LYQ-HM1205-K0-S</v>
          </cell>
          <cell r="B1768" t="str">
            <v>LYQ-HM1205</v>
          </cell>
        </row>
        <row r="1769">
          <cell r="A1769" t="str">
            <v>LYQ-HM1205-K0-S-CA</v>
          </cell>
          <cell r="B1769" t="str">
            <v>LYQ-HM1205</v>
          </cell>
        </row>
        <row r="1770">
          <cell r="A1770" t="str">
            <v>LYQ-HM1205-K0-XL</v>
          </cell>
          <cell r="B1770" t="str">
            <v>LYQ-HM1205</v>
          </cell>
        </row>
        <row r="1771">
          <cell r="A1771" t="str">
            <v>LYQ-HM1205-K0-XL-CA</v>
          </cell>
          <cell r="B1771" t="str">
            <v>LYQ-HM1205</v>
          </cell>
        </row>
        <row r="1772">
          <cell r="A1772" t="str">
            <v>LYQ-HM1205-KH-L</v>
          </cell>
          <cell r="B1772" t="str">
            <v>LYQ-HM1205</v>
          </cell>
        </row>
        <row r="1773">
          <cell r="A1773" t="str">
            <v>LYQ-HM1205-KH-L-CA</v>
          </cell>
          <cell r="B1773" t="str">
            <v>LYQ-HM1205</v>
          </cell>
        </row>
        <row r="1774">
          <cell r="A1774" t="str">
            <v>LYQ-HM1205-KH-M</v>
          </cell>
          <cell r="B1774" t="str">
            <v>LYQ-HM1205</v>
          </cell>
        </row>
        <row r="1775">
          <cell r="A1775" t="str">
            <v>LYQ-HM1205-KH-M-CA</v>
          </cell>
          <cell r="B1775" t="str">
            <v>LYQ-HM1205</v>
          </cell>
        </row>
        <row r="1776">
          <cell r="A1776" t="str">
            <v>LYQ-HM1205-KH-S</v>
          </cell>
          <cell r="B1776" t="str">
            <v>LYQ-HM1205</v>
          </cell>
        </row>
        <row r="1777">
          <cell r="A1777" t="str">
            <v>LYQ-HM1205-KH-S-CA</v>
          </cell>
          <cell r="B1777" t="str">
            <v>LYQ-HM1205</v>
          </cell>
        </row>
        <row r="1778">
          <cell r="A1778" t="str">
            <v>LYQ-HM1205-KH-XL</v>
          </cell>
          <cell r="B1778" t="str">
            <v>LYQ-HM1205</v>
          </cell>
        </row>
        <row r="1779">
          <cell r="A1779" t="str">
            <v>LYQ-HM1205-KH-XL-CA</v>
          </cell>
          <cell r="B1779" t="str">
            <v>LYQ-HM1205</v>
          </cell>
        </row>
        <row r="1780">
          <cell r="A1780" t="str">
            <v>LYQ-HM1205-OR-L</v>
          </cell>
          <cell r="B1780" t="str">
            <v>LYQ-HM1205</v>
          </cell>
        </row>
        <row r="1781">
          <cell r="A1781" t="str">
            <v>LYQ-HM1205-OR-L-CA</v>
          </cell>
          <cell r="B1781" t="str">
            <v>LYQ-HM1205</v>
          </cell>
        </row>
        <row r="1782">
          <cell r="A1782" t="str">
            <v>LYQ-HM1205-OR-M</v>
          </cell>
          <cell r="B1782" t="str">
            <v>LYQ-HM1205</v>
          </cell>
        </row>
        <row r="1783">
          <cell r="A1783" t="str">
            <v>LYQ-HM1205-OR-M-CA</v>
          </cell>
          <cell r="B1783" t="str">
            <v>LYQ-HM1205</v>
          </cell>
        </row>
        <row r="1784">
          <cell r="A1784" t="str">
            <v>LYQ-HM1205-OR-S</v>
          </cell>
          <cell r="B1784" t="str">
            <v>LYQ-HM1205</v>
          </cell>
        </row>
        <row r="1785">
          <cell r="A1785" t="str">
            <v>LYQ-HM1205-OR-S-CA</v>
          </cell>
          <cell r="B1785" t="str">
            <v>LYQ-HM1205</v>
          </cell>
        </row>
        <row r="1786">
          <cell r="A1786" t="str">
            <v>LYQ-HM1205-OR-XL</v>
          </cell>
          <cell r="B1786" t="str">
            <v>LYQ-HM1205</v>
          </cell>
        </row>
        <row r="1787">
          <cell r="A1787" t="str">
            <v>LYQ-HM1205-OR-XL-CA</v>
          </cell>
          <cell r="B1787" t="str">
            <v>LYQ-HM1205</v>
          </cell>
        </row>
        <row r="1788">
          <cell r="A1788" t="str">
            <v>LYQ-HM1205-W0-L</v>
          </cell>
          <cell r="B1788" t="str">
            <v>LYQ-HM1205</v>
          </cell>
        </row>
        <row r="1789">
          <cell r="A1789" t="str">
            <v>LYQ-HM1205-W0-L-CA</v>
          </cell>
          <cell r="B1789" t="str">
            <v>LYQ-HM1205</v>
          </cell>
        </row>
        <row r="1790">
          <cell r="A1790" t="str">
            <v>LYQ-HM1205-W0-M</v>
          </cell>
          <cell r="B1790" t="str">
            <v>LYQ-HM1205</v>
          </cell>
        </row>
        <row r="1791">
          <cell r="A1791" t="str">
            <v>LYQ-HM1205-W0-M-CA</v>
          </cell>
          <cell r="B1791" t="str">
            <v>LYQ-HM1205</v>
          </cell>
        </row>
        <row r="1792">
          <cell r="A1792" t="str">
            <v>LYQ-HM1205-W0-S</v>
          </cell>
          <cell r="B1792" t="str">
            <v>LYQ-HM1205</v>
          </cell>
        </row>
        <row r="1793">
          <cell r="A1793" t="str">
            <v>LYQ-HM1205-W0-S-CA</v>
          </cell>
          <cell r="B1793" t="str">
            <v>LYQ-HM1205</v>
          </cell>
        </row>
        <row r="1794">
          <cell r="A1794" t="str">
            <v>LYQ-HM1205-W0-XL</v>
          </cell>
          <cell r="B1794" t="str">
            <v>LYQ-HM1205</v>
          </cell>
        </row>
        <row r="1795">
          <cell r="A1795" t="str">
            <v>LYQ-HM1205-W0-XL-CA</v>
          </cell>
          <cell r="B1795" t="str">
            <v>LYQ-HM1205</v>
          </cell>
        </row>
        <row r="1796">
          <cell r="A1796" t="str">
            <v>LYQ-HM155-PU-L</v>
          </cell>
          <cell r="B1796" t="str">
            <v>LYQ-HM155</v>
          </cell>
        </row>
        <row r="1797">
          <cell r="A1797" t="str">
            <v>LYQ-HMAM002</v>
          </cell>
          <cell r="B1797" t="str">
            <v>LYQ-HMAM002</v>
          </cell>
        </row>
        <row r="1798">
          <cell r="A1798" t="str">
            <v>LYQ-HMAM002-ZL-L</v>
          </cell>
          <cell r="B1798" t="str">
            <v>LYQ-HMAM002</v>
          </cell>
        </row>
        <row r="1799">
          <cell r="A1799" t="str">
            <v>LYQ-HMAM002-ZL-M</v>
          </cell>
          <cell r="B1799" t="str">
            <v>LYQ-HMAM002</v>
          </cell>
        </row>
        <row r="1800">
          <cell r="A1800" t="str">
            <v>LYQ-HMAM002-ZL-S</v>
          </cell>
          <cell r="B1800" t="str">
            <v>LYQ-HMAM002</v>
          </cell>
        </row>
        <row r="1801">
          <cell r="A1801" t="str">
            <v>LYQ-HMAM002-ZL-XL</v>
          </cell>
          <cell r="B1801" t="str">
            <v>LYQ-HMAM002</v>
          </cell>
        </row>
        <row r="1802">
          <cell r="A1802" t="str">
            <v>LYQ-HMBX46</v>
          </cell>
          <cell r="B1802" t="str">
            <v>LYQ-HMBX46</v>
          </cell>
        </row>
        <row r="1803">
          <cell r="A1803" t="str">
            <v>LYQ-HMBX46-DXK0-L</v>
          </cell>
          <cell r="B1803" t="str">
            <v>LYQ-HMBX46</v>
          </cell>
        </row>
        <row r="1804">
          <cell r="A1804" t="str">
            <v>LYQ-HMBX46-DXK0-M</v>
          </cell>
          <cell r="B1804" t="str">
            <v>LYQ-HMBX46</v>
          </cell>
        </row>
        <row r="1805">
          <cell r="A1805" t="str">
            <v>LYQ-HMBX46-DXK0-S</v>
          </cell>
          <cell r="B1805" t="str">
            <v>LYQ-HMBX46</v>
          </cell>
        </row>
        <row r="1806">
          <cell r="A1806" t="str">
            <v>LYQ-HMBX46-DXK0-XL</v>
          </cell>
          <cell r="B1806" t="str">
            <v>LYQ-HMBX46</v>
          </cell>
        </row>
        <row r="1807">
          <cell r="A1807" t="str">
            <v>LYQ-HMBX46-DXZL-L</v>
          </cell>
          <cell r="B1807" t="str">
            <v>LYQ-HMBX46</v>
          </cell>
        </row>
        <row r="1808">
          <cell r="A1808" t="str">
            <v>LYQ-HMBX46-DXZL-M</v>
          </cell>
          <cell r="B1808" t="str">
            <v>LYQ-HMBX46</v>
          </cell>
        </row>
        <row r="1809">
          <cell r="A1809" t="str">
            <v>LYQ-HMBX46-DXZL-S</v>
          </cell>
          <cell r="B1809" t="str">
            <v>LYQ-HMBX46</v>
          </cell>
        </row>
        <row r="1810">
          <cell r="A1810" t="str">
            <v>LYQ-HMBX46-DXZL-XL</v>
          </cell>
          <cell r="B1810" t="str">
            <v>LYQ-HMBX46</v>
          </cell>
        </row>
        <row r="1811">
          <cell r="A1811" t="str">
            <v>LYQ-HMBX46-W0-L</v>
          </cell>
          <cell r="B1811" t="str">
            <v>LYQ-HMBX46</v>
          </cell>
        </row>
        <row r="1812">
          <cell r="A1812" t="str">
            <v>LYQ-HMBX46-W0-M</v>
          </cell>
          <cell r="B1812" t="str">
            <v>LYQ-HMBX46</v>
          </cell>
        </row>
        <row r="1813">
          <cell r="A1813" t="str">
            <v>LYQ-HMBX46-W0-S</v>
          </cell>
          <cell r="B1813" t="str">
            <v>LYQ-HMBX46</v>
          </cell>
        </row>
        <row r="1814">
          <cell r="A1814" t="str">
            <v>LYQ-HMBX46-W0-XL</v>
          </cell>
          <cell r="B1814" t="str">
            <v>LYQ-HMBX46</v>
          </cell>
        </row>
        <row r="1815">
          <cell r="A1815" t="str">
            <v>LYQ-HMBX46-ZXBE-L</v>
          </cell>
          <cell r="B1815" t="str">
            <v>LYQ-HMBX46</v>
          </cell>
        </row>
        <row r="1816">
          <cell r="A1816" t="str">
            <v>LYQ-HMBX46-ZXBE-M</v>
          </cell>
          <cell r="B1816" t="str">
            <v>LYQ-HMBX46</v>
          </cell>
        </row>
        <row r="1817">
          <cell r="A1817" t="str">
            <v>LYQ-HMBX46-ZXBE-S</v>
          </cell>
          <cell r="B1817" t="str">
            <v>LYQ-HMBX46</v>
          </cell>
        </row>
        <row r="1818">
          <cell r="A1818" t="str">
            <v>LYQ-HMBX46-ZXBE-XL</v>
          </cell>
          <cell r="B1818" t="str">
            <v>LYQ-HMBX46</v>
          </cell>
        </row>
        <row r="1819">
          <cell r="A1819" t="str">
            <v>LYQ-HMBX46-ZXK0-L</v>
          </cell>
          <cell r="B1819" t="str">
            <v>LYQ-HMBX46</v>
          </cell>
        </row>
        <row r="1820">
          <cell r="A1820" t="str">
            <v>LYQ-HMBX46-ZXK0-M</v>
          </cell>
          <cell r="B1820" t="str">
            <v>LYQ-HMBX46</v>
          </cell>
        </row>
        <row r="1821">
          <cell r="A1821" t="str">
            <v>LYQ-HMBX46-ZXK0-S</v>
          </cell>
          <cell r="B1821" t="str">
            <v>LYQ-HMBX46</v>
          </cell>
        </row>
        <row r="1822">
          <cell r="A1822" t="str">
            <v>LYQ-HMBX46-ZXK0-XL</v>
          </cell>
          <cell r="B1822" t="str">
            <v>LYQ-HMBX46</v>
          </cell>
        </row>
        <row r="1823">
          <cell r="A1823" t="str">
            <v>LYQ-HMBX46-ZXW0-L</v>
          </cell>
          <cell r="B1823" t="str">
            <v>LYQ-HMBX46</v>
          </cell>
        </row>
        <row r="1824">
          <cell r="A1824" t="str">
            <v>LYQ-HMBX46-ZXW0-M</v>
          </cell>
          <cell r="B1824" t="str">
            <v>LYQ-HMBX46</v>
          </cell>
        </row>
        <row r="1825">
          <cell r="A1825" t="str">
            <v>LYQ-HMBX46-ZXW0-S</v>
          </cell>
          <cell r="B1825" t="str">
            <v>LYQ-HMBX46</v>
          </cell>
        </row>
        <row r="1826">
          <cell r="A1826" t="str">
            <v>LYQ-HMBX46-ZXW0-XL</v>
          </cell>
          <cell r="B1826" t="str">
            <v>LYQ-HMBX46</v>
          </cell>
        </row>
        <row r="1827">
          <cell r="A1827" t="str">
            <v>LYQ-HMCX22</v>
          </cell>
          <cell r="B1827" t="str">
            <v>LYQ-HMCX22</v>
          </cell>
        </row>
        <row r="1828">
          <cell r="A1828" t="str">
            <v>LYQ-HMCX22-K0-L</v>
          </cell>
          <cell r="B1828" t="str">
            <v>LYQ-HMCX22</v>
          </cell>
        </row>
        <row r="1829">
          <cell r="A1829" t="str">
            <v>LYQ-HMCX22-K0-M</v>
          </cell>
          <cell r="B1829" t="str">
            <v>LYQ-HMCX22</v>
          </cell>
        </row>
        <row r="1830">
          <cell r="A1830" t="str">
            <v>LYQ-HMCX22-K0-S</v>
          </cell>
          <cell r="B1830" t="str">
            <v>LYQ-HMCX22</v>
          </cell>
        </row>
        <row r="1831">
          <cell r="A1831" t="str">
            <v>LYQ-HMCX22-K0-XS</v>
          </cell>
          <cell r="B1831" t="str">
            <v>LYQ-HMCX22</v>
          </cell>
        </row>
        <row r="1832">
          <cell r="A1832" t="str">
            <v>LYQ-HMCX22-W0-L</v>
          </cell>
          <cell r="B1832" t="str">
            <v>LYQ-HMCX22</v>
          </cell>
        </row>
        <row r="1833">
          <cell r="A1833" t="str">
            <v>LYQ-HMCX22-W0-M</v>
          </cell>
          <cell r="B1833" t="str">
            <v>LYQ-HMCX22</v>
          </cell>
        </row>
        <row r="1834">
          <cell r="A1834" t="str">
            <v>LYQ-HMCX22-W0-S</v>
          </cell>
          <cell r="B1834" t="str">
            <v>LYQ-HMCX22</v>
          </cell>
        </row>
        <row r="1835">
          <cell r="A1835" t="str">
            <v>LYQ-HMCX22-W0-XS</v>
          </cell>
          <cell r="B1835" t="str">
            <v>LYQ-HMCX22</v>
          </cell>
        </row>
        <row r="1836">
          <cell r="A1836" t="str">
            <v>LYQ-HMCX22-ZL-L</v>
          </cell>
          <cell r="B1836" t="str">
            <v>LYQ-HMCX22</v>
          </cell>
        </row>
        <row r="1837">
          <cell r="A1837" t="str">
            <v>LYQ-HMCX22-ZL-M</v>
          </cell>
          <cell r="B1837" t="str">
            <v>LYQ-HMCX22</v>
          </cell>
        </row>
        <row r="1838">
          <cell r="A1838" t="str">
            <v>LYQ-HMCX22-ZL-S</v>
          </cell>
          <cell r="B1838" t="str">
            <v>LYQ-HMCX22</v>
          </cell>
        </row>
        <row r="1839">
          <cell r="A1839" t="str">
            <v>LYQ-HMCX22-ZL-XS</v>
          </cell>
          <cell r="B1839" t="str">
            <v>LYQ-HMCX22</v>
          </cell>
        </row>
        <row r="1840">
          <cell r="A1840" t="str">
            <v>LYQ-HMQZZ-MOM-2XL</v>
          </cell>
          <cell r="B1840" t="str">
            <v>LYQ-HMQZZ</v>
          </cell>
        </row>
        <row r="1841">
          <cell r="A1841" t="str">
            <v>LYQ-HMQZZ-MOM-L</v>
          </cell>
          <cell r="B1841" t="str">
            <v>LYQ-HMQZZ</v>
          </cell>
        </row>
        <row r="1842">
          <cell r="A1842" t="str">
            <v>LYQ-HMQZZ-MOM-M</v>
          </cell>
          <cell r="B1842" t="str">
            <v>LYQ-HMQZZ</v>
          </cell>
        </row>
        <row r="1843">
          <cell r="A1843" t="str">
            <v>LYQ-HMQZZ-MOM-S</v>
          </cell>
          <cell r="B1843" t="str">
            <v>LYQ-HMQZZ</v>
          </cell>
        </row>
        <row r="1844">
          <cell r="A1844" t="str">
            <v>LYQ-HMQZZ-MOM-XL</v>
          </cell>
          <cell r="B1844" t="str">
            <v>LYQ-HMQZZ</v>
          </cell>
        </row>
        <row r="1845">
          <cell r="A1845" t="str">
            <v>LYQ-HMQZZ-R0-L(7/8)T</v>
          </cell>
          <cell r="B1845" t="str">
            <v>LYQ-HMQZZ</v>
          </cell>
        </row>
        <row r="1846">
          <cell r="A1846" t="str">
            <v>LYQ-HMQZZ-R0-M(5/6)T</v>
          </cell>
          <cell r="B1846" t="str">
            <v>LYQ-HMQZZ</v>
          </cell>
        </row>
        <row r="1847">
          <cell r="A1847" t="str">
            <v>LYQ-HMQZZ-R0-XL(9/10)T</v>
          </cell>
          <cell r="B1847" t="str">
            <v>LYQ-HMQZZ</v>
          </cell>
        </row>
        <row r="1848">
          <cell r="A1848" t="str">
            <v>LYQ-JY1586-W0-L</v>
          </cell>
          <cell r="B1848" t="str">
            <v>LYQ-JY1586</v>
          </cell>
        </row>
        <row r="1849">
          <cell r="A1849" t="str">
            <v>LYQ-JY1586-W0-M</v>
          </cell>
          <cell r="B1849" t="str">
            <v>LYQ-JY1586</v>
          </cell>
        </row>
        <row r="1850">
          <cell r="A1850" t="str">
            <v>LYQ-JY1586-W0-S</v>
          </cell>
          <cell r="B1850" t="str">
            <v>LYQ-JY1586</v>
          </cell>
        </row>
        <row r="1851">
          <cell r="A1851" t="str">
            <v>LYQ-JY1586-W0-XL</v>
          </cell>
          <cell r="B1851" t="str">
            <v>LYQ-JY1586</v>
          </cell>
        </row>
        <row r="1852">
          <cell r="A1852" t="str">
            <v>LYQ-K1010-B0-2X</v>
          </cell>
          <cell r="B1852" t="str">
            <v>LYQ-1010</v>
          </cell>
        </row>
        <row r="1853">
          <cell r="A1853" t="str">
            <v>LYQ-K1010-B0-L</v>
          </cell>
          <cell r="B1853" t="str">
            <v>LYQ-1010</v>
          </cell>
        </row>
        <row r="1854">
          <cell r="A1854" t="str">
            <v>LYQ-K1010-B0-M</v>
          </cell>
          <cell r="B1854" t="str">
            <v>LYQ-1010</v>
          </cell>
        </row>
        <row r="1855">
          <cell r="A1855" t="str">
            <v>LYQ-K1010-B0-M-GM</v>
          </cell>
          <cell r="B1855" t="str">
            <v>LYQ-1010</v>
          </cell>
        </row>
        <row r="1856">
          <cell r="A1856" t="str">
            <v>LYQ-K1010-B0-S</v>
          </cell>
          <cell r="B1856" t="str">
            <v>LYQ-1010</v>
          </cell>
        </row>
        <row r="1857">
          <cell r="A1857" t="str">
            <v>LYQ-K1010-B0-XL</v>
          </cell>
          <cell r="B1857" t="str">
            <v>LYQ-1010</v>
          </cell>
        </row>
        <row r="1858">
          <cell r="A1858" t="str">
            <v>LYQ-K1010-B0-XS</v>
          </cell>
          <cell r="B1858" t="str">
            <v>LYQ-1010</v>
          </cell>
        </row>
        <row r="1859">
          <cell r="A1859" t="str">
            <v>LYQ-K1010-G0-2X</v>
          </cell>
          <cell r="B1859" t="str">
            <v>LYQ-1010</v>
          </cell>
        </row>
        <row r="1860">
          <cell r="A1860" t="str">
            <v>LYQ-K1010-G0-L</v>
          </cell>
          <cell r="B1860" t="str">
            <v>LYQ-1010</v>
          </cell>
        </row>
        <row r="1861">
          <cell r="A1861" t="str">
            <v>LYQ-K1010-G0-L-GM</v>
          </cell>
          <cell r="B1861" t="str">
            <v>LYQ-1010</v>
          </cell>
        </row>
        <row r="1862">
          <cell r="A1862" t="str">
            <v>LYQ-K1010-G0-M</v>
          </cell>
          <cell r="B1862" t="str">
            <v>LYQ-1010</v>
          </cell>
        </row>
        <row r="1863">
          <cell r="A1863" t="str">
            <v>LYQ-K1010-G0-S</v>
          </cell>
          <cell r="B1863" t="str">
            <v>LYQ-1010</v>
          </cell>
        </row>
        <row r="1864">
          <cell r="A1864" t="str">
            <v>LYQ-K1010-G0-XL</v>
          </cell>
          <cell r="B1864" t="str">
            <v>LYQ-1010</v>
          </cell>
        </row>
        <row r="1865">
          <cell r="A1865" t="str">
            <v>LYQ-K1010-G0-XS</v>
          </cell>
          <cell r="B1865" t="str">
            <v>LYQ-1010</v>
          </cell>
        </row>
        <row r="1866">
          <cell r="A1866" t="str">
            <v>LYQ-K1010-G7-2X</v>
          </cell>
          <cell r="B1866" t="str">
            <v>LYQ-1010</v>
          </cell>
        </row>
        <row r="1867">
          <cell r="A1867" t="str">
            <v>LYQ-K1010-G7-L</v>
          </cell>
          <cell r="B1867" t="str">
            <v>LYQ-1010</v>
          </cell>
        </row>
        <row r="1868">
          <cell r="A1868" t="str">
            <v>LYQ-K1010-G7-M</v>
          </cell>
          <cell r="B1868" t="str">
            <v>LYQ-1010</v>
          </cell>
        </row>
        <row r="1869">
          <cell r="A1869" t="str">
            <v>LYQ-K1010-G7-S</v>
          </cell>
          <cell r="B1869" t="str">
            <v>LYQ-1010</v>
          </cell>
        </row>
        <row r="1870">
          <cell r="A1870" t="str">
            <v>LYQ-K1010-G7-XL</v>
          </cell>
          <cell r="B1870" t="str">
            <v>LYQ-1010</v>
          </cell>
        </row>
        <row r="1871">
          <cell r="A1871" t="str">
            <v>LYQ-K1010-G7-XL-GM</v>
          </cell>
          <cell r="B1871" t="str">
            <v>LYQ-1010</v>
          </cell>
        </row>
        <row r="1872">
          <cell r="A1872" t="str">
            <v>LYQ-K1010-G7-XS</v>
          </cell>
          <cell r="B1872" t="str">
            <v>LYQ-1010</v>
          </cell>
        </row>
        <row r="1873">
          <cell r="A1873" t="str">
            <v>LYQ-K1010-K0-2X</v>
          </cell>
          <cell r="B1873" t="str">
            <v>LYQ-1010</v>
          </cell>
        </row>
        <row r="1874">
          <cell r="A1874" t="str">
            <v>LYQ-K1010-K0-M</v>
          </cell>
          <cell r="B1874" t="str">
            <v>LYQ-1010</v>
          </cell>
        </row>
        <row r="1875">
          <cell r="A1875" t="str">
            <v>LYQ-K1010-KQ-2X</v>
          </cell>
          <cell r="B1875" t="str">
            <v>LYQ-1010</v>
          </cell>
        </row>
        <row r="1876">
          <cell r="A1876" t="str">
            <v>LYQ-K1010-KQ-L</v>
          </cell>
          <cell r="B1876" t="str">
            <v>LYQ-1010</v>
          </cell>
        </row>
        <row r="1877">
          <cell r="A1877" t="str">
            <v>LYQ-K1010-KQ-L-GM</v>
          </cell>
          <cell r="B1877" t="str">
            <v>LYQ-1010</v>
          </cell>
        </row>
        <row r="1878">
          <cell r="A1878" t="str">
            <v>LYQ-K1010-KQ-M</v>
          </cell>
          <cell r="B1878" t="str">
            <v>LYQ-1010</v>
          </cell>
        </row>
        <row r="1879">
          <cell r="A1879" t="str">
            <v>LYQ-K1010-KQ-S</v>
          </cell>
          <cell r="B1879" t="str">
            <v>LYQ-1010</v>
          </cell>
        </row>
        <row r="1880">
          <cell r="A1880" t="str">
            <v>LYQ-K1010-KQ-S-GM</v>
          </cell>
          <cell r="B1880" t="str">
            <v>LYQ-1010</v>
          </cell>
        </row>
        <row r="1881">
          <cell r="A1881" t="str">
            <v>LYQ-K1010-KQ-S-MX</v>
          </cell>
          <cell r="B1881" t="str">
            <v>LYQ-1010</v>
          </cell>
        </row>
        <row r="1882">
          <cell r="A1882" t="str">
            <v>LYQ-K1010-KQ-XL</v>
          </cell>
          <cell r="B1882" t="str">
            <v>LYQ-1010</v>
          </cell>
        </row>
        <row r="1883">
          <cell r="A1883" t="str">
            <v>LYQ-K1010-KQ-XS</v>
          </cell>
          <cell r="B1883" t="str">
            <v>LYQ-1010</v>
          </cell>
        </row>
        <row r="1884">
          <cell r="A1884" t="str">
            <v>LYQ-K1010-N0-L</v>
          </cell>
          <cell r="B1884" t="str">
            <v>LYQ-1010</v>
          </cell>
        </row>
        <row r="1885">
          <cell r="A1885" t="str">
            <v>LYQ-K1010-N0-M</v>
          </cell>
          <cell r="B1885" t="str">
            <v>LYQ-1010</v>
          </cell>
        </row>
        <row r="1886">
          <cell r="A1886" t="str">
            <v>LYQ-K1010-R0-2X</v>
          </cell>
          <cell r="B1886" t="str">
            <v>LYQ-1010</v>
          </cell>
        </row>
        <row r="1887">
          <cell r="A1887" t="str">
            <v>LYQ-K1010-R0-L</v>
          </cell>
          <cell r="B1887" t="str">
            <v>LYQ-1010</v>
          </cell>
        </row>
        <row r="1888">
          <cell r="A1888" t="str">
            <v>LYQ-K1010-R0-M</v>
          </cell>
          <cell r="B1888" t="str">
            <v>LYQ-1010</v>
          </cell>
        </row>
        <row r="1889">
          <cell r="A1889" t="str">
            <v>LYQ-K1010-R0-M-GM</v>
          </cell>
          <cell r="B1889" t="str">
            <v>LYQ-1010</v>
          </cell>
        </row>
        <row r="1890">
          <cell r="A1890" t="str">
            <v>LYQ-K1010-R0-M-MX</v>
          </cell>
          <cell r="B1890" t="str">
            <v>LYQ-1010</v>
          </cell>
        </row>
        <row r="1891">
          <cell r="A1891" t="str">
            <v>LYQ-K1010-R0-S</v>
          </cell>
          <cell r="B1891" t="str">
            <v>LYQ-1010</v>
          </cell>
        </row>
        <row r="1892">
          <cell r="A1892" t="str">
            <v>LYQ-K1010-R0-S-GM</v>
          </cell>
          <cell r="B1892" t="str">
            <v>LYQ-1010</v>
          </cell>
        </row>
        <row r="1893">
          <cell r="A1893" t="str">
            <v>LYQ-K1010-R0-XL</v>
          </cell>
          <cell r="B1893" t="str">
            <v>LYQ-1010</v>
          </cell>
        </row>
        <row r="1894">
          <cell r="A1894" t="str">
            <v>LYQ-K1010-R0-XL-GM</v>
          </cell>
          <cell r="B1894" t="str">
            <v>LYQ-1010</v>
          </cell>
        </row>
        <row r="1895">
          <cell r="A1895" t="str">
            <v>LYQ-K1010-R0-XS</v>
          </cell>
          <cell r="B1895" t="str">
            <v>LYQ-1010</v>
          </cell>
        </row>
        <row r="1896">
          <cell r="A1896" t="str">
            <v>LYQ-K1010-R0-XS-GM</v>
          </cell>
          <cell r="B1896" t="str">
            <v>LYQ-1010</v>
          </cell>
        </row>
        <row r="1897">
          <cell r="A1897" t="str">
            <v>LYQ-K1010-W0-2X</v>
          </cell>
          <cell r="B1897" t="str">
            <v>LYQ-1010</v>
          </cell>
        </row>
        <row r="1898">
          <cell r="A1898" t="str">
            <v>LYQ-K1010-W0-L</v>
          </cell>
          <cell r="B1898" t="str">
            <v>LYQ-1010</v>
          </cell>
        </row>
        <row r="1899">
          <cell r="A1899" t="str">
            <v>LYQ-K1010-W0-M</v>
          </cell>
          <cell r="B1899" t="str">
            <v>LYQ-1010</v>
          </cell>
        </row>
        <row r="1900">
          <cell r="A1900" t="str">
            <v>LYQ-K1010-W0-XS</v>
          </cell>
          <cell r="B1900" t="str">
            <v>LYQ-1010</v>
          </cell>
        </row>
        <row r="1901">
          <cell r="A1901" t="str">
            <v>LYQ-K1010-Z0-2X</v>
          </cell>
          <cell r="B1901" t="str">
            <v>LYQ-1010</v>
          </cell>
        </row>
        <row r="1902">
          <cell r="A1902" t="str">
            <v>LYQ-K1010-Z0-L</v>
          </cell>
          <cell r="B1902" t="str">
            <v>LYQ-1010</v>
          </cell>
        </row>
        <row r="1903">
          <cell r="A1903" t="str">
            <v>LYQ-K1010-Z0-M</v>
          </cell>
          <cell r="B1903" t="str">
            <v>LYQ-1010</v>
          </cell>
        </row>
        <row r="1904">
          <cell r="A1904" t="str">
            <v>LYQ-K1010-Z0-S</v>
          </cell>
          <cell r="B1904" t="str">
            <v>LYQ-1010</v>
          </cell>
        </row>
        <row r="1905">
          <cell r="A1905" t="str">
            <v>LYQ-K1010-Z0-XL</v>
          </cell>
          <cell r="B1905" t="str">
            <v>LYQ-1010</v>
          </cell>
        </row>
        <row r="1906">
          <cell r="A1906" t="str">
            <v>LYQ-K1010-Z0-XS</v>
          </cell>
          <cell r="B1906" t="str">
            <v>LYQ-1010</v>
          </cell>
        </row>
        <row r="1907">
          <cell r="A1907" t="str">
            <v>LYQ-LB01</v>
          </cell>
          <cell r="B1907" t="str">
            <v>LYQ-LB01</v>
          </cell>
        </row>
        <row r="1908">
          <cell r="A1908" t="str">
            <v>LYQ-LB01-G0-L</v>
          </cell>
          <cell r="B1908" t="str">
            <v>LYQ-LB01</v>
          </cell>
        </row>
        <row r="1909">
          <cell r="A1909" t="str">
            <v>LYQ-LB01-G0-M</v>
          </cell>
          <cell r="B1909" t="str">
            <v>LYQ-LB01</v>
          </cell>
        </row>
        <row r="1910">
          <cell r="A1910" t="str">
            <v>LYQ-LB01-G0-S</v>
          </cell>
          <cell r="B1910" t="str">
            <v>LYQ-LB01</v>
          </cell>
        </row>
        <row r="1911">
          <cell r="A1911" t="str">
            <v>LYQ-LB01-G0-XL</v>
          </cell>
          <cell r="B1911" t="str">
            <v>LYQ-LB01</v>
          </cell>
        </row>
        <row r="1912">
          <cell r="A1912" t="str">
            <v>LYQ-LB01-K0-L</v>
          </cell>
          <cell r="B1912" t="str">
            <v>LYQ-LB01</v>
          </cell>
        </row>
        <row r="1913">
          <cell r="A1913" t="str">
            <v>LYQ-LB01-K0-L-GM</v>
          </cell>
          <cell r="B1913" t="str">
            <v>LYQ-LB01</v>
          </cell>
        </row>
        <row r="1914">
          <cell r="A1914" t="str">
            <v>LYQ-LB01-K0-M</v>
          </cell>
          <cell r="B1914" t="str">
            <v>LYQ-LB01</v>
          </cell>
        </row>
        <row r="1915">
          <cell r="A1915" t="str">
            <v>LYQ-LB01-K0-S</v>
          </cell>
          <cell r="B1915" t="str">
            <v>LYQ-LB01</v>
          </cell>
        </row>
        <row r="1916">
          <cell r="A1916" t="str">
            <v>LYQ-LB01-K0-XL</v>
          </cell>
          <cell r="B1916" t="str">
            <v>LYQ-LB01</v>
          </cell>
        </row>
        <row r="1917">
          <cell r="A1917" t="str">
            <v>LYQ-LB01-K0-XL-GM</v>
          </cell>
          <cell r="B1917" t="str">
            <v>LYQ-LB01</v>
          </cell>
        </row>
        <row r="1918">
          <cell r="A1918" t="str">
            <v>LYQ-LB01-R0-L</v>
          </cell>
          <cell r="B1918" t="str">
            <v>LYQ-LB01</v>
          </cell>
        </row>
        <row r="1919">
          <cell r="A1919" t="str">
            <v>LYQ-LB01-R0-M</v>
          </cell>
          <cell r="B1919" t="str">
            <v>LYQ-LB01</v>
          </cell>
        </row>
        <row r="1920">
          <cell r="A1920" t="str">
            <v>LYQ-LB01-R0-S</v>
          </cell>
          <cell r="B1920" t="str">
            <v>LYQ-LB01</v>
          </cell>
        </row>
        <row r="1921">
          <cell r="A1921" t="str">
            <v>LYQ-LB01-R0-XL</v>
          </cell>
          <cell r="B1921" t="str">
            <v>LYQ-LB01</v>
          </cell>
        </row>
        <row r="1922">
          <cell r="A1922" t="str">
            <v>LYQ-LB01-Wi-L</v>
          </cell>
          <cell r="B1922" t="str">
            <v>LYQ-LB01</v>
          </cell>
        </row>
        <row r="1923">
          <cell r="A1923" t="str">
            <v>LYQ-LB01-Wi-M</v>
          </cell>
          <cell r="B1923" t="str">
            <v>LYQ-LB01</v>
          </cell>
        </row>
        <row r="1924">
          <cell r="A1924" t="str">
            <v>LYQ-LB01-Wi-S</v>
          </cell>
          <cell r="B1924" t="str">
            <v>LYQ-LB01</v>
          </cell>
        </row>
        <row r="1925">
          <cell r="A1925" t="str">
            <v>LYQ-LB01-Wi-XL</v>
          </cell>
          <cell r="B1925" t="str">
            <v>LYQ-LB01</v>
          </cell>
        </row>
        <row r="1926">
          <cell r="A1926" t="str">
            <v>LYQ-LS06</v>
          </cell>
          <cell r="B1926" t="str">
            <v>LYQ-LS06</v>
          </cell>
        </row>
        <row r="1927">
          <cell r="A1927" t="str">
            <v>LYQ-LS06-E0-L</v>
          </cell>
          <cell r="B1927" t="str">
            <v>LYQ-LS06</v>
          </cell>
        </row>
        <row r="1928">
          <cell r="A1928" t="str">
            <v>LYQ-LS06-E0-M</v>
          </cell>
          <cell r="B1928" t="str">
            <v>LYQ-LS06</v>
          </cell>
        </row>
        <row r="1929">
          <cell r="A1929" t="str">
            <v>LYQ-LS06-E0-S</v>
          </cell>
          <cell r="B1929" t="str">
            <v>LYQ-LS06</v>
          </cell>
        </row>
        <row r="1930">
          <cell r="A1930" t="str">
            <v>LYQ-LS06-E0-XL</v>
          </cell>
          <cell r="B1930" t="str">
            <v>LYQ-LS06</v>
          </cell>
        </row>
        <row r="1931">
          <cell r="A1931" t="str">
            <v>LYQ-LS06-K0-L</v>
          </cell>
          <cell r="B1931" t="str">
            <v>LYQ-LS06</v>
          </cell>
        </row>
        <row r="1932">
          <cell r="A1932" t="str">
            <v>LYQ-LS06-K0-M</v>
          </cell>
          <cell r="B1932" t="str">
            <v>LYQ-LS06</v>
          </cell>
        </row>
        <row r="1933">
          <cell r="A1933" t="str">
            <v>LYQ-LS06-K0-S</v>
          </cell>
          <cell r="B1933" t="str">
            <v>LYQ-LS06</v>
          </cell>
        </row>
        <row r="1934">
          <cell r="A1934" t="str">
            <v>LYQ-LS06-K0-XL</v>
          </cell>
          <cell r="B1934" t="str">
            <v>LYQ-LS06</v>
          </cell>
        </row>
        <row r="1935">
          <cell r="A1935" t="str">
            <v>LYQ-LS06-N5-L</v>
          </cell>
          <cell r="B1935" t="str">
            <v>LYQ-LS06</v>
          </cell>
        </row>
        <row r="1936">
          <cell r="A1936" t="str">
            <v>LYQ-LS06-N5-M</v>
          </cell>
          <cell r="B1936" t="str">
            <v>LYQ-LS06</v>
          </cell>
        </row>
        <row r="1937">
          <cell r="A1937" t="str">
            <v>LYQ-LS06-N5-S</v>
          </cell>
          <cell r="B1937" t="str">
            <v>LYQ-LS06</v>
          </cell>
        </row>
        <row r="1938">
          <cell r="A1938" t="str">
            <v>LYQ-LS06-N5-XL</v>
          </cell>
          <cell r="B1938" t="str">
            <v>LYQ-LS06</v>
          </cell>
        </row>
        <row r="1939">
          <cell r="A1939" t="str">
            <v>LYQ-LY014-K0-XL</v>
          </cell>
          <cell r="B1939" t="str">
            <v>LYQ-LY014</v>
          </cell>
        </row>
        <row r="1940">
          <cell r="A1940" t="str">
            <v>LYQ-LY064-B0-3XL</v>
          </cell>
          <cell r="B1940" t="str">
            <v>LYQ-LY064</v>
          </cell>
        </row>
        <row r="1941">
          <cell r="A1941" t="str">
            <v>LYQ-LY064-B0-4XL</v>
          </cell>
          <cell r="B1941" t="str">
            <v>LYQ-LY064</v>
          </cell>
        </row>
        <row r="1942">
          <cell r="A1942" t="str">
            <v>LYQ-LY064-B0-5XL</v>
          </cell>
          <cell r="B1942" t="str">
            <v>LYQ-LY064</v>
          </cell>
        </row>
        <row r="1943">
          <cell r="A1943" t="str">
            <v>LYQ-LY064-B0-L</v>
          </cell>
          <cell r="B1943" t="str">
            <v>LYQ-LY064</v>
          </cell>
        </row>
        <row r="1944">
          <cell r="A1944" t="str">
            <v>LYQ-LY064-B0-M</v>
          </cell>
          <cell r="B1944" t="str">
            <v>LYQ-LY064</v>
          </cell>
        </row>
        <row r="1945">
          <cell r="A1945" t="str">
            <v>LYQ-LY064-G0-3XL</v>
          </cell>
          <cell r="B1945" t="str">
            <v>LYQ-LY064</v>
          </cell>
        </row>
        <row r="1946">
          <cell r="A1946" t="str">
            <v>LYQ-LY064-G0-L</v>
          </cell>
          <cell r="B1946" t="str">
            <v>LYQ-LY064</v>
          </cell>
        </row>
        <row r="1947">
          <cell r="A1947" t="str">
            <v>LYQ-LY064-G0-M</v>
          </cell>
          <cell r="B1947" t="str">
            <v>LYQ-LY064</v>
          </cell>
        </row>
        <row r="1948">
          <cell r="A1948" t="str">
            <v>LYQ-LY064-K0-2XL</v>
          </cell>
          <cell r="B1948" t="str">
            <v>LYQ-LY064</v>
          </cell>
        </row>
        <row r="1949">
          <cell r="A1949" t="str">
            <v>LYQ-LY064-K0-3XL</v>
          </cell>
          <cell r="B1949" t="str">
            <v>LYQ-LY064</v>
          </cell>
        </row>
        <row r="1950">
          <cell r="A1950" t="str">
            <v>LYQ-LY064-K0-4XL</v>
          </cell>
          <cell r="B1950" t="str">
            <v>LYQ-LY064</v>
          </cell>
        </row>
        <row r="1951">
          <cell r="A1951" t="str">
            <v>LYQ-LY064-K0-L</v>
          </cell>
          <cell r="B1951" t="str">
            <v>LYQ-LY064</v>
          </cell>
        </row>
        <row r="1952">
          <cell r="A1952" t="str">
            <v>LYQ-LY064-K0-M</v>
          </cell>
          <cell r="B1952" t="str">
            <v>LYQ-LY064</v>
          </cell>
        </row>
        <row r="1953">
          <cell r="A1953" t="str">
            <v>LYQ-LY064-K0-S</v>
          </cell>
          <cell r="B1953" t="str">
            <v>LYQ-LY064</v>
          </cell>
        </row>
        <row r="1954">
          <cell r="A1954" t="str">
            <v>LYQ-LY064-OR-4XL</v>
          </cell>
          <cell r="B1954" t="str">
            <v>LYQ-LY064</v>
          </cell>
        </row>
        <row r="1955">
          <cell r="A1955" t="str">
            <v>LYQ-LY064-OR-5XL</v>
          </cell>
          <cell r="B1955" t="str">
            <v>LYQ-LY064</v>
          </cell>
        </row>
        <row r="1956">
          <cell r="A1956" t="str">
            <v>LYQ-LY064-OR-M</v>
          </cell>
          <cell r="B1956" t="str">
            <v>LYQ-LY064</v>
          </cell>
        </row>
        <row r="1957">
          <cell r="A1957" t="str">
            <v>LYQ-LY064-OR-S</v>
          </cell>
          <cell r="B1957" t="str">
            <v>LYQ-LY064</v>
          </cell>
        </row>
        <row r="1958">
          <cell r="A1958" t="str">
            <v>LYQ-MY4600-N0-L</v>
          </cell>
          <cell r="B1958" t="str">
            <v>LYQ-MY4600</v>
          </cell>
        </row>
        <row r="1959">
          <cell r="A1959" t="str">
            <v>LYQ-MY6287</v>
          </cell>
          <cell r="B1959" t="str">
            <v>LYQ-MY6287</v>
          </cell>
        </row>
        <row r="1960">
          <cell r="A1960" t="str">
            <v>LYQ-MY6287-00-L</v>
          </cell>
          <cell r="B1960" t="str">
            <v>LYQ-MY6287</v>
          </cell>
        </row>
        <row r="1961">
          <cell r="A1961" t="str">
            <v>LYQ-MY6287-00-M</v>
          </cell>
          <cell r="B1961" t="str">
            <v>LYQ-MY6287</v>
          </cell>
        </row>
        <row r="1962">
          <cell r="A1962" t="str">
            <v>LYQ-MY6287-00-S</v>
          </cell>
          <cell r="B1962" t="str">
            <v>LYQ-MY6287</v>
          </cell>
        </row>
        <row r="1963">
          <cell r="A1963" t="str">
            <v>LYQ-MY6287-00-XL</v>
          </cell>
          <cell r="B1963" t="str">
            <v>LYQ-MY6287</v>
          </cell>
        </row>
        <row r="1964">
          <cell r="A1964" t="str">
            <v>LYQ-MY6287-B0-L</v>
          </cell>
          <cell r="B1964" t="str">
            <v>LYQ-MY6287</v>
          </cell>
        </row>
        <row r="1965">
          <cell r="A1965" t="str">
            <v>LYQ-MY6287-B0-M</v>
          </cell>
          <cell r="B1965" t="str">
            <v>LYQ-MY6287</v>
          </cell>
        </row>
        <row r="1966">
          <cell r="A1966" t="str">
            <v>LYQ-MY6287-B0-S</v>
          </cell>
          <cell r="B1966" t="str">
            <v>LYQ-MY6287</v>
          </cell>
        </row>
        <row r="1967">
          <cell r="A1967" t="str">
            <v>LYQ-MY6287-B0-XL</v>
          </cell>
          <cell r="B1967" t="str">
            <v>LYQ-MY6287</v>
          </cell>
        </row>
        <row r="1968">
          <cell r="A1968" t="str">
            <v>LYQ-MY6287-BD-L</v>
          </cell>
          <cell r="B1968" t="str">
            <v>LYQ-MY6287</v>
          </cell>
        </row>
        <row r="1969">
          <cell r="A1969" t="str">
            <v>LYQ-MY6287-BD-M</v>
          </cell>
          <cell r="B1969" t="str">
            <v>LYQ-MY6287</v>
          </cell>
        </row>
        <row r="1970">
          <cell r="A1970" t="str">
            <v>LYQ-MY6287-BD-S</v>
          </cell>
          <cell r="B1970" t="str">
            <v>LYQ-MY6287</v>
          </cell>
        </row>
        <row r="1971">
          <cell r="A1971" t="str">
            <v>LYQ-MY6287-BD-XL</v>
          </cell>
          <cell r="B1971" t="str">
            <v>LYQ-MY6287</v>
          </cell>
        </row>
        <row r="1972">
          <cell r="A1972" t="str">
            <v>LYQ-MY6287-E0-L</v>
          </cell>
          <cell r="B1972" t="str">
            <v>LYQ-MY6287</v>
          </cell>
        </row>
        <row r="1973">
          <cell r="A1973" t="str">
            <v>LYQ-MY6287-E0-M</v>
          </cell>
          <cell r="B1973" t="str">
            <v>LYQ-MY6287</v>
          </cell>
        </row>
        <row r="1974">
          <cell r="A1974" t="str">
            <v>LYQ-MY6287-E0-S</v>
          </cell>
          <cell r="B1974" t="str">
            <v>LYQ-MY6287</v>
          </cell>
        </row>
        <row r="1975">
          <cell r="A1975" t="str">
            <v>LYQ-MY6287-E0-XL</v>
          </cell>
          <cell r="B1975" t="str">
            <v>LYQ-MY6287</v>
          </cell>
        </row>
        <row r="1976">
          <cell r="A1976" t="str">
            <v>LYQ-MY6287-FB-L</v>
          </cell>
          <cell r="B1976" t="str">
            <v>LYQ-MY6287</v>
          </cell>
        </row>
        <row r="1977">
          <cell r="A1977" t="str">
            <v>LYQ-MY6287-FB-M</v>
          </cell>
          <cell r="B1977" t="str">
            <v>LYQ-MY6287</v>
          </cell>
        </row>
        <row r="1978">
          <cell r="A1978" t="str">
            <v>LYQ-MY6287-FB-S</v>
          </cell>
          <cell r="B1978" t="str">
            <v>LYQ-MY6287</v>
          </cell>
        </row>
        <row r="1979">
          <cell r="A1979" t="str">
            <v>LYQ-MY6287-FB-XL</v>
          </cell>
          <cell r="B1979" t="str">
            <v>LYQ-MY6287</v>
          </cell>
        </row>
        <row r="1980">
          <cell r="A1980" t="str">
            <v>LYQ-MY6287-G0-L</v>
          </cell>
          <cell r="B1980" t="str">
            <v>LYQ-MY6287</v>
          </cell>
        </row>
        <row r="1981">
          <cell r="A1981" t="str">
            <v>LYQ-MY6287-G0-M</v>
          </cell>
          <cell r="B1981" t="str">
            <v>LYQ-MY6287</v>
          </cell>
        </row>
        <row r="1982">
          <cell r="A1982" t="str">
            <v>LYQ-MY6287-G0-S</v>
          </cell>
          <cell r="B1982" t="str">
            <v>LYQ-MY6287</v>
          </cell>
        </row>
        <row r="1983">
          <cell r="A1983" t="str">
            <v>LYQ-MY6287-G0-XL</v>
          </cell>
          <cell r="B1983" t="str">
            <v>LYQ-MY6287</v>
          </cell>
        </row>
        <row r="1984">
          <cell r="A1984" t="str">
            <v>LYQ-MY6287-G7-L</v>
          </cell>
          <cell r="B1984" t="str">
            <v>LYQ-MY6287</v>
          </cell>
        </row>
        <row r="1985">
          <cell r="A1985" t="str">
            <v>LYQ-MY6287-G7-M</v>
          </cell>
          <cell r="B1985" t="str">
            <v>LYQ-MY6287</v>
          </cell>
        </row>
        <row r="1986">
          <cell r="A1986" t="str">
            <v>LYQ-MY6287-G7-S</v>
          </cell>
          <cell r="B1986" t="str">
            <v>LYQ-MY6287</v>
          </cell>
        </row>
        <row r="1987">
          <cell r="A1987" t="str">
            <v>LYQ-MY6287-G7-XL</v>
          </cell>
          <cell r="B1987" t="str">
            <v>LYQ-MY6287</v>
          </cell>
        </row>
        <row r="1988">
          <cell r="A1988" t="str">
            <v>LYQ-MY6287-K0-L</v>
          </cell>
          <cell r="B1988" t="str">
            <v>LYQ-MY6287</v>
          </cell>
        </row>
        <row r="1989">
          <cell r="A1989" t="str">
            <v>LYQ-MY6287-K0-M</v>
          </cell>
          <cell r="B1989" t="str">
            <v>LYQ-MY6287</v>
          </cell>
        </row>
        <row r="1990">
          <cell r="A1990" t="str">
            <v>LYQ-MY6287-K0-S</v>
          </cell>
          <cell r="B1990" t="str">
            <v>LYQ-MY6287</v>
          </cell>
        </row>
        <row r="1991">
          <cell r="A1991" t="str">
            <v>LYQ-MY6287-K0-XL</v>
          </cell>
          <cell r="B1991" t="str">
            <v>LYQ-MY6287</v>
          </cell>
        </row>
        <row r="1992">
          <cell r="A1992" t="str">
            <v>LYQ-MY6287-N5-L</v>
          </cell>
          <cell r="B1992" t="str">
            <v>LYQ-MY6287</v>
          </cell>
        </row>
        <row r="1993">
          <cell r="A1993" t="str">
            <v>LYQ-MY6287-N5-M</v>
          </cell>
          <cell r="B1993" t="str">
            <v>LYQ-MY6287</v>
          </cell>
        </row>
        <row r="1994">
          <cell r="A1994" t="str">
            <v>LYQ-MY6287-N5-S</v>
          </cell>
          <cell r="B1994" t="str">
            <v>LYQ-MY6287</v>
          </cell>
        </row>
        <row r="1995">
          <cell r="A1995" t="str">
            <v>LYQ-MY6287-P0-L</v>
          </cell>
          <cell r="B1995" t="str">
            <v>LYQ-MY6287</v>
          </cell>
        </row>
        <row r="1996">
          <cell r="A1996" t="str">
            <v>LYQ-MY6287-P0-M</v>
          </cell>
          <cell r="B1996" t="str">
            <v>LYQ-MY6287</v>
          </cell>
        </row>
        <row r="1997">
          <cell r="A1997" t="str">
            <v>LYQ-MY6287-P0-S</v>
          </cell>
          <cell r="B1997" t="str">
            <v>LYQ-MY6287</v>
          </cell>
        </row>
        <row r="1998">
          <cell r="A1998" t="str">
            <v>LYQ-MY6287-P0-XL</v>
          </cell>
          <cell r="B1998" t="str">
            <v>LYQ-MY6287</v>
          </cell>
        </row>
        <row r="1999">
          <cell r="A1999" t="str">
            <v>LYQ-MY6287-R0-L</v>
          </cell>
          <cell r="B1999" t="str">
            <v>LYQ-MY6287</v>
          </cell>
        </row>
        <row r="2000">
          <cell r="A2000" t="str">
            <v>LYQ-MY6287-R0-M</v>
          </cell>
          <cell r="B2000" t="str">
            <v>LYQ-MY6287</v>
          </cell>
        </row>
        <row r="2001">
          <cell r="A2001" t="str">
            <v>LYQ-MY6287-R0-S</v>
          </cell>
          <cell r="B2001" t="str">
            <v>LYQ-MY6287</v>
          </cell>
        </row>
        <row r="2002">
          <cell r="A2002" t="str">
            <v>LYQ-MY6287-R0-XL</v>
          </cell>
          <cell r="B2002" t="str">
            <v>LYQ-MY6287</v>
          </cell>
        </row>
        <row r="2003">
          <cell r="A2003" t="str">
            <v>LYQ-MY6287-R2-L</v>
          </cell>
          <cell r="B2003" t="str">
            <v>LYQ-MY6287</v>
          </cell>
        </row>
        <row r="2004">
          <cell r="A2004" t="str">
            <v>LYQ-MY6287-R2-M</v>
          </cell>
          <cell r="B2004" t="str">
            <v>LYQ-MY6287</v>
          </cell>
        </row>
        <row r="2005">
          <cell r="A2005" t="str">
            <v>LYQ-MY6287-R2-S</v>
          </cell>
          <cell r="B2005" t="str">
            <v>LYQ-MY6287</v>
          </cell>
        </row>
        <row r="2006">
          <cell r="A2006" t="str">
            <v>LYQ-MY6287-R2-XL</v>
          </cell>
          <cell r="B2006" t="str">
            <v>LYQ-MY6287</v>
          </cell>
        </row>
        <row r="2007">
          <cell r="A2007" t="str">
            <v>LYQ-MY6287-R6-L</v>
          </cell>
          <cell r="B2007" t="str">
            <v>LYQ-MY6287</v>
          </cell>
        </row>
        <row r="2008">
          <cell r="A2008" t="str">
            <v>LYQ-MY6287-R6-M</v>
          </cell>
          <cell r="B2008" t="str">
            <v>LYQ-MY6287</v>
          </cell>
        </row>
        <row r="2009">
          <cell r="A2009" t="str">
            <v>LYQ-MY6287-W0-L</v>
          </cell>
          <cell r="B2009" t="str">
            <v>LYQ-MY6287</v>
          </cell>
        </row>
        <row r="2010">
          <cell r="A2010" t="str">
            <v>LYQ-MY6287-W0-M</v>
          </cell>
          <cell r="B2010" t="str">
            <v>LYQ-MY6287</v>
          </cell>
        </row>
        <row r="2011">
          <cell r="A2011" t="str">
            <v>LYQ-MY6287-W0-S</v>
          </cell>
          <cell r="B2011" t="str">
            <v>LYQ-MY6287</v>
          </cell>
        </row>
        <row r="2012">
          <cell r="A2012" t="str">
            <v>LYQ-MY6287-W0-XL</v>
          </cell>
          <cell r="B2012" t="str">
            <v>LYQ-MY6287</v>
          </cell>
        </row>
        <row r="2013">
          <cell r="A2013" t="str">
            <v>LYQ-MY6287-XS-L</v>
          </cell>
          <cell r="B2013" t="str">
            <v>LYQ-MY6287</v>
          </cell>
        </row>
        <row r="2014">
          <cell r="A2014" t="str">
            <v>LYQ-MY6287-XS-M</v>
          </cell>
          <cell r="B2014" t="str">
            <v>LYQ-MY6287</v>
          </cell>
        </row>
        <row r="2015">
          <cell r="A2015" t="str">
            <v>LYQ-MY6287-XS-S</v>
          </cell>
          <cell r="B2015" t="str">
            <v>LYQ-MY6287</v>
          </cell>
        </row>
        <row r="2016">
          <cell r="A2016" t="str">
            <v>LYQ-MY6287-Y0-L</v>
          </cell>
          <cell r="B2016" t="str">
            <v>LYQ-MY6287</v>
          </cell>
        </row>
        <row r="2017">
          <cell r="A2017" t="str">
            <v>LYQ--MY-MX02-K0-L</v>
          </cell>
          <cell r="B2017" t="str">
            <v>LYQ--MY-MX02</v>
          </cell>
        </row>
        <row r="2018">
          <cell r="A2018" t="str">
            <v>LYQ--MY-MX02-K0-M</v>
          </cell>
          <cell r="B2018" t="str">
            <v>LYQ--MY-MX02</v>
          </cell>
        </row>
        <row r="2019">
          <cell r="A2019" t="str">
            <v>LYQ--MY-MX02-K0-S</v>
          </cell>
          <cell r="B2019" t="str">
            <v>LYQ--MY-MX02</v>
          </cell>
        </row>
        <row r="2020">
          <cell r="A2020" t="str">
            <v>LYQ--MY-MX02-K0-XL</v>
          </cell>
          <cell r="B2020" t="str">
            <v>LYQ--MY-MX02</v>
          </cell>
        </row>
        <row r="2021">
          <cell r="A2021" t="str">
            <v>LYQ--MY-MX02-N0-L</v>
          </cell>
          <cell r="B2021" t="str">
            <v>LYQ--MY-MX02</v>
          </cell>
        </row>
        <row r="2022">
          <cell r="A2022" t="str">
            <v>LYQ--MY-MX02-N0-M</v>
          </cell>
          <cell r="B2022" t="str">
            <v>LYQ--MY-MX02</v>
          </cell>
        </row>
        <row r="2023">
          <cell r="A2023" t="str">
            <v>LYQ--MY-MX02-N0-S</v>
          </cell>
          <cell r="B2023" t="str">
            <v>LYQ--MY-MX02</v>
          </cell>
        </row>
        <row r="2024">
          <cell r="A2024" t="str">
            <v>LYQ--MY-MX02-N0-XL</v>
          </cell>
          <cell r="B2024" t="str">
            <v>LYQ--MY-MX02</v>
          </cell>
        </row>
        <row r="2025">
          <cell r="A2025" t="str">
            <v>LYQ--MY-MX02-P0-L</v>
          </cell>
          <cell r="B2025" t="str">
            <v>LYQ--MY-MX02</v>
          </cell>
        </row>
        <row r="2026">
          <cell r="A2026" t="str">
            <v>LYQ--MY-MX02-P0-M</v>
          </cell>
          <cell r="B2026" t="str">
            <v>LYQ--MY-MX02</v>
          </cell>
        </row>
        <row r="2027">
          <cell r="A2027" t="str">
            <v>LYQ--MY-MX02-P0-S</v>
          </cell>
          <cell r="B2027" t="str">
            <v>LYQ--MY-MX02</v>
          </cell>
        </row>
        <row r="2028">
          <cell r="A2028" t="str">
            <v>LYQ--MY-MX02-P0-XL</v>
          </cell>
          <cell r="B2028" t="str">
            <v>LYQ--MY-MX02</v>
          </cell>
        </row>
        <row r="2029">
          <cell r="A2029" t="str">
            <v>LYQ--MY-MX02-R0-L</v>
          </cell>
          <cell r="B2029" t="str">
            <v>LYQ--MY-MX02</v>
          </cell>
        </row>
        <row r="2030">
          <cell r="A2030" t="str">
            <v>LYQ--MY-MX02-R0-M</v>
          </cell>
          <cell r="B2030" t="str">
            <v>LYQ--MY-MX02</v>
          </cell>
        </row>
        <row r="2031">
          <cell r="A2031" t="str">
            <v>LYQ--MY-MX02-R0-S</v>
          </cell>
          <cell r="B2031" t="str">
            <v>LYQ--MY-MX02</v>
          </cell>
        </row>
        <row r="2032">
          <cell r="A2032" t="str">
            <v>LYQ--MY-MX02-R0-XL</v>
          </cell>
          <cell r="B2032" t="str">
            <v>LYQ--MY-MX02</v>
          </cell>
        </row>
        <row r="2033">
          <cell r="A2033" t="str">
            <v>LYQ-NA1010-B0-2X</v>
          </cell>
          <cell r="B2033" t="str">
            <v>LYQ-NA1010</v>
          </cell>
        </row>
        <row r="2034">
          <cell r="A2034" t="str">
            <v>LYQ-NA1010-B0-L</v>
          </cell>
          <cell r="B2034" t="str">
            <v>LYQ-NA1010</v>
          </cell>
        </row>
        <row r="2035">
          <cell r="A2035" t="str">
            <v>LYQ-NA1010-B0-M</v>
          </cell>
          <cell r="B2035" t="str">
            <v>LYQ-NA1010</v>
          </cell>
        </row>
        <row r="2036">
          <cell r="A2036" t="str">
            <v>LYQ-NA1010-B0-S</v>
          </cell>
          <cell r="B2036" t="str">
            <v>LYQ-NA1010</v>
          </cell>
        </row>
        <row r="2037">
          <cell r="A2037" t="str">
            <v>LYQ-NA1010-B0-XL</v>
          </cell>
          <cell r="B2037" t="str">
            <v>LYQ-NA1010</v>
          </cell>
        </row>
        <row r="2038">
          <cell r="A2038" t="str">
            <v>LYQ-NA1010-B0-XS</v>
          </cell>
          <cell r="B2038" t="str">
            <v>LYQ-NA1010</v>
          </cell>
        </row>
        <row r="2039">
          <cell r="A2039" t="str">
            <v>LYQ-NA1010-G0-2X</v>
          </cell>
          <cell r="B2039" t="str">
            <v>LYQ-NA1010</v>
          </cell>
        </row>
        <row r="2040">
          <cell r="A2040" t="str">
            <v>LYQ-NA1010-G0-L</v>
          </cell>
          <cell r="B2040" t="str">
            <v>LYQ-NA1010</v>
          </cell>
        </row>
        <row r="2041">
          <cell r="A2041" t="str">
            <v>LYQ-NA1010-G0-M</v>
          </cell>
          <cell r="B2041" t="str">
            <v>LYQ-NA1010</v>
          </cell>
        </row>
        <row r="2042">
          <cell r="A2042" t="str">
            <v>LYQ-NA1010-G0-S</v>
          </cell>
          <cell r="B2042" t="str">
            <v>LYQ-NA1010</v>
          </cell>
        </row>
        <row r="2043">
          <cell r="A2043" t="str">
            <v>LYQ-NA1010-G0-XL</v>
          </cell>
          <cell r="B2043" t="str">
            <v>LYQ-NA1010</v>
          </cell>
        </row>
        <row r="2044">
          <cell r="A2044" t="str">
            <v>LYQ-NA1010-G0-XS</v>
          </cell>
          <cell r="B2044" t="str">
            <v>LYQ-NA1010</v>
          </cell>
        </row>
        <row r="2045">
          <cell r="A2045" t="str">
            <v>LYQ-NA1010-G7-2X</v>
          </cell>
          <cell r="B2045" t="str">
            <v>LYQ-NA1010</v>
          </cell>
        </row>
        <row r="2046">
          <cell r="A2046" t="str">
            <v>LYQ-NA1010-G7-L</v>
          </cell>
          <cell r="B2046" t="str">
            <v>LYQ-NA1010</v>
          </cell>
        </row>
        <row r="2047">
          <cell r="A2047" t="str">
            <v>LYQ-NA1010-G7-M</v>
          </cell>
          <cell r="B2047" t="str">
            <v>LYQ-NA1010</v>
          </cell>
        </row>
        <row r="2048">
          <cell r="A2048" t="str">
            <v>LYQ-NA1010-G7-S</v>
          </cell>
          <cell r="B2048" t="str">
            <v>LYQ-NA1010</v>
          </cell>
        </row>
        <row r="2049">
          <cell r="A2049" t="str">
            <v>LYQ-NA1010-G7-XL</v>
          </cell>
          <cell r="B2049" t="str">
            <v>LYQ-NA1010</v>
          </cell>
        </row>
        <row r="2050">
          <cell r="A2050" t="str">
            <v>LYQ-NA1010-G7-XS</v>
          </cell>
          <cell r="B2050" t="str">
            <v>LYQ-NA1010</v>
          </cell>
        </row>
        <row r="2051">
          <cell r="A2051" t="str">
            <v>LYQ-NA1010-K0-2X</v>
          </cell>
          <cell r="B2051" t="str">
            <v>LYQ-NA1010</v>
          </cell>
        </row>
        <row r="2052">
          <cell r="A2052" t="str">
            <v>LYQ-NA1010-K0-L</v>
          </cell>
          <cell r="B2052" t="str">
            <v>LYQ-NA1010</v>
          </cell>
        </row>
        <row r="2053">
          <cell r="A2053" t="str">
            <v>LYQ-NA1010-K0-M</v>
          </cell>
          <cell r="B2053" t="str">
            <v>LYQ-NA1010</v>
          </cell>
        </row>
        <row r="2054">
          <cell r="A2054" t="str">
            <v>LYQ-NA1010-K0-S</v>
          </cell>
          <cell r="B2054" t="str">
            <v>LYQ-NA1010</v>
          </cell>
        </row>
        <row r="2055">
          <cell r="A2055" t="str">
            <v>LYQ-NA1010-K0-XL</v>
          </cell>
          <cell r="B2055" t="str">
            <v>LYQ-NA1010</v>
          </cell>
        </row>
        <row r="2056">
          <cell r="A2056" t="str">
            <v>LYQ-NA1010-K0-XS</v>
          </cell>
          <cell r="B2056" t="str">
            <v>LYQ-NA1010</v>
          </cell>
        </row>
        <row r="2057">
          <cell r="A2057" t="str">
            <v>LYQ-NA1010-KQ-2X</v>
          </cell>
          <cell r="B2057" t="str">
            <v>LYQ-NA1010</v>
          </cell>
        </row>
        <row r="2058">
          <cell r="A2058" t="str">
            <v>LYQ-NA1010-KQ-L</v>
          </cell>
          <cell r="B2058" t="str">
            <v>LYQ-NA1010</v>
          </cell>
        </row>
        <row r="2059">
          <cell r="A2059" t="str">
            <v>LYQ-NA1010-KQ-M</v>
          </cell>
          <cell r="B2059" t="str">
            <v>LYQ-NA1010</v>
          </cell>
        </row>
        <row r="2060">
          <cell r="A2060" t="str">
            <v>LYQ-NA1010-KQ-S</v>
          </cell>
          <cell r="B2060" t="str">
            <v>LYQ-NA1010</v>
          </cell>
        </row>
        <row r="2061">
          <cell r="A2061" t="str">
            <v>LYQ-NA1010-KQ-XL</v>
          </cell>
          <cell r="B2061" t="str">
            <v>LYQ-NA1010</v>
          </cell>
        </row>
        <row r="2062">
          <cell r="A2062" t="str">
            <v>LYQ-NA1010-KQ-XS</v>
          </cell>
          <cell r="B2062" t="str">
            <v>LYQ-NA1010</v>
          </cell>
        </row>
        <row r="2063">
          <cell r="A2063" t="str">
            <v>LYQ-NA1010-N0-2X</v>
          </cell>
          <cell r="B2063" t="str">
            <v>LYQ-NA1010</v>
          </cell>
        </row>
        <row r="2064">
          <cell r="A2064" t="str">
            <v>LYQ-NA1010-N0-L</v>
          </cell>
          <cell r="B2064" t="str">
            <v>LYQ-NA1010</v>
          </cell>
        </row>
        <row r="2065">
          <cell r="A2065" t="str">
            <v>LYQ-NA1010-N0-M</v>
          </cell>
          <cell r="B2065" t="str">
            <v>LYQ-NA1010</v>
          </cell>
        </row>
        <row r="2066">
          <cell r="A2066" t="str">
            <v>LYQ-NA1010-N0-S</v>
          </cell>
          <cell r="B2066" t="str">
            <v>LYQ-NA1010</v>
          </cell>
        </row>
        <row r="2067">
          <cell r="A2067" t="str">
            <v>LYQ-NA1010-N0-XL</v>
          </cell>
          <cell r="B2067" t="str">
            <v>LYQ-NA1010</v>
          </cell>
        </row>
        <row r="2068">
          <cell r="A2068" t="str">
            <v>LYQ-NA1010-N0-XS</v>
          </cell>
          <cell r="B2068" t="str">
            <v>LYQ-NA1010</v>
          </cell>
        </row>
        <row r="2069">
          <cell r="A2069" t="str">
            <v>LYQ-NA1010-P0-2X</v>
          </cell>
          <cell r="B2069" t="str">
            <v>LYQ-NA1010</v>
          </cell>
        </row>
        <row r="2070">
          <cell r="A2070" t="str">
            <v>LYQ-NA1010-P0-L</v>
          </cell>
          <cell r="B2070" t="str">
            <v>LYQ-NA1010</v>
          </cell>
        </row>
        <row r="2071">
          <cell r="A2071" t="str">
            <v>LYQ-NA1010-P0-M</v>
          </cell>
          <cell r="B2071" t="str">
            <v>LYQ-NA1010</v>
          </cell>
        </row>
        <row r="2072">
          <cell r="A2072" t="str">
            <v>LYQ-NA1010-P0-S</v>
          </cell>
          <cell r="B2072" t="str">
            <v>LYQ-NA1010</v>
          </cell>
        </row>
        <row r="2073">
          <cell r="A2073" t="str">
            <v>LYQ-NA1010-P0-XL</v>
          </cell>
          <cell r="B2073" t="str">
            <v>LYQ-NA1010</v>
          </cell>
        </row>
        <row r="2074">
          <cell r="A2074" t="str">
            <v>LYQ-NA1010-P0-XS</v>
          </cell>
          <cell r="B2074" t="str">
            <v>LYQ-NA1010</v>
          </cell>
        </row>
        <row r="2075">
          <cell r="A2075" t="str">
            <v>LYQ-NA1010-R0-2X</v>
          </cell>
          <cell r="B2075" t="str">
            <v>LYQ-NA1010</v>
          </cell>
        </row>
        <row r="2076">
          <cell r="A2076" t="str">
            <v>LYQ-NA1010-R0-L</v>
          </cell>
          <cell r="B2076" t="str">
            <v>LYQ-NA1010</v>
          </cell>
        </row>
        <row r="2077">
          <cell r="A2077" t="str">
            <v>LYQ-NA1010-R0-M</v>
          </cell>
          <cell r="B2077" t="str">
            <v>LYQ-NA1010</v>
          </cell>
        </row>
        <row r="2078">
          <cell r="A2078" t="str">
            <v>LYQ-NA1010-R0-S</v>
          </cell>
          <cell r="B2078" t="str">
            <v>LYQ-NA1010</v>
          </cell>
        </row>
        <row r="2079">
          <cell r="A2079" t="str">
            <v>LYQ-NA1010-R0-XL</v>
          </cell>
          <cell r="B2079" t="str">
            <v>LYQ-NA1010</v>
          </cell>
        </row>
        <row r="2080">
          <cell r="A2080" t="str">
            <v>LYQ-NA1010-R0-XS</v>
          </cell>
          <cell r="B2080" t="str">
            <v>LYQ-NA1010</v>
          </cell>
        </row>
        <row r="2081">
          <cell r="A2081" t="str">
            <v>LYQ-NA1010-W0-2X</v>
          </cell>
          <cell r="B2081" t="str">
            <v>LYQ-NA1010</v>
          </cell>
        </row>
        <row r="2082">
          <cell r="A2082" t="str">
            <v>LYQ-NA1010-W0-L</v>
          </cell>
          <cell r="B2082" t="str">
            <v>LYQ-NA1010</v>
          </cell>
        </row>
        <row r="2083">
          <cell r="A2083" t="str">
            <v>LYQ-NA1010-W0-M</v>
          </cell>
          <cell r="B2083" t="str">
            <v>LYQ-NA1010</v>
          </cell>
        </row>
        <row r="2084">
          <cell r="A2084" t="str">
            <v>LYQ-NA1010-W0-S</v>
          </cell>
          <cell r="B2084" t="str">
            <v>LYQ-NA1010</v>
          </cell>
        </row>
        <row r="2085">
          <cell r="A2085" t="str">
            <v>LYQ-NA1010-W0-XL</v>
          </cell>
          <cell r="B2085" t="str">
            <v>LYQ-NA1010</v>
          </cell>
        </row>
        <row r="2086">
          <cell r="A2086" t="str">
            <v>LYQ-NA1010-W0-XS</v>
          </cell>
          <cell r="B2086" t="str">
            <v>LYQ-NA1010</v>
          </cell>
        </row>
        <row r="2087">
          <cell r="A2087" t="str">
            <v>LYQ-NA1010-Z0-2X</v>
          </cell>
          <cell r="B2087" t="str">
            <v>LYQ-NA1010</v>
          </cell>
        </row>
        <row r="2088">
          <cell r="A2088" t="str">
            <v>LYQ-NA1010-Z0-L</v>
          </cell>
          <cell r="B2088" t="str">
            <v>LYQ-NA1010</v>
          </cell>
        </row>
        <row r="2089">
          <cell r="A2089" t="str">
            <v>LYQ-NA1010-Z0-M</v>
          </cell>
          <cell r="B2089" t="str">
            <v>LYQ-NA1010</v>
          </cell>
        </row>
        <row r="2090">
          <cell r="A2090" t="str">
            <v>LYQ-NA1010-Z0-S</v>
          </cell>
          <cell r="B2090" t="str">
            <v>LYQ-NA1010</v>
          </cell>
        </row>
        <row r="2091">
          <cell r="A2091" t="str">
            <v>LYQ-NA1010-Z0-XL</v>
          </cell>
          <cell r="B2091" t="str">
            <v>LYQ-NA1010</v>
          </cell>
        </row>
        <row r="2092">
          <cell r="A2092" t="str">
            <v>LYQ-NA1010-Z0-XS</v>
          </cell>
          <cell r="B2092" t="str">
            <v>LYQ-NA1010</v>
          </cell>
        </row>
        <row r="2093">
          <cell r="A2093" t="str">
            <v>LYQ-SD16-BD-L</v>
          </cell>
          <cell r="B2093" t="str">
            <v>LYQ-SD16</v>
          </cell>
        </row>
        <row r="2094">
          <cell r="A2094" t="str">
            <v>LYQ-SD16-BD-M</v>
          </cell>
          <cell r="B2094" t="str">
            <v>LYQ-SD16</v>
          </cell>
        </row>
        <row r="2095">
          <cell r="A2095" t="str">
            <v>LYQ-SD16-BD-S</v>
          </cell>
          <cell r="B2095" t="str">
            <v>LYQ-SD16</v>
          </cell>
        </row>
        <row r="2096">
          <cell r="A2096" t="str">
            <v>LYQ-SD16-BD-XL</v>
          </cell>
          <cell r="B2096" t="str">
            <v>LYQ-SD16</v>
          </cell>
        </row>
        <row r="2097">
          <cell r="A2097" t="str">
            <v>LYQ-SD16-G7-L</v>
          </cell>
          <cell r="B2097" t="str">
            <v>LYQ-SD16</v>
          </cell>
        </row>
        <row r="2098">
          <cell r="A2098" t="str">
            <v>LYQ-SD16-G7-M</v>
          </cell>
          <cell r="B2098" t="str">
            <v>LYQ-SD16</v>
          </cell>
        </row>
        <row r="2099">
          <cell r="A2099" t="str">
            <v>LYQ-SD16-G7-S</v>
          </cell>
          <cell r="B2099" t="str">
            <v>LYQ-SD16</v>
          </cell>
        </row>
        <row r="2100">
          <cell r="A2100" t="str">
            <v>LYQ-SD16-G7-XL</v>
          </cell>
          <cell r="B2100" t="str">
            <v>LYQ-SD16</v>
          </cell>
        </row>
        <row r="2101">
          <cell r="A2101" t="str">
            <v>LYQ-SD16-K0-L</v>
          </cell>
          <cell r="B2101" t="str">
            <v>LYQ-SD16</v>
          </cell>
        </row>
        <row r="2102">
          <cell r="A2102" t="str">
            <v>LYQ-SD16-K0-M</v>
          </cell>
          <cell r="B2102" t="str">
            <v>LYQ-SD16</v>
          </cell>
        </row>
        <row r="2103">
          <cell r="A2103" t="str">
            <v>LYQ-SD16-K0-S</v>
          </cell>
          <cell r="B2103" t="str">
            <v>LYQ-SD16</v>
          </cell>
        </row>
        <row r="2104">
          <cell r="A2104" t="str">
            <v>LYQ-SD16-K0-XL</v>
          </cell>
          <cell r="B2104" t="str">
            <v>LYQ-SD16</v>
          </cell>
        </row>
        <row r="2105">
          <cell r="A2105" t="str">
            <v>LYQ-SD16-N0-L</v>
          </cell>
          <cell r="B2105" t="str">
            <v>LYQ-SD16</v>
          </cell>
        </row>
        <row r="2106">
          <cell r="A2106" t="str">
            <v>LYQ-SD16-N0-M</v>
          </cell>
          <cell r="B2106" t="str">
            <v>LYQ-SD16</v>
          </cell>
        </row>
        <row r="2107">
          <cell r="A2107" t="str">
            <v>LYQ-SD16-N0-S</v>
          </cell>
          <cell r="B2107" t="str">
            <v>LYQ-SD16</v>
          </cell>
        </row>
        <row r="2108">
          <cell r="A2108" t="str">
            <v>LYQ-SD16-N0-XL</v>
          </cell>
          <cell r="B2108" t="str">
            <v>LYQ-SD16</v>
          </cell>
        </row>
        <row r="2109">
          <cell r="A2109" t="str">
            <v>LYQ-SD16-Y0-L</v>
          </cell>
          <cell r="B2109" t="str">
            <v>LYQ-SD16</v>
          </cell>
        </row>
        <row r="2110">
          <cell r="A2110" t="str">
            <v>LYQ-SD16-Y0-M</v>
          </cell>
          <cell r="B2110" t="str">
            <v>LYQ-SD16</v>
          </cell>
        </row>
        <row r="2111">
          <cell r="A2111" t="str">
            <v>LYQ-SD16-Y0-S</v>
          </cell>
          <cell r="B2111" t="str">
            <v>LYQ-SD16</v>
          </cell>
        </row>
        <row r="2112">
          <cell r="A2112" t="str">
            <v>LYQ-SD16-Y0-XL</v>
          </cell>
          <cell r="B2112" t="str">
            <v>LYQ-SD16</v>
          </cell>
        </row>
        <row r="2113">
          <cell r="A2113" t="str">
            <v>LYQ-SD16-ZL-L</v>
          </cell>
          <cell r="B2113" t="str">
            <v>LYQ-SD16</v>
          </cell>
        </row>
        <row r="2114">
          <cell r="A2114" t="str">
            <v>LYQ-SD16-ZL-M</v>
          </cell>
          <cell r="B2114" t="str">
            <v>LYQ-SD16</v>
          </cell>
        </row>
        <row r="2115">
          <cell r="A2115" t="str">
            <v>LYQ-SD16-ZL-S</v>
          </cell>
          <cell r="B2115" t="str">
            <v>LYQ-SD16</v>
          </cell>
        </row>
        <row r="2116">
          <cell r="A2116" t="str">
            <v>LYQ-SD16-ZL-XL</v>
          </cell>
          <cell r="B2116" t="str">
            <v>LYQ-SD16</v>
          </cell>
        </row>
        <row r="2117">
          <cell r="A2117" t="str">
            <v>LYQ-TW03-B0-L</v>
          </cell>
          <cell r="B2117" t="str">
            <v>LYQ-TW03</v>
          </cell>
        </row>
        <row r="2118">
          <cell r="A2118" t="str">
            <v>LYQ-TW03-B0-M</v>
          </cell>
          <cell r="B2118" t="str">
            <v>LYQ-TW03</v>
          </cell>
        </row>
        <row r="2119">
          <cell r="A2119" t="str">
            <v>LYQ-TW03-B0-S</v>
          </cell>
          <cell r="B2119" t="str">
            <v>LYQ-TW03</v>
          </cell>
        </row>
        <row r="2120">
          <cell r="A2120" t="str">
            <v>LYQ-TW03-B0-XL</v>
          </cell>
          <cell r="B2120" t="str">
            <v>LYQ-TW03</v>
          </cell>
        </row>
        <row r="2121">
          <cell r="A2121" t="str">
            <v>LYQ-TW03-B0-XXL</v>
          </cell>
          <cell r="B2121" t="str">
            <v>LYQ-TW03</v>
          </cell>
        </row>
        <row r="2122">
          <cell r="A2122" t="str">
            <v>LYQ-TW03-K0-L</v>
          </cell>
          <cell r="B2122" t="str">
            <v>LYQ-TW03</v>
          </cell>
        </row>
        <row r="2123">
          <cell r="A2123" t="str">
            <v>LYQ-TW03-K0-M</v>
          </cell>
          <cell r="B2123" t="str">
            <v>LYQ-TW03</v>
          </cell>
        </row>
        <row r="2124">
          <cell r="A2124" t="str">
            <v>LYQ-TW03-K0-S</v>
          </cell>
          <cell r="B2124" t="str">
            <v>LYQ-TW03</v>
          </cell>
        </row>
        <row r="2125">
          <cell r="A2125" t="str">
            <v>LYQ-TW03-K0-XL</v>
          </cell>
          <cell r="B2125" t="str">
            <v>LYQ-TW03</v>
          </cell>
        </row>
        <row r="2126">
          <cell r="A2126" t="str">
            <v>LYQ-TW03-K0-XXL</v>
          </cell>
          <cell r="B2126" t="str">
            <v>LYQ-TW03</v>
          </cell>
        </row>
        <row r="2127">
          <cell r="A2127" t="str">
            <v>LYQ-WF7125-BO-2X</v>
          </cell>
          <cell r="B2127" t="str">
            <v>WF7125</v>
          </cell>
        </row>
        <row r="2128">
          <cell r="A2128" t="str">
            <v>LYQ-WF7125-BO-L</v>
          </cell>
          <cell r="B2128" t="str">
            <v>WF7125</v>
          </cell>
        </row>
        <row r="2129">
          <cell r="A2129" t="str">
            <v>LYQ-WF7125-BO-M</v>
          </cell>
          <cell r="B2129" t="str">
            <v>WF7125</v>
          </cell>
        </row>
        <row r="2130">
          <cell r="A2130" t="str">
            <v>LYQ-WF7125-BO-S</v>
          </cell>
          <cell r="B2130" t="str">
            <v>WF7125</v>
          </cell>
        </row>
        <row r="2131">
          <cell r="A2131" t="str">
            <v>LYQ-WF7125-BO-XL</v>
          </cell>
          <cell r="B2131" t="str">
            <v>WF7125</v>
          </cell>
        </row>
        <row r="2132">
          <cell r="A2132" t="str">
            <v>LYQ-WF7125-K0-2L</v>
          </cell>
          <cell r="B2132" t="str">
            <v>WF7125</v>
          </cell>
        </row>
        <row r="2133">
          <cell r="A2133" t="str">
            <v>LYQ-WF7125-KO-L</v>
          </cell>
          <cell r="B2133" t="str">
            <v>WF7125</v>
          </cell>
        </row>
        <row r="2134">
          <cell r="A2134" t="str">
            <v>LYQ-WF7125-KO-M</v>
          </cell>
          <cell r="B2134" t="str">
            <v>WF7125</v>
          </cell>
        </row>
        <row r="2135">
          <cell r="A2135" t="str">
            <v>LYQ-WF7125-KO-S</v>
          </cell>
          <cell r="B2135" t="str">
            <v>WF7125</v>
          </cell>
        </row>
        <row r="2136">
          <cell r="A2136" t="str">
            <v>LYQ-WF7125-KO-XL</v>
          </cell>
          <cell r="B2136" t="str">
            <v>WF7125</v>
          </cell>
        </row>
        <row r="2137">
          <cell r="A2137" t="str">
            <v>LYQ-WF7125-NO-2L</v>
          </cell>
          <cell r="B2137" t="str">
            <v>WF7125</v>
          </cell>
        </row>
        <row r="2138">
          <cell r="A2138" t="str">
            <v>LYQ-WF7125-NO-L</v>
          </cell>
          <cell r="B2138" t="str">
            <v>WF7125</v>
          </cell>
        </row>
        <row r="2139">
          <cell r="A2139" t="str">
            <v>LYQ-WF7125-NO-S</v>
          </cell>
          <cell r="B2139" t="str">
            <v>WF7125</v>
          </cell>
        </row>
        <row r="2140">
          <cell r="A2140" t="str">
            <v>LYQ-WF7125-NO-XL</v>
          </cell>
          <cell r="B2140" t="str">
            <v>WF7125</v>
          </cell>
        </row>
        <row r="2141">
          <cell r="A2141" t="str">
            <v>LYQ-WF7125-NO-XS</v>
          </cell>
          <cell r="B2141" t="str">
            <v>WF7125</v>
          </cell>
        </row>
        <row r="2142">
          <cell r="A2142" t="str">
            <v>LYQ-WF7125-PO-2L</v>
          </cell>
          <cell r="B2142" t="str">
            <v>WF7125</v>
          </cell>
        </row>
        <row r="2143">
          <cell r="A2143" t="str">
            <v>LYQ-WF7125-PO-L</v>
          </cell>
          <cell r="B2143" t="str">
            <v>WF7125</v>
          </cell>
        </row>
        <row r="2144">
          <cell r="A2144" t="str">
            <v>LYQ-WF7125-PO-M</v>
          </cell>
          <cell r="B2144" t="str">
            <v>WF7125</v>
          </cell>
        </row>
        <row r="2145">
          <cell r="A2145" t="str">
            <v>LYQ-WF7125-PO-S</v>
          </cell>
          <cell r="B2145" t="str">
            <v>WF7125</v>
          </cell>
        </row>
        <row r="2146">
          <cell r="A2146" t="str">
            <v>LYQ-WF7125-PO-XL</v>
          </cell>
          <cell r="B2146" t="str">
            <v>WF7125</v>
          </cell>
        </row>
        <row r="2147">
          <cell r="A2147" t="str">
            <v>LYQ-WF7125-PO-XS</v>
          </cell>
          <cell r="B2147" t="str">
            <v>WF7125</v>
          </cell>
        </row>
        <row r="2148">
          <cell r="A2148" t="str">
            <v>LYQ-WF7125-WO-2L</v>
          </cell>
          <cell r="B2148" t="str">
            <v>WF7125</v>
          </cell>
        </row>
        <row r="2149">
          <cell r="A2149" t="str">
            <v>LYQ-WF7125-WO-M</v>
          </cell>
          <cell r="B2149" t="str">
            <v>WF7125</v>
          </cell>
        </row>
        <row r="2150">
          <cell r="A2150" t="str">
            <v>LYQ-WF7125-WO-XL</v>
          </cell>
          <cell r="B2150" t="str">
            <v>WF7125</v>
          </cell>
        </row>
        <row r="2151">
          <cell r="A2151" t="str">
            <v>LYQ-WF7125-WO-XS</v>
          </cell>
          <cell r="B2151" t="str">
            <v>WF7125</v>
          </cell>
        </row>
        <row r="2152">
          <cell r="A2152" t="str">
            <v>LYQ-WH885-RO-L</v>
          </cell>
          <cell r="B2152" t="str">
            <v>LYQ-WH885</v>
          </cell>
        </row>
        <row r="2153">
          <cell r="A2153" t="str">
            <v>LYQ-WH885-RO-M</v>
          </cell>
          <cell r="B2153" t="str">
            <v>LYQ-WH885</v>
          </cell>
        </row>
        <row r="2154">
          <cell r="A2154" t="str">
            <v>LYQ-WH885-RO-S</v>
          </cell>
          <cell r="B2154" t="str">
            <v>LYQ-WH885</v>
          </cell>
        </row>
        <row r="2155">
          <cell r="A2155" t="str">
            <v>LYQ-WH885-RO-XL</v>
          </cell>
          <cell r="B2155" t="str">
            <v>LYQ-WH885</v>
          </cell>
        </row>
        <row r="2156">
          <cell r="A2156" t="str">
            <v>LYQ-WH885-ZL-L</v>
          </cell>
          <cell r="B2156" t="str">
            <v>LYQ-WH885</v>
          </cell>
        </row>
        <row r="2157">
          <cell r="A2157" t="str">
            <v>LYQ-WH885-ZL-M</v>
          </cell>
          <cell r="B2157" t="str">
            <v>LYQ-WH885</v>
          </cell>
        </row>
        <row r="2158">
          <cell r="A2158" t="str">
            <v>LYQ-WH885-ZL-S</v>
          </cell>
          <cell r="B2158" t="str">
            <v>LYQ-WH885</v>
          </cell>
        </row>
        <row r="2159">
          <cell r="A2159" t="str">
            <v>LYQ-WH885-ZL-XL</v>
          </cell>
          <cell r="B2159" t="str">
            <v>LYQ-WH885</v>
          </cell>
        </row>
        <row r="2160">
          <cell r="A2160" t="str">
            <v>LYQ-YY05</v>
          </cell>
          <cell r="B2160" t="str">
            <v>LYQ-YY05</v>
          </cell>
        </row>
        <row r="2161">
          <cell r="A2161" t="str">
            <v>LYQ-YY05-E0-L</v>
          </cell>
          <cell r="B2161" t="str">
            <v>LYQ-YY05</v>
          </cell>
        </row>
        <row r="2162">
          <cell r="A2162" t="str">
            <v>LYQ-YY05-E0-M</v>
          </cell>
          <cell r="B2162" t="str">
            <v>LYQ-YY05</v>
          </cell>
        </row>
        <row r="2163">
          <cell r="A2163" t="str">
            <v>LYQ-YY05-E0-S</v>
          </cell>
          <cell r="B2163" t="str">
            <v>LYQ-YY05</v>
          </cell>
        </row>
        <row r="2164">
          <cell r="A2164" t="str">
            <v>LYQ-YY05-E0-XL</v>
          </cell>
          <cell r="B2164" t="str">
            <v>LYQ-YY05</v>
          </cell>
        </row>
        <row r="2165">
          <cell r="A2165" t="str">
            <v>LYQ-YY05-K0-L</v>
          </cell>
          <cell r="B2165" t="str">
            <v>LYQ-YY05</v>
          </cell>
        </row>
        <row r="2166">
          <cell r="A2166" t="str">
            <v>LYQ-YY05-K0-M</v>
          </cell>
          <cell r="B2166" t="str">
            <v>LYQ-YY05</v>
          </cell>
        </row>
        <row r="2167">
          <cell r="A2167" t="str">
            <v>LYQ-YY05-K0-S</v>
          </cell>
          <cell r="B2167" t="str">
            <v>LYQ-YY05</v>
          </cell>
        </row>
        <row r="2168">
          <cell r="A2168" t="str">
            <v>LYQ-YY05-K0-XL</v>
          </cell>
          <cell r="B2168" t="str">
            <v>LYQ-YY05</v>
          </cell>
        </row>
        <row r="2169">
          <cell r="A2169" t="str">
            <v>LYQ-YY05-R0-L</v>
          </cell>
          <cell r="B2169" t="str">
            <v>LYQ-YY05</v>
          </cell>
        </row>
        <row r="2170">
          <cell r="A2170" t="str">
            <v>LYQ-YY05-R0-M</v>
          </cell>
          <cell r="B2170" t="str">
            <v>LYQ-YY05</v>
          </cell>
        </row>
        <row r="2171">
          <cell r="A2171" t="str">
            <v>LYQ-YY05-R0-S</v>
          </cell>
          <cell r="B2171" t="str">
            <v>LYQ-YY05</v>
          </cell>
        </row>
        <row r="2172">
          <cell r="A2172" t="str">
            <v>LYQ-YY05-R0-XL</v>
          </cell>
          <cell r="B2172" t="str">
            <v>LYQ-YY05</v>
          </cell>
        </row>
        <row r="2173">
          <cell r="A2173" t="str">
            <v>LYQ-YY05-ZL-L</v>
          </cell>
          <cell r="B2173" t="str">
            <v>LYQ-YY05</v>
          </cell>
        </row>
        <row r="2174">
          <cell r="A2174" t="str">
            <v>LYQ-YY05-ZL-M</v>
          </cell>
          <cell r="B2174" t="str">
            <v>LYQ-YY05</v>
          </cell>
        </row>
        <row r="2175">
          <cell r="A2175" t="str">
            <v>LYQ-YY05-ZL-S</v>
          </cell>
          <cell r="B2175" t="str">
            <v>LYQ-YY05</v>
          </cell>
        </row>
        <row r="2176">
          <cell r="A2176" t="str">
            <v>LYQ-YY05-ZL-XL</v>
          </cell>
          <cell r="B2176" t="str">
            <v>LYQ-YY05</v>
          </cell>
        </row>
        <row r="2177">
          <cell r="A2177" t="str">
            <v>LYQ-ZQ05100-L0-M</v>
          </cell>
          <cell r="B2177" t="str">
            <v>LYQ-ZQ05100</v>
          </cell>
        </row>
        <row r="2178">
          <cell r="A2178" t="str">
            <v>LYQ-ZQ1052-G0-XL</v>
          </cell>
          <cell r="B2178" t="str">
            <v>LYQ-ZQ1052</v>
          </cell>
        </row>
        <row r="2179">
          <cell r="A2179" t="str">
            <v>LYQ-ZQ1052-R0-XL</v>
          </cell>
          <cell r="B2179" t="str">
            <v>LYQ-ZQ1052</v>
          </cell>
        </row>
        <row r="2180">
          <cell r="A2180" t="str">
            <v>LYQ-ZQ1052-W0-L</v>
          </cell>
          <cell r="B2180" t="str">
            <v>LYQ-ZQ1052</v>
          </cell>
        </row>
        <row r="2181">
          <cell r="A2181" t="str">
            <v>LYQ-ZQ1052-W0-M</v>
          </cell>
          <cell r="B2181" t="str">
            <v>LYQ-ZQ1052</v>
          </cell>
        </row>
        <row r="2182">
          <cell r="A2182" t="str">
            <v>LYQ-ZQ1052-W0-S</v>
          </cell>
          <cell r="B2182" t="str">
            <v>LYQ-ZQ1052</v>
          </cell>
        </row>
        <row r="2183">
          <cell r="A2183" t="str">
            <v>LYQ-ZQ1052-W0-XL</v>
          </cell>
          <cell r="B2183" t="str">
            <v>LYQ-ZQ1052</v>
          </cell>
        </row>
        <row r="2184">
          <cell r="A2184" t="str">
            <v>LYQ-ZQ1117-B0-L</v>
          </cell>
          <cell r="B2184" t="str">
            <v>LYQ-ZQ1117</v>
          </cell>
        </row>
        <row r="2185">
          <cell r="A2185" t="str">
            <v>LYQ-ZQ1117-B0-M</v>
          </cell>
          <cell r="B2185" t="str">
            <v>LYQ-ZQ1117</v>
          </cell>
        </row>
        <row r="2186">
          <cell r="A2186" t="str">
            <v>LYQ-ZQ1117-B0-S</v>
          </cell>
          <cell r="B2186" t="str">
            <v>LYQ-ZQ1117</v>
          </cell>
        </row>
        <row r="2187">
          <cell r="A2187" t="str">
            <v>LYQ-ZQ1117-B0-XL</v>
          </cell>
          <cell r="B2187" t="str">
            <v>LYQ-ZQ1117</v>
          </cell>
        </row>
        <row r="2188">
          <cell r="A2188" t="str">
            <v>LYQ-ZQ1117-BD-L</v>
          </cell>
          <cell r="B2188" t="str">
            <v>LYQ-ZQ1117</v>
          </cell>
        </row>
        <row r="2189">
          <cell r="A2189" t="str">
            <v>LYQ-ZQ1117-BD-M</v>
          </cell>
          <cell r="B2189" t="str">
            <v>LYQ-ZQ1117</v>
          </cell>
        </row>
        <row r="2190">
          <cell r="A2190" t="str">
            <v>LYQ-ZQ1117-BD-S</v>
          </cell>
          <cell r="B2190" t="str">
            <v>LYQ-ZQ1117</v>
          </cell>
        </row>
        <row r="2191">
          <cell r="A2191" t="str">
            <v>LYQ-ZQ1117-BD-XL</v>
          </cell>
          <cell r="B2191" t="str">
            <v>LYQ-ZQ1117</v>
          </cell>
        </row>
        <row r="2192">
          <cell r="A2192" t="str">
            <v>LYQ-ZQ1117-C0-L</v>
          </cell>
          <cell r="B2192" t="str">
            <v>LYQ-ZQ1117</v>
          </cell>
        </row>
        <row r="2193">
          <cell r="A2193" t="str">
            <v>LYQ-ZQ1117-C0-M</v>
          </cell>
          <cell r="B2193" t="str">
            <v>LYQ-ZQ1117</v>
          </cell>
        </row>
        <row r="2194">
          <cell r="A2194" t="str">
            <v>LYQ-ZQ1117-C0-S</v>
          </cell>
          <cell r="B2194" t="str">
            <v>LYQ-ZQ1117</v>
          </cell>
        </row>
        <row r="2195">
          <cell r="A2195" t="str">
            <v>LYQ-ZQ1117-C0-XL</v>
          </cell>
          <cell r="B2195" t="str">
            <v>LYQ-ZQ1117</v>
          </cell>
        </row>
        <row r="2196">
          <cell r="A2196" t="str">
            <v>LYQ-ZQ1117-E0-L</v>
          </cell>
          <cell r="B2196" t="str">
            <v>LYQ-ZQ1117</v>
          </cell>
        </row>
        <row r="2197">
          <cell r="A2197" t="str">
            <v>LYQ-ZQ1117-E0-M</v>
          </cell>
          <cell r="B2197" t="str">
            <v>LYQ-ZQ1117</v>
          </cell>
        </row>
        <row r="2198">
          <cell r="A2198" t="str">
            <v>LYQ-ZQ1117-E0-S</v>
          </cell>
          <cell r="B2198" t="str">
            <v>LYQ-ZQ1117</v>
          </cell>
        </row>
        <row r="2199">
          <cell r="A2199" t="str">
            <v>LYQ-ZQ1117-E0-XL</v>
          </cell>
          <cell r="B2199" t="str">
            <v>LYQ-ZQ1117</v>
          </cell>
        </row>
        <row r="2200">
          <cell r="A2200" t="str">
            <v>LYQ-ZQ1117-G7-L</v>
          </cell>
          <cell r="B2200" t="str">
            <v>LYQ-ZQ1117</v>
          </cell>
        </row>
        <row r="2201">
          <cell r="A2201" t="str">
            <v>LYQ-ZQ1117-G7-M</v>
          </cell>
          <cell r="B2201" t="str">
            <v>LYQ-ZQ1117</v>
          </cell>
        </row>
        <row r="2202">
          <cell r="A2202" t="str">
            <v>LYQ-ZQ1117-G7-S</v>
          </cell>
          <cell r="B2202" t="str">
            <v>LYQ-ZQ1117</v>
          </cell>
        </row>
        <row r="2203">
          <cell r="A2203" t="str">
            <v>LYQ-ZQ1117-G7-XL</v>
          </cell>
          <cell r="B2203" t="str">
            <v>LYQ-ZQ1117</v>
          </cell>
        </row>
        <row r="2204">
          <cell r="A2204" t="str">
            <v>LYQ-ZQ1117-K0-L</v>
          </cell>
          <cell r="B2204" t="str">
            <v>LYQ-ZQ1117</v>
          </cell>
        </row>
        <row r="2205">
          <cell r="A2205" t="str">
            <v>LYQ-ZQ1117-K0-M</v>
          </cell>
          <cell r="B2205" t="str">
            <v>LYQ-ZQ1117</v>
          </cell>
        </row>
        <row r="2206">
          <cell r="A2206" t="str">
            <v>LYQ-ZQ1117-K0-S</v>
          </cell>
          <cell r="B2206" t="str">
            <v>LYQ-ZQ1117</v>
          </cell>
        </row>
        <row r="2207">
          <cell r="A2207" t="str">
            <v>LYQ-ZQ1117-K0-XL</v>
          </cell>
          <cell r="B2207" t="str">
            <v>LYQ-ZQ1117</v>
          </cell>
        </row>
        <row r="2208">
          <cell r="A2208" t="str">
            <v>LYQ-ZQ1117-KQ-L</v>
          </cell>
          <cell r="B2208" t="str">
            <v>LYQ-ZQ1117</v>
          </cell>
        </row>
        <row r="2209">
          <cell r="A2209" t="str">
            <v>LYQ-ZQ1117-KQ-M</v>
          </cell>
          <cell r="B2209" t="str">
            <v>LYQ-ZQ1117</v>
          </cell>
        </row>
        <row r="2210">
          <cell r="A2210" t="str">
            <v>LYQ-ZQ1117-KQ-S</v>
          </cell>
          <cell r="B2210" t="str">
            <v>LYQ-ZQ1117</v>
          </cell>
        </row>
        <row r="2211">
          <cell r="A2211" t="str">
            <v>LYQ-ZQ1117-KQ-XL</v>
          </cell>
          <cell r="B2211" t="str">
            <v>LYQ-ZQ1117</v>
          </cell>
        </row>
        <row r="2212">
          <cell r="A2212" t="str">
            <v>LYQ-ZQ-1188-K0-2XL</v>
          </cell>
          <cell r="B2212" t="str">
            <v>LYQ-ZQ-1188</v>
          </cell>
        </row>
        <row r="2213">
          <cell r="A2213" t="str">
            <v>LYQ-ZQ-1188-K0-L</v>
          </cell>
          <cell r="B2213" t="str">
            <v>LYQ-ZQ-1188</v>
          </cell>
        </row>
        <row r="2214">
          <cell r="A2214" t="str">
            <v>LYQ-ZQ-1188-K0-M</v>
          </cell>
          <cell r="B2214" t="str">
            <v>LYQ-ZQ-1188</v>
          </cell>
        </row>
        <row r="2215">
          <cell r="A2215" t="str">
            <v>LYQ-ZQ-1188-K0-S</v>
          </cell>
          <cell r="B2215" t="str">
            <v>LYQ-ZQ-1188</v>
          </cell>
        </row>
        <row r="2216">
          <cell r="A2216" t="str">
            <v>LYQ-ZQ-1188-K0-XL</v>
          </cell>
          <cell r="B2216" t="str">
            <v>LYQ-ZQ-1188</v>
          </cell>
        </row>
        <row r="2217">
          <cell r="A2217" t="str">
            <v>LYQ-ZQ-1188-P0-2XL</v>
          </cell>
          <cell r="B2217" t="str">
            <v>LYQ-ZQ-1188</v>
          </cell>
        </row>
        <row r="2218">
          <cell r="A2218" t="str">
            <v>LYQ-ZQ-1188-P0-L</v>
          </cell>
          <cell r="B2218" t="str">
            <v>LYQ-ZQ-1188</v>
          </cell>
        </row>
        <row r="2219">
          <cell r="A2219" t="str">
            <v>LYQ-ZQ-1188-P0-M</v>
          </cell>
          <cell r="B2219" t="str">
            <v>LYQ-ZQ-1188</v>
          </cell>
        </row>
        <row r="2220">
          <cell r="A2220" t="str">
            <v>LYQ-ZQ-1188-P0-S</v>
          </cell>
          <cell r="B2220" t="str">
            <v>LYQ-ZQ-1188</v>
          </cell>
        </row>
        <row r="2221">
          <cell r="A2221" t="str">
            <v>LYQ-ZQ-1188-P0-XL</v>
          </cell>
          <cell r="B2221" t="str">
            <v>LYQ-ZQ-1188</v>
          </cell>
        </row>
        <row r="2222">
          <cell r="A2222" t="str">
            <v>LYQ-ZQ-1188-W0-2XL</v>
          </cell>
          <cell r="B2222" t="str">
            <v>LYQ-ZQ-1188</v>
          </cell>
        </row>
        <row r="2223">
          <cell r="A2223" t="str">
            <v>LYQ-ZQ-1188-W0-L</v>
          </cell>
          <cell r="B2223" t="str">
            <v>LYQ-ZQ-1188</v>
          </cell>
        </row>
        <row r="2224">
          <cell r="A2224" t="str">
            <v>LYQ-ZQ-1188-W0-M</v>
          </cell>
          <cell r="B2224" t="str">
            <v>LYQ-ZQ-1188</v>
          </cell>
        </row>
        <row r="2225">
          <cell r="A2225" t="str">
            <v>LYQ-ZQ-1188-W0-S</v>
          </cell>
          <cell r="B2225" t="str">
            <v>LYQ-ZQ-1188</v>
          </cell>
        </row>
        <row r="2226">
          <cell r="A2226" t="str">
            <v>LYQ-ZQ-1188-W0-XL</v>
          </cell>
          <cell r="B2226" t="str">
            <v>LYQ-ZQ-1188</v>
          </cell>
        </row>
        <row r="2227">
          <cell r="A2227" t="str">
            <v>LYQ-ZQ-1188-ZL-2XL</v>
          </cell>
          <cell r="B2227" t="str">
            <v>LYQ-ZQ-1188</v>
          </cell>
        </row>
        <row r="2228">
          <cell r="A2228" t="str">
            <v>LYQ-ZQ-1188-ZL-L</v>
          </cell>
          <cell r="B2228" t="str">
            <v>LYQ-ZQ-1188</v>
          </cell>
        </row>
        <row r="2229">
          <cell r="A2229" t="str">
            <v>LYQ-ZQ-1199-K0-2XL</v>
          </cell>
          <cell r="B2229" t="str">
            <v>LYQ-ZQ-1199</v>
          </cell>
        </row>
        <row r="2230">
          <cell r="A2230" t="str">
            <v>LYQ-ZQ-1199-K0-L</v>
          </cell>
          <cell r="B2230" t="str">
            <v>LYQ-ZQ-1199</v>
          </cell>
        </row>
        <row r="2231">
          <cell r="A2231" t="str">
            <v>LYQ-ZQ-1199-K0-M</v>
          </cell>
          <cell r="B2231" t="str">
            <v>LYQ-ZQ-1199</v>
          </cell>
        </row>
        <row r="2232">
          <cell r="A2232" t="str">
            <v>LYQ-ZQ-1199-K0-S</v>
          </cell>
          <cell r="B2232" t="str">
            <v>LYQ-ZQ-1199</v>
          </cell>
        </row>
        <row r="2233">
          <cell r="A2233" t="str">
            <v>LYQ-ZQ-1199-K0-XL</v>
          </cell>
          <cell r="B2233" t="str">
            <v>LYQ-ZQ-1199</v>
          </cell>
        </row>
        <row r="2234">
          <cell r="A2234" t="str">
            <v>LYQ-ZQ-1199-P0-2XL</v>
          </cell>
          <cell r="B2234" t="str">
            <v>LYQ-ZQ-1199</v>
          </cell>
        </row>
        <row r="2235">
          <cell r="A2235" t="str">
            <v>LYQ-ZQ-1199-P0-L</v>
          </cell>
          <cell r="B2235" t="str">
            <v>LYQ-ZQ-1199</v>
          </cell>
        </row>
        <row r="2236">
          <cell r="A2236" t="str">
            <v>LYQ-ZQ-1199-P0-M</v>
          </cell>
          <cell r="B2236" t="str">
            <v>LYQ-ZQ-1199</v>
          </cell>
        </row>
        <row r="2237">
          <cell r="A2237" t="str">
            <v>LYQ-ZQ-1199-P0-S</v>
          </cell>
          <cell r="B2237" t="str">
            <v>LYQ-ZQ-1199</v>
          </cell>
        </row>
        <row r="2238">
          <cell r="A2238" t="str">
            <v>LYQ-ZQ-1199-P0-XL</v>
          </cell>
          <cell r="B2238" t="str">
            <v>LYQ-ZQ-1199</v>
          </cell>
        </row>
        <row r="2239">
          <cell r="A2239" t="str">
            <v>LYQ-ZQ-1199-W0-L</v>
          </cell>
          <cell r="B2239" t="str">
            <v>LYQ-ZQ-1199</v>
          </cell>
        </row>
        <row r="2240">
          <cell r="A2240" t="str">
            <v>LYQ-ZQ-1199-W0-M</v>
          </cell>
          <cell r="B2240" t="str">
            <v>LYQ-ZQ-1199</v>
          </cell>
        </row>
        <row r="2241">
          <cell r="A2241" t="str">
            <v>LYQ-ZQ-1199-W0-S</v>
          </cell>
          <cell r="B2241" t="str">
            <v>LYQ-ZQ-1199</v>
          </cell>
        </row>
        <row r="2242">
          <cell r="A2242" t="str">
            <v>LYQ-ZQ-1199-W0-XL</v>
          </cell>
          <cell r="B2242" t="str">
            <v>LYQ-ZQ-1199</v>
          </cell>
        </row>
        <row r="2243">
          <cell r="A2243" t="str">
            <v>LYQ-ZQ-1199-ZL-2XL</v>
          </cell>
          <cell r="B2243" t="str">
            <v>LYQ-ZQ-1199</v>
          </cell>
        </row>
        <row r="2244">
          <cell r="A2244" t="str">
            <v>LYQ-ZQ-1199-ZL-L</v>
          </cell>
          <cell r="B2244" t="str">
            <v>LYQ-ZQ-1199</v>
          </cell>
        </row>
        <row r="2245">
          <cell r="A2245" t="str">
            <v>LYQ-ZQ-1199-ZL-M</v>
          </cell>
          <cell r="B2245" t="str">
            <v>LYQ-ZQ-1199</v>
          </cell>
        </row>
        <row r="2246">
          <cell r="A2246" t="str">
            <v>LYQ-ZQ-1199-ZL-S</v>
          </cell>
          <cell r="B2246" t="str">
            <v>LYQ-ZQ-1199</v>
          </cell>
        </row>
        <row r="2247">
          <cell r="A2247" t="str">
            <v>LYQ-ZQ-1199-ZL-XL</v>
          </cell>
          <cell r="B2247" t="str">
            <v>LYQ-ZQ-1199</v>
          </cell>
        </row>
        <row r="2248">
          <cell r="A2248" t="str">
            <v>LYQ-ZQ1428-R0-L</v>
          </cell>
          <cell r="B2248" t="str">
            <v>LYQ-ZQ1428</v>
          </cell>
        </row>
        <row r="2249">
          <cell r="A2249" t="str">
            <v>LYQ-ZQ1428-R0-M</v>
          </cell>
          <cell r="B2249" t="str">
            <v>LYQ-ZQ1428</v>
          </cell>
        </row>
        <row r="2250">
          <cell r="A2250" t="str">
            <v>LYQ-ZQ1428-R0-S</v>
          </cell>
          <cell r="B2250" t="str">
            <v>LYQ-ZQ1428</v>
          </cell>
        </row>
        <row r="2251">
          <cell r="A2251" t="str">
            <v>LYQ-ZQ1428-Y0-L</v>
          </cell>
          <cell r="B2251" t="str">
            <v>LYQ-ZQ1428</v>
          </cell>
        </row>
        <row r="2252">
          <cell r="A2252" t="str">
            <v>LYQ-ZQ1428-Y0-M</v>
          </cell>
          <cell r="B2252" t="str">
            <v>LYQ-ZQ1428</v>
          </cell>
        </row>
        <row r="2253">
          <cell r="A2253" t="str">
            <v>LYQ-ZQ1428-Y0-S</v>
          </cell>
          <cell r="B2253" t="str">
            <v>LYQ-ZQ1428</v>
          </cell>
        </row>
        <row r="2254">
          <cell r="A2254" t="str">
            <v>LYQ-ZQ1669-B0-L</v>
          </cell>
          <cell r="B2254" t="str">
            <v>LYQ-ZQ1669</v>
          </cell>
        </row>
        <row r="2255">
          <cell r="A2255" t="str">
            <v>LYQ-ZQ1669-B0-M</v>
          </cell>
          <cell r="B2255" t="str">
            <v>LYQ-ZQ1669</v>
          </cell>
        </row>
        <row r="2256">
          <cell r="A2256" t="str">
            <v>LYQ-ZQ1669-B0-S</v>
          </cell>
          <cell r="B2256" t="str">
            <v>LYQ-ZQ1669</v>
          </cell>
        </row>
        <row r="2257">
          <cell r="A2257" t="str">
            <v>LYQ-ZQ1669-B0-XL</v>
          </cell>
          <cell r="B2257" t="str">
            <v>LYQ-ZQ1669</v>
          </cell>
        </row>
        <row r="2258">
          <cell r="A2258" t="str">
            <v>LYQ-ZQ1880-R0-L</v>
          </cell>
          <cell r="B2258" t="str">
            <v>LYQ-ZQ1880</v>
          </cell>
        </row>
        <row r="2259">
          <cell r="A2259" t="str">
            <v>LYQ-ZQ1880-R0-M</v>
          </cell>
          <cell r="B2259" t="str">
            <v>LYQ-ZQ1880</v>
          </cell>
        </row>
        <row r="2260">
          <cell r="A2260" t="str">
            <v>LYQ-ZQ1880-R0-S</v>
          </cell>
          <cell r="B2260" t="str">
            <v>LYQ-ZQ1880</v>
          </cell>
        </row>
        <row r="2261">
          <cell r="A2261" t="str">
            <v>LYQ-ZQ1880-R0-XL</v>
          </cell>
          <cell r="B2261" t="str">
            <v>LYQ-ZQ1880</v>
          </cell>
        </row>
        <row r="2262">
          <cell r="A2262" t="str">
            <v>LYQ-ZQ1880-Y0-L</v>
          </cell>
          <cell r="B2262" t="str">
            <v>LYQ-ZQ1880</v>
          </cell>
        </row>
        <row r="2263">
          <cell r="A2263" t="str">
            <v>LYQ-ZQ1880-Y0-M</v>
          </cell>
          <cell r="B2263" t="str">
            <v>LYQ-ZQ1880</v>
          </cell>
        </row>
        <row r="2264">
          <cell r="A2264" t="str">
            <v>LYQ-ZQ1880-Y0-S</v>
          </cell>
          <cell r="B2264" t="str">
            <v>LYQ-ZQ1880</v>
          </cell>
        </row>
        <row r="2265">
          <cell r="A2265" t="str">
            <v>LYQ-ZQ1880-Y0-XL</v>
          </cell>
          <cell r="B2265" t="str">
            <v>LYQ-ZQ1880</v>
          </cell>
        </row>
        <row r="2266">
          <cell r="A2266" t="str">
            <v>LYQ-ZQ1880-ZL-L</v>
          </cell>
          <cell r="B2266" t="str">
            <v>LYQ-ZQ1880</v>
          </cell>
        </row>
        <row r="2267">
          <cell r="A2267" t="str">
            <v>LYQ-ZQ1880-ZL-M</v>
          </cell>
          <cell r="B2267" t="str">
            <v>LYQ-ZQ1880</v>
          </cell>
        </row>
        <row r="2268">
          <cell r="A2268" t="str">
            <v>LYQ-ZQ1880-ZL-S</v>
          </cell>
          <cell r="B2268" t="str">
            <v>LYQ-ZQ1880</v>
          </cell>
        </row>
        <row r="2269">
          <cell r="A2269" t="str">
            <v>LYQ-ZQ1880-ZL-XL</v>
          </cell>
          <cell r="B2269" t="str">
            <v>LYQ-ZQ1880</v>
          </cell>
        </row>
        <row r="2270">
          <cell r="A2270" t="str">
            <v>LYQ-ZQ2100-P0-L</v>
          </cell>
          <cell r="B2270" t="str">
            <v>LYQ-ZQ2100</v>
          </cell>
        </row>
        <row r="2271">
          <cell r="A2271" t="str">
            <v>LYQ-ZQ2100-P0-M</v>
          </cell>
          <cell r="B2271" t="str">
            <v>LYQ-ZQ2100</v>
          </cell>
        </row>
        <row r="2272">
          <cell r="A2272" t="str">
            <v>LYQ-ZQ2100-P0-S</v>
          </cell>
          <cell r="B2272" t="str">
            <v>LYQ-ZQ2100</v>
          </cell>
        </row>
        <row r="2273">
          <cell r="A2273" t="str">
            <v>LYQ-ZQ2100-P0-XL</v>
          </cell>
          <cell r="B2273" t="str">
            <v>LYQ-ZQ2100</v>
          </cell>
        </row>
        <row r="2274">
          <cell r="A2274" t="str">
            <v>LYQ-ZQ2973-BD-2XL</v>
          </cell>
          <cell r="B2274" t="str">
            <v>LYQ-ZQ2973</v>
          </cell>
        </row>
        <row r="2275">
          <cell r="A2275" t="str">
            <v>LYQ-ZQ2973-BD-L</v>
          </cell>
          <cell r="B2275" t="str">
            <v>LYQ-ZQ2973</v>
          </cell>
        </row>
        <row r="2276">
          <cell r="A2276" t="str">
            <v>LYQ-ZQ2973-BD-M</v>
          </cell>
          <cell r="B2276" t="str">
            <v>LYQ-ZQ2973</v>
          </cell>
        </row>
        <row r="2277">
          <cell r="A2277" t="str">
            <v>LYQ-ZQ2973-BD-M-GM</v>
          </cell>
          <cell r="B2277" t="str">
            <v>LYQ-ZQ2973</v>
          </cell>
        </row>
        <row r="2278">
          <cell r="A2278" t="str">
            <v>LYQ-ZQ2973-BD-S</v>
          </cell>
          <cell r="B2278" t="str">
            <v>LYQ-ZQ2973</v>
          </cell>
        </row>
        <row r="2279">
          <cell r="A2279" t="str">
            <v>LYQ-ZQ2973-BD-XL</v>
          </cell>
          <cell r="B2279" t="str">
            <v>LYQ-ZQ2973</v>
          </cell>
        </row>
        <row r="2280">
          <cell r="A2280" t="str">
            <v>LYQ-ZQ2973-E0-2XL</v>
          </cell>
          <cell r="B2280" t="str">
            <v>LYQ-ZQ2973</v>
          </cell>
        </row>
        <row r="2281">
          <cell r="A2281" t="str">
            <v>LYQ-ZQ2973-E0-L</v>
          </cell>
          <cell r="B2281" t="str">
            <v>LYQ-ZQ2973</v>
          </cell>
        </row>
        <row r="2282">
          <cell r="A2282" t="str">
            <v>LYQ-ZQ2973-E0-M</v>
          </cell>
          <cell r="B2282" t="str">
            <v>LYQ-ZQ2973</v>
          </cell>
        </row>
        <row r="2283">
          <cell r="A2283" t="str">
            <v>LYQ-ZQ2973-E0-S</v>
          </cell>
          <cell r="B2283" t="str">
            <v>LYQ-ZQ2973</v>
          </cell>
        </row>
        <row r="2284">
          <cell r="A2284" t="str">
            <v>LYQ-ZQ2973-E0-XL</v>
          </cell>
          <cell r="B2284" t="str">
            <v>LYQ-ZQ2973</v>
          </cell>
        </row>
        <row r="2285">
          <cell r="A2285" t="str">
            <v>LYQ-ZQ2973-G0-2XL</v>
          </cell>
          <cell r="B2285" t="str">
            <v>LYQ-ZQ2973</v>
          </cell>
        </row>
        <row r="2286">
          <cell r="A2286" t="str">
            <v>LYQ-ZQ2973-G0-L</v>
          </cell>
          <cell r="B2286" t="str">
            <v>LYQ-ZQ2973</v>
          </cell>
        </row>
        <row r="2287">
          <cell r="A2287" t="str">
            <v>LYQ-ZQ2973-G0-L -GM</v>
          </cell>
          <cell r="B2287" t="str">
            <v>LYQ-ZQ2973</v>
          </cell>
        </row>
        <row r="2288">
          <cell r="A2288" t="str">
            <v>LYQ-ZQ2973-G0-M</v>
          </cell>
          <cell r="B2288" t="str">
            <v>LYQ-ZQ2973</v>
          </cell>
        </row>
        <row r="2289">
          <cell r="A2289" t="str">
            <v>LYQ-ZQ2973-G0-S</v>
          </cell>
          <cell r="B2289" t="str">
            <v>LYQ-ZQ2973</v>
          </cell>
        </row>
        <row r="2290">
          <cell r="A2290" t="str">
            <v>LYQ-ZQ2973-G0-XL</v>
          </cell>
          <cell r="B2290" t="str">
            <v>LYQ-ZQ2973</v>
          </cell>
        </row>
        <row r="2291">
          <cell r="A2291" t="str">
            <v>LYQ-ZQ2973-K0-2XL</v>
          </cell>
          <cell r="B2291" t="str">
            <v>LYQ-ZQ2973</v>
          </cell>
        </row>
        <row r="2292">
          <cell r="A2292" t="str">
            <v>LYQ-ZQ2973-K0-L</v>
          </cell>
          <cell r="B2292" t="str">
            <v>LYQ-ZQ2973</v>
          </cell>
        </row>
        <row r="2293">
          <cell r="A2293" t="str">
            <v>LYQ-ZQ2973-K0-M</v>
          </cell>
          <cell r="B2293" t="str">
            <v>LYQ-ZQ2973</v>
          </cell>
        </row>
        <row r="2294">
          <cell r="A2294" t="str">
            <v>LYQ-ZQ2973-K0-S</v>
          </cell>
          <cell r="B2294" t="str">
            <v>LYQ-ZQ2973</v>
          </cell>
        </row>
        <row r="2295">
          <cell r="A2295" t="str">
            <v>LYQ-ZQ2973-K0-XL</v>
          </cell>
          <cell r="B2295" t="str">
            <v>LYQ-ZQ2973</v>
          </cell>
        </row>
        <row r="2296">
          <cell r="A2296" t="str">
            <v>LYQ-ZQ2973-KQ-2XL</v>
          </cell>
          <cell r="B2296" t="str">
            <v>LYQ-ZQ2973</v>
          </cell>
        </row>
        <row r="2297">
          <cell r="A2297" t="str">
            <v>LYQ-ZQ2973-KQ-L</v>
          </cell>
          <cell r="B2297" t="str">
            <v>LYQ-ZQ2973</v>
          </cell>
        </row>
        <row r="2298">
          <cell r="A2298" t="str">
            <v>LYQ-ZQ2973-KQ-M</v>
          </cell>
          <cell r="B2298" t="str">
            <v>LYQ-ZQ2973</v>
          </cell>
        </row>
        <row r="2299">
          <cell r="A2299" t="str">
            <v>LYQ-ZQ2973-KQ-M-GM</v>
          </cell>
          <cell r="B2299" t="str">
            <v>LYQ-ZQ2973</v>
          </cell>
        </row>
        <row r="2300">
          <cell r="A2300" t="str">
            <v>LYQ-ZQ2973-KQ-S</v>
          </cell>
          <cell r="B2300" t="str">
            <v>LYQ-ZQ2973</v>
          </cell>
        </row>
        <row r="2301">
          <cell r="A2301" t="str">
            <v>LYQ-ZQ2973-KQ-S-GM</v>
          </cell>
          <cell r="B2301" t="str">
            <v>LYQ-ZQ2973</v>
          </cell>
        </row>
        <row r="2302">
          <cell r="A2302" t="str">
            <v>LYQ-ZQ2973-KQ-XL</v>
          </cell>
          <cell r="B2302" t="str">
            <v>LYQ-ZQ2973</v>
          </cell>
        </row>
        <row r="2303">
          <cell r="A2303" t="str">
            <v>LYQ-ZQ2973-P0-2XL</v>
          </cell>
          <cell r="B2303" t="str">
            <v>LYQ-ZQ2973</v>
          </cell>
        </row>
        <row r="2304">
          <cell r="A2304" t="str">
            <v>LYQ-ZQ2973-P0-L</v>
          </cell>
          <cell r="B2304" t="str">
            <v>LYQ-ZQ2973</v>
          </cell>
        </row>
        <row r="2305">
          <cell r="A2305" t="str">
            <v>LYQ-ZQ2973-P0-M</v>
          </cell>
          <cell r="B2305" t="str">
            <v>LYQ-ZQ2973</v>
          </cell>
        </row>
        <row r="2306">
          <cell r="A2306" t="str">
            <v>LYQ-ZQ2973-P0-S</v>
          </cell>
          <cell r="B2306" t="str">
            <v>LYQ-ZQ2973</v>
          </cell>
        </row>
        <row r="2307">
          <cell r="A2307" t="str">
            <v>LYQ-ZQ2973-P0-XL</v>
          </cell>
          <cell r="B2307" t="str">
            <v>LYQ-ZQ2973</v>
          </cell>
        </row>
        <row r="2308">
          <cell r="A2308" t="str">
            <v>LYQ-ZQ2973-W1-2XL</v>
          </cell>
          <cell r="B2308" t="str">
            <v>LYQ-ZQ2973</v>
          </cell>
        </row>
        <row r="2309">
          <cell r="A2309" t="str">
            <v>LYQ-ZQ2973-W1-L</v>
          </cell>
          <cell r="B2309" t="str">
            <v>LYQ-ZQ2973</v>
          </cell>
        </row>
        <row r="2310">
          <cell r="A2310" t="str">
            <v>LYQ-ZQ2973-W1-M</v>
          </cell>
          <cell r="B2310" t="str">
            <v>LYQ-ZQ2973</v>
          </cell>
        </row>
        <row r="2311">
          <cell r="A2311" t="str">
            <v>LYQ-ZQ2973-W1-M-GM</v>
          </cell>
          <cell r="B2311" t="str">
            <v>LYQ-ZQ2973</v>
          </cell>
        </row>
        <row r="2312">
          <cell r="A2312" t="str">
            <v>LYQ-ZQ2973-W1-S</v>
          </cell>
          <cell r="B2312" t="str">
            <v>LYQ-ZQ2973</v>
          </cell>
        </row>
        <row r="2313">
          <cell r="A2313" t="str">
            <v>LYQ-ZQ2973-W1-S-GM</v>
          </cell>
          <cell r="B2313" t="str">
            <v>LYQ-ZQ2973</v>
          </cell>
        </row>
        <row r="2314">
          <cell r="A2314" t="str">
            <v>LYQ-ZQ2973-W1-XL</v>
          </cell>
          <cell r="B2314" t="str">
            <v>LYQ-ZQ2973</v>
          </cell>
        </row>
        <row r="2315">
          <cell r="A2315" t="str">
            <v>LYQ-ZQ2973-W1-XL-GM</v>
          </cell>
          <cell r="B2315" t="str">
            <v>LYQ-ZQ2973</v>
          </cell>
        </row>
        <row r="2316">
          <cell r="A2316" t="str">
            <v>LYQ-ZQ2973-ZL-2XL</v>
          </cell>
          <cell r="B2316" t="str">
            <v>LYQ-ZQ2973</v>
          </cell>
        </row>
        <row r="2317">
          <cell r="A2317" t="str">
            <v>LYQ-ZQ2973-ZL-L</v>
          </cell>
          <cell r="B2317" t="str">
            <v>LYQ-ZQ2973</v>
          </cell>
        </row>
        <row r="2318">
          <cell r="A2318" t="str">
            <v>LYQ-ZQ2973-ZL-M</v>
          </cell>
          <cell r="B2318" t="str">
            <v>LYQ-ZQ2973</v>
          </cell>
        </row>
        <row r="2319">
          <cell r="A2319" t="str">
            <v>LYQ-ZQ2973-ZL-S</v>
          </cell>
          <cell r="B2319" t="str">
            <v>LYQ-ZQ2973</v>
          </cell>
        </row>
        <row r="2320">
          <cell r="A2320" t="str">
            <v>LYQ-ZQ2973-ZL-S-GM</v>
          </cell>
          <cell r="B2320" t="str">
            <v>LYQ-ZQ2973</v>
          </cell>
        </row>
        <row r="2321">
          <cell r="A2321" t="str">
            <v>LYQ-ZQ2973-ZL-XL</v>
          </cell>
          <cell r="B2321" t="str">
            <v>LYQ-ZQ2973</v>
          </cell>
        </row>
        <row r="2322">
          <cell r="A2322" t="str">
            <v>LYQ-ZQ2W00-K0-L</v>
          </cell>
          <cell r="B2322" t="str">
            <v>LYQ-ZQ2W00</v>
          </cell>
        </row>
        <row r="2323">
          <cell r="A2323" t="str">
            <v>LYQ-ZQ2W00-K0-M</v>
          </cell>
          <cell r="B2323" t="str">
            <v>LYQ-ZQ2W00</v>
          </cell>
        </row>
        <row r="2324">
          <cell r="A2324" t="str">
            <v>LYQ-ZQ2W00-K0-S</v>
          </cell>
          <cell r="B2324" t="str">
            <v>LYQ-ZQ2W00</v>
          </cell>
        </row>
        <row r="2325">
          <cell r="A2325" t="str">
            <v>LYQ-ZQ2W00-K0-XL</v>
          </cell>
          <cell r="B2325" t="str">
            <v>LYQ-ZQ2W00</v>
          </cell>
        </row>
        <row r="2326">
          <cell r="A2326" t="str">
            <v>LYQ-ZQ3550-E0-2X</v>
          </cell>
          <cell r="B2326" t="str">
            <v>LYQ-ZQ3550</v>
          </cell>
        </row>
        <row r="2327">
          <cell r="A2327" t="str">
            <v>LYQ-ZQ3550-E0-3X</v>
          </cell>
          <cell r="B2327" t="str">
            <v>LYQ-ZQ3550</v>
          </cell>
        </row>
        <row r="2328">
          <cell r="A2328" t="str">
            <v>LYQ-ZQ3550-E0-4X</v>
          </cell>
          <cell r="B2328" t="str">
            <v>LYQ-ZQ3550</v>
          </cell>
        </row>
        <row r="2329">
          <cell r="A2329" t="str">
            <v>LYQ-ZQ3550-E0-5X</v>
          </cell>
          <cell r="B2329" t="str">
            <v>LYQ-ZQ3550</v>
          </cell>
        </row>
        <row r="2330">
          <cell r="A2330" t="str">
            <v>LYQ-ZQ3550-E0-L</v>
          </cell>
          <cell r="B2330" t="str">
            <v>LYQ-ZQ3550</v>
          </cell>
        </row>
        <row r="2331">
          <cell r="A2331" t="str">
            <v>LYQ-ZQ3550-E0-M</v>
          </cell>
          <cell r="B2331" t="str">
            <v>LYQ-ZQ3550</v>
          </cell>
        </row>
        <row r="2332">
          <cell r="A2332" t="str">
            <v>LYQ-ZQ3550-E0-S</v>
          </cell>
          <cell r="B2332" t="str">
            <v>LYQ-ZQ3550</v>
          </cell>
        </row>
        <row r="2333">
          <cell r="A2333" t="str">
            <v>LYQ-ZQ3550-E0-XL</v>
          </cell>
          <cell r="B2333" t="str">
            <v>LYQ-ZQ3550</v>
          </cell>
        </row>
        <row r="2334">
          <cell r="A2334" t="str">
            <v>LYQ-ZQ3550-PI-2X</v>
          </cell>
          <cell r="B2334" t="str">
            <v>LYQ-ZQ3550</v>
          </cell>
        </row>
        <row r="2335">
          <cell r="A2335" t="str">
            <v>LYQ-ZQ3550-PI-3X</v>
          </cell>
          <cell r="B2335" t="str">
            <v>LYQ-ZQ3550</v>
          </cell>
        </row>
        <row r="2336">
          <cell r="A2336" t="str">
            <v>LYQ-ZQ3550-PI-4X</v>
          </cell>
          <cell r="B2336" t="str">
            <v>LYQ-ZQ3550</v>
          </cell>
        </row>
        <row r="2337">
          <cell r="A2337" t="str">
            <v>LYQ-ZQ3550-PI-5X</v>
          </cell>
          <cell r="B2337" t="str">
            <v>LYQ-ZQ3550</v>
          </cell>
        </row>
        <row r="2338">
          <cell r="A2338" t="str">
            <v>LYQ-ZQ3550-PI-L</v>
          </cell>
          <cell r="B2338" t="str">
            <v>LYQ-ZQ3550</v>
          </cell>
        </row>
        <row r="2339">
          <cell r="A2339" t="str">
            <v>LYQ-ZQ3550-PI-M</v>
          </cell>
          <cell r="B2339" t="str">
            <v>LYQ-ZQ3550</v>
          </cell>
        </row>
        <row r="2340">
          <cell r="A2340" t="str">
            <v>LYQ-ZQ3550-PI-S</v>
          </cell>
          <cell r="B2340" t="str">
            <v>LYQ-ZQ3550</v>
          </cell>
        </row>
        <row r="2341">
          <cell r="A2341" t="str">
            <v>LYQ-ZQ3550-PI-XL</v>
          </cell>
          <cell r="B2341" t="str">
            <v>LYQ-ZQ3550</v>
          </cell>
        </row>
        <row r="2342">
          <cell r="A2342" t="str">
            <v>LYQ-ZQ4400-P0-L</v>
          </cell>
          <cell r="B2342" t="str">
            <v>LYQ-ZQ4400</v>
          </cell>
        </row>
        <row r="2343">
          <cell r="A2343" t="str">
            <v>LYQ-ZQ4400-P0-XL</v>
          </cell>
          <cell r="B2343" t="str">
            <v>LYQ-ZQ4400</v>
          </cell>
        </row>
        <row r="2344">
          <cell r="A2344" t="str">
            <v>LYQ-ZQ456-E0-L</v>
          </cell>
          <cell r="B2344" t="str">
            <v>LYQ-ZQ456</v>
          </cell>
        </row>
        <row r="2345">
          <cell r="A2345" t="str">
            <v>LYQ-ZQ456-E0-M</v>
          </cell>
          <cell r="B2345" t="str">
            <v>LYQ-ZQ456</v>
          </cell>
        </row>
        <row r="2346">
          <cell r="A2346" t="str">
            <v>LYQ-ZQ456-E0-S</v>
          </cell>
          <cell r="B2346" t="str">
            <v>LYQ-ZQ456</v>
          </cell>
        </row>
        <row r="2347">
          <cell r="A2347" t="str">
            <v>LYQ-ZQ456-E0-XL</v>
          </cell>
          <cell r="B2347" t="str">
            <v>LYQ-ZQ456</v>
          </cell>
        </row>
        <row r="2348">
          <cell r="A2348" t="str">
            <v>LYQ-ZQ4600-G1-M</v>
          </cell>
          <cell r="B2348" t="str">
            <v>LYQ-ZQ4600</v>
          </cell>
        </row>
        <row r="2349">
          <cell r="A2349" t="str">
            <v>LYQ-ZQ4600-G1-S</v>
          </cell>
          <cell r="B2349" t="str">
            <v>LYQ-ZQ4600</v>
          </cell>
        </row>
        <row r="2350">
          <cell r="A2350" t="str">
            <v>LYQ-ZQ6044-B0-L</v>
          </cell>
          <cell r="B2350" t="str">
            <v>LYQ-ZQ6044</v>
          </cell>
        </row>
        <row r="2351">
          <cell r="A2351" t="str">
            <v>LYQ-ZQ6044-B0-M</v>
          </cell>
          <cell r="B2351" t="str">
            <v>LYQ-ZQ6044</v>
          </cell>
        </row>
        <row r="2352">
          <cell r="A2352" t="str">
            <v>LYQ-ZQ6044-B0-S</v>
          </cell>
          <cell r="B2352" t="str">
            <v>LYQ-ZQ6044</v>
          </cell>
        </row>
        <row r="2353">
          <cell r="A2353" t="str">
            <v>LYQ-ZQ6044-B0-XL</v>
          </cell>
          <cell r="B2353" t="str">
            <v>LYQ-ZQ6044</v>
          </cell>
        </row>
        <row r="2354">
          <cell r="A2354" t="str">
            <v>LYQ-ZQ6044-BT-L</v>
          </cell>
          <cell r="B2354" t="str">
            <v>LYQ-ZQ6044</v>
          </cell>
        </row>
        <row r="2355">
          <cell r="A2355" t="str">
            <v>LYQ-ZQ6044-BT-M</v>
          </cell>
          <cell r="B2355" t="str">
            <v>LYQ-ZQ6044</v>
          </cell>
        </row>
        <row r="2356">
          <cell r="A2356" t="str">
            <v>LYQ-ZQ6044-BT-S</v>
          </cell>
          <cell r="B2356" t="str">
            <v>LYQ-ZQ6044</v>
          </cell>
        </row>
        <row r="2357">
          <cell r="A2357" t="str">
            <v>LYQ-ZQ6044-BT-XL</v>
          </cell>
          <cell r="B2357" t="str">
            <v>LYQ-ZQ6044</v>
          </cell>
        </row>
        <row r="2358">
          <cell r="A2358" t="str">
            <v>LYQ-ZQ7900-W0-L</v>
          </cell>
          <cell r="B2358" t="str">
            <v>LYQ-ZQ7900</v>
          </cell>
        </row>
        <row r="2359">
          <cell r="A2359" t="str">
            <v>LYQ-ZQ7900-W0-M</v>
          </cell>
          <cell r="B2359" t="str">
            <v>LYQ-ZQ7900</v>
          </cell>
        </row>
        <row r="2360">
          <cell r="A2360" t="str">
            <v>LYQ-ZQ7900-W0-S</v>
          </cell>
          <cell r="B2360" t="str">
            <v>LYQ-ZQ7900</v>
          </cell>
        </row>
        <row r="2361">
          <cell r="A2361" t="str">
            <v>LYQ-ZQ7900-W0-XL</v>
          </cell>
          <cell r="B2361" t="str">
            <v>LYQ-ZQ7900</v>
          </cell>
        </row>
        <row r="2362">
          <cell r="A2362" t="str">
            <v>LYQ-ZQ7900-W0-XXL</v>
          </cell>
          <cell r="B2362" t="str">
            <v>LYQ-ZQ7900</v>
          </cell>
        </row>
        <row r="2363">
          <cell r="A2363" t="str">
            <v>LYQ-ZQ8190-L0-L</v>
          </cell>
          <cell r="B2363" t="str">
            <v>LYQ-ZQ8190</v>
          </cell>
        </row>
        <row r="2364">
          <cell r="A2364" t="str">
            <v>LYQ-ZQ8190-P0-L</v>
          </cell>
          <cell r="B2364" t="str">
            <v>LYQ-ZQ8190</v>
          </cell>
        </row>
        <row r="2365">
          <cell r="A2365" t="str">
            <v>LYQ-ZQ8190-P0-M</v>
          </cell>
          <cell r="B2365" t="str">
            <v>LYQ-ZQ8190</v>
          </cell>
        </row>
        <row r="2366">
          <cell r="A2366" t="str">
            <v>LYQ-ZQ8190-P0-S</v>
          </cell>
          <cell r="B2366" t="str">
            <v>LYQ-ZQ8190</v>
          </cell>
        </row>
        <row r="2367">
          <cell r="A2367" t="str">
            <v>LYQ-ZQ8190-P0-XL</v>
          </cell>
          <cell r="B2367" t="str">
            <v>LYQ-ZQ8190</v>
          </cell>
        </row>
        <row r="2368">
          <cell r="A2368" t="str">
            <v>LYQ-ZQ8190-WB-L</v>
          </cell>
          <cell r="B2368" t="str">
            <v>LYQ-ZQ8190</v>
          </cell>
        </row>
        <row r="2369">
          <cell r="A2369" t="str">
            <v>LYQ-ZQ8190-WB-M</v>
          </cell>
          <cell r="B2369" t="str">
            <v>LYQ-ZQ8190</v>
          </cell>
        </row>
        <row r="2370">
          <cell r="A2370" t="str">
            <v>LYQ-ZQ8190-WB-S</v>
          </cell>
          <cell r="B2370" t="str">
            <v>LYQ-ZQ8190</v>
          </cell>
        </row>
        <row r="2371">
          <cell r="A2371" t="str">
            <v>LYQ-ZQ8190-WB-XL</v>
          </cell>
          <cell r="B2371" t="str">
            <v>LYQ-ZQ8190</v>
          </cell>
        </row>
        <row r="2372">
          <cell r="A2372" t="str">
            <v>LYQ-ZQ8190-ZL-L</v>
          </cell>
          <cell r="B2372" t="str">
            <v>LYQ-ZQ8190</v>
          </cell>
        </row>
        <row r="2373">
          <cell r="A2373" t="str">
            <v>LYQ-ZQ8190-ZL-M</v>
          </cell>
          <cell r="B2373" t="str">
            <v>LYQ-ZQ8190</v>
          </cell>
        </row>
        <row r="2374">
          <cell r="A2374" t="str">
            <v>LYQ-ZQ8190-ZL-S</v>
          </cell>
          <cell r="B2374" t="str">
            <v>LYQ-ZQ8190</v>
          </cell>
        </row>
        <row r="2375">
          <cell r="A2375" t="str">
            <v>LYQ-ZQ8190-ZL-XL</v>
          </cell>
          <cell r="B2375" t="str">
            <v>LYQ-ZQ8190</v>
          </cell>
        </row>
        <row r="2376">
          <cell r="A2376" t="str">
            <v>LYQ-ZQ8200-FB-L</v>
          </cell>
          <cell r="B2376" t="str">
            <v>LYQ-ZQ8200</v>
          </cell>
        </row>
        <row r="2377">
          <cell r="A2377" t="str">
            <v>LYQ-ZQ8200-FB-M</v>
          </cell>
          <cell r="B2377" t="str">
            <v>LYQ-ZQ8200</v>
          </cell>
        </row>
        <row r="2378">
          <cell r="A2378" t="str">
            <v>LYQ-ZQ8200-FB-S</v>
          </cell>
          <cell r="B2378" t="str">
            <v>LYQ-ZQ8200</v>
          </cell>
        </row>
        <row r="2379">
          <cell r="A2379" t="str">
            <v>LYQ-ZQ8200-FB-XL</v>
          </cell>
          <cell r="B2379" t="str">
            <v>LYQ-ZQ8200</v>
          </cell>
        </row>
        <row r="2380">
          <cell r="A2380" t="str">
            <v>LYQ-ZQ8200-K0-L</v>
          </cell>
          <cell r="B2380" t="str">
            <v>LYQ-ZQ8200</v>
          </cell>
        </row>
        <row r="2381">
          <cell r="A2381" t="str">
            <v>LYQ-ZQ8200-K0-M</v>
          </cell>
          <cell r="B2381" t="str">
            <v>LYQ-ZQ8200</v>
          </cell>
        </row>
        <row r="2382">
          <cell r="A2382" t="str">
            <v>LYQ-ZQ8200-K0-S</v>
          </cell>
          <cell r="B2382" t="str">
            <v>LYQ-ZQ8200</v>
          </cell>
        </row>
        <row r="2383">
          <cell r="A2383" t="str">
            <v>LYQ-ZQ8200-K0-XL</v>
          </cell>
          <cell r="B2383" t="str">
            <v>LYQ-ZQ8200</v>
          </cell>
        </row>
        <row r="2384">
          <cell r="A2384" t="str">
            <v>LYQ-ZQ8200-P0-L</v>
          </cell>
          <cell r="B2384" t="str">
            <v>LYQ-ZQ8200</v>
          </cell>
        </row>
        <row r="2385">
          <cell r="A2385" t="str">
            <v>LYQ-ZQ8200-P0-M</v>
          </cell>
          <cell r="B2385" t="str">
            <v>LYQ-ZQ8200</v>
          </cell>
        </row>
        <row r="2386">
          <cell r="A2386" t="str">
            <v>LYQ-ZQ8200-P0-S</v>
          </cell>
          <cell r="B2386" t="str">
            <v>LYQ-ZQ8200</v>
          </cell>
        </row>
        <row r="2387">
          <cell r="A2387" t="str">
            <v>LYQ-ZQ8200-P0-XL</v>
          </cell>
          <cell r="B2387" t="str">
            <v>LYQ-ZQ8200</v>
          </cell>
        </row>
        <row r="2388">
          <cell r="A2388" t="str">
            <v>LYQ-ZQ9114-ZL-L</v>
          </cell>
          <cell r="B2388" t="str">
            <v>LYQ-ZQC910</v>
          </cell>
        </row>
        <row r="2389">
          <cell r="A2389" t="str">
            <v>LYQ-ZQC910-K0-L</v>
          </cell>
          <cell r="B2389" t="str">
            <v>LYQ-ZQC910</v>
          </cell>
        </row>
        <row r="2390">
          <cell r="A2390" t="str">
            <v>LYQ-ZQC910-K0-M</v>
          </cell>
          <cell r="B2390" t="str">
            <v>LYQ-ZQC910</v>
          </cell>
        </row>
        <row r="2391">
          <cell r="A2391" t="str">
            <v>LYQ-ZQC910-K0-S</v>
          </cell>
          <cell r="B2391" t="str">
            <v>LYQ-ZQC910</v>
          </cell>
        </row>
        <row r="2392">
          <cell r="A2392" t="str">
            <v>LYQ-ZQC910-K0-XL</v>
          </cell>
          <cell r="B2392" t="str">
            <v>LYQ-ZQC910</v>
          </cell>
        </row>
        <row r="2393">
          <cell r="A2393" t="str">
            <v>LYQ-ZQD270-E0-L</v>
          </cell>
          <cell r="B2393" t="str">
            <v>LYQ-ZQD270</v>
          </cell>
        </row>
        <row r="2394">
          <cell r="A2394" t="str">
            <v>LYQ-ZQD270-E0-M</v>
          </cell>
          <cell r="B2394" t="str">
            <v>LYQ-ZQD270</v>
          </cell>
        </row>
        <row r="2395">
          <cell r="A2395" t="str">
            <v>LYQ-ZQD270-E0-S</v>
          </cell>
          <cell r="B2395" t="str">
            <v>LYQ-ZQD270</v>
          </cell>
        </row>
        <row r="2396">
          <cell r="A2396" t="str">
            <v>LYQ-ZQD270-E0-S-GM</v>
          </cell>
          <cell r="B2396" t="str">
            <v>LYQ-ZQD270</v>
          </cell>
        </row>
        <row r="2397">
          <cell r="A2397" t="str">
            <v>LYQ-ZQD270-E0-XL</v>
          </cell>
          <cell r="B2397" t="str">
            <v>LYQ-ZQD270</v>
          </cell>
        </row>
        <row r="2398">
          <cell r="A2398" t="str">
            <v>LYQ-ZQD270-E0-XL-GM</v>
          </cell>
          <cell r="B2398" t="str">
            <v>LYQ-ZQD270</v>
          </cell>
        </row>
        <row r="2399">
          <cell r="A2399" t="str">
            <v>LYQ-ZQD270-G7-L</v>
          </cell>
          <cell r="B2399" t="str">
            <v>LYQ-ZQD270</v>
          </cell>
        </row>
        <row r="2400">
          <cell r="A2400" t="str">
            <v>LYQ-ZQD270-G7-L-GM</v>
          </cell>
          <cell r="B2400" t="str">
            <v>LYQ-ZQD270</v>
          </cell>
        </row>
        <row r="2401">
          <cell r="A2401" t="str">
            <v>LYQ-ZQD270-G7-M</v>
          </cell>
          <cell r="B2401" t="str">
            <v>LYQ-ZQD270</v>
          </cell>
        </row>
        <row r="2402">
          <cell r="A2402" t="str">
            <v>LYQ-ZQD270-G7-S</v>
          </cell>
          <cell r="B2402" t="str">
            <v>LYQ-ZQD270</v>
          </cell>
        </row>
        <row r="2403">
          <cell r="A2403" t="str">
            <v>LYQ-ZQD270-G7-XL</v>
          </cell>
          <cell r="B2403" t="str">
            <v>LYQ-ZQD270</v>
          </cell>
        </row>
        <row r="2404">
          <cell r="A2404" t="str">
            <v>LYQ-ZQD270-K0-L</v>
          </cell>
          <cell r="B2404" t="str">
            <v>LYQ-ZQD270</v>
          </cell>
        </row>
        <row r="2405">
          <cell r="A2405" t="str">
            <v>LYQ-ZQD270-K0-M</v>
          </cell>
          <cell r="B2405" t="str">
            <v>LYQ-ZQD270</v>
          </cell>
        </row>
        <row r="2406">
          <cell r="A2406" t="str">
            <v>LYQ-ZQD270-K0-S</v>
          </cell>
          <cell r="B2406" t="str">
            <v>LYQ-ZQD270</v>
          </cell>
        </row>
        <row r="2407">
          <cell r="A2407" t="str">
            <v>LYQ-ZQD270-K0-XL</v>
          </cell>
          <cell r="B2407" t="str">
            <v>LYQ-ZQD270</v>
          </cell>
        </row>
        <row r="2408">
          <cell r="A2408" t="str">
            <v>LYQ-ZQD270-KQ-L</v>
          </cell>
          <cell r="B2408" t="str">
            <v>LYQ-ZQD270</v>
          </cell>
        </row>
        <row r="2409">
          <cell r="A2409" t="str">
            <v>LYQ-ZQD270-KQ-M</v>
          </cell>
          <cell r="B2409" t="str">
            <v>LYQ-ZQD270</v>
          </cell>
        </row>
        <row r="2410">
          <cell r="A2410" t="str">
            <v>LYQ-ZQD270-KQ-S</v>
          </cell>
          <cell r="B2410" t="str">
            <v>LYQ-ZQD270</v>
          </cell>
        </row>
        <row r="2411">
          <cell r="A2411" t="str">
            <v>LYQ-ZQD270-KQ-XL</v>
          </cell>
          <cell r="B2411" t="str">
            <v>LYQ-ZQD270</v>
          </cell>
        </row>
        <row r="2412">
          <cell r="A2412" t="str">
            <v>LYQ-ZQD270-P0-L</v>
          </cell>
          <cell r="B2412" t="str">
            <v>LYQ-ZQD270</v>
          </cell>
        </row>
        <row r="2413">
          <cell r="A2413" t="str">
            <v>LYQ-ZQD270-P0-M</v>
          </cell>
          <cell r="B2413" t="str">
            <v>LYQ-ZQD270</v>
          </cell>
        </row>
        <row r="2414">
          <cell r="A2414" t="str">
            <v>LYQ-ZQD270-P0-S</v>
          </cell>
          <cell r="B2414" t="str">
            <v>LYQ-ZQD270</v>
          </cell>
        </row>
        <row r="2415">
          <cell r="A2415" t="str">
            <v>LYQ-ZQD270-P0-XL</v>
          </cell>
          <cell r="B2415" t="str">
            <v>LYQ-ZQD270</v>
          </cell>
        </row>
        <row r="2416">
          <cell r="A2416" t="str">
            <v>LYQ-ZQD270-W0-L</v>
          </cell>
          <cell r="B2416" t="str">
            <v>LYQ-ZQD270</v>
          </cell>
        </row>
        <row r="2417">
          <cell r="A2417" t="str">
            <v>LYQ-ZQD270-W0-M</v>
          </cell>
          <cell r="B2417" t="str">
            <v>LYQ-ZQD270</v>
          </cell>
        </row>
        <row r="2418">
          <cell r="A2418" t="str">
            <v>LYQ-ZQD270-W0-S</v>
          </cell>
          <cell r="B2418" t="str">
            <v>LYQ-ZQD270</v>
          </cell>
        </row>
        <row r="2419">
          <cell r="A2419" t="str">
            <v>LYQ-ZQD270-W0-XL</v>
          </cell>
          <cell r="B2419" t="str">
            <v>LYQ-ZQD270</v>
          </cell>
        </row>
        <row r="2420">
          <cell r="A2420" t="str">
            <v>LYQ-ZQD390-B0-L</v>
          </cell>
          <cell r="B2420" t="str">
            <v>LYQ-ZQD390</v>
          </cell>
        </row>
        <row r="2421">
          <cell r="A2421" t="str">
            <v>LYQ-ZQD390-B0-M</v>
          </cell>
          <cell r="B2421" t="str">
            <v>LYQ-ZQD390</v>
          </cell>
        </row>
        <row r="2422">
          <cell r="A2422" t="str">
            <v>LYQ-ZQD390-B0-S</v>
          </cell>
          <cell r="B2422" t="str">
            <v>LYQ-ZQD390</v>
          </cell>
        </row>
        <row r="2423">
          <cell r="A2423" t="str">
            <v>LYQ-ZQD390-B0-XL</v>
          </cell>
          <cell r="B2423" t="str">
            <v>LYQ-ZQD390</v>
          </cell>
        </row>
        <row r="2424">
          <cell r="A2424" t="str">
            <v>LYQ-ZQD390-BE-L</v>
          </cell>
          <cell r="B2424" t="str">
            <v>LYQ-ZQD390</v>
          </cell>
        </row>
        <row r="2425">
          <cell r="A2425" t="str">
            <v>LYQ-ZQD390-BE-M</v>
          </cell>
          <cell r="B2425" t="str">
            <v>LYQ-ZQD390</v>
          </cell>
        </row>
        <row r="2426">
          <cell r="A2426" t="str">
            <v>LYQ-ZQD390-BE-S</v>
          </cell>
          <cell r="B2426" t="str">
            <v>LYQ-ZQD390</v>
          </cell>
        </row>
        <row r="2427">
          <cell r="A2427" t="str">
            <v>LYQ-ZQD390-BE-XL</v>
          </cell>
          <cell r="B2427" t="str">
            <v>LYQ-ZQD390</v>
          </cell>
        </row>
        <row r="2428">
          <cell r="A2428" t="str">
            <v>LYQ-ZQD390-BE-XL-GM</v>
          </cell>
          <cell r="B2428" t="str">
            <v>LYQ-ZQD390</v>
          </cell>
        </row>
        <row r="2429">
          <cell r="A2429" t="str">
            <v>LYQ-ZQD390-E0-L</v>
          </cell>
          <cell r="B2429" t="str">
            <v>LYQ-ZQD390</v>
          </cell>
        </row>
        <row r="2430">
          <cell r="A2430" t="str">
            <v>LYQ-ZQD390-E0-M</v>
          </cell>
          <cell r="B2430" t="str">
            <v>LYQ-ZQD390</v>
          </cell>
        </row>
        <row r="2431">
          <cell r="A2431" t="str">
            <v>LYQ-ZQD390-E0-S</v>
          </cell>
          <cell r="B2431" t="str">
            <v>LYQ-ZQD390</v>
          </cell>
        </row>
        <row r="2432">
          <cell r="A2432" t="str">
            <v>LYQ-ZQD390-E0-XL</v>
          </cell>
          <cell r="B2432" t="str">
            <v>LYQ-ZQD390</v>
          </cell>
        </row>
        <row r="2433">
          <cell r="A2433" t="str">
            <v>LYQ-ZQD390-E0-XL-GM</v>
          </cell>
          <cell r="B2433" t="str">
            <v>LYQ-ZQD390</v>
          </cell>
        </row>
        <row r="2434">
          <cell r="A2434" t="str">
            <v>LYQ-ZQD390-G0-L</v>
          </cell>
          <cell r="B2434" t="str">
            <v>LYQ-ZQD390</v>
          </cell>
        </row>
        <row r="2435">
          <cell r="A2435" t="str">
            <v>LYQ-ZQD390-G0-M</v>
          </cell>
          <cell r="B2435" t="str">
            <v>LYQ-ZQD390</v>
          </cell>
        </row>
        <row r="2436">
          <cell r="A2436" t="str">
            <v>LYQ-ZQD390-G0-S</v>
          </cell>
          <cell r="B2436" t="str">
            <v>LYQ-ZQD390</v>
          </cell>
        </row>
        <row r="2437">
          <cell r="A2437" t="str">
            <v>LYQ-ZQD390-G0-XL</v>
          </cell>
          <cell r="B2437" t="str">
            <v>LYQ-ZQD390</v>
          </cell>
        </row>
        <row r="2438">
          <cell r="A2438" t="str">
            <v>LYQ-ZQD390-K0-L</v>
          </cell>
          <cell r="B2438" t="str">
            <v>LYQ-ZQD390</v>
          </cell>
        </row>
        <row r="2439">
          <cell r="A2439" t="str">
            <v>LYQ-ZQD390-K0-M</v>
          </cell>
          <cell r="B2439" t="str">
            <v>LYQ-ZQD390</v>
          </cell>
        </row>
        <row r="2440">
          <cell r="A2440" t="str">
            <v>LYQ-ZQD390-K0-S</v>
          </cell>
          <cell r="B2440" t="str">
            <v>LYQ-ZQD390</v>
          </cell>
        </row>
        <row r="2441">
          <cell r="A2441" t="str">
            <v>LYQ-ZQD390-K0-XL</v>
          </cell>
          <cell r="B2441" t="str">
            <v>LYQ-ZQD390</v>
          </cell>
        </row>
        <row r="2442">
          <cell r="A2442" t="str">
            <v>LYQ-ZQD390-PI-L</v>
          </cell>
          <cell r="B2442" t="str">
            <v>LYQ-ZQD390</v>
          </cell>
        </row>
        <row r="2443">
          <cell r="A2443" t="str">
            <v>LYQ-ZQD390-PI-M</v>
          </cell>
          <cell r="B2443" t="str">
            <v>LYQ-ZQD390</v>
          </cell>
        </row>
        <row r="2444">
          <cell r="A2444" t="str">
            <v>LYQ-ZQD390-PI-M-GM</v>
          </cell>
          <cell r="B2444" t="str">
            <v>LYQ-ZQD390</v>
          </cell>
        </row>
        <row r="2445">
          <cell r="A2445" t="str">
            <v>LYQ-ZQD390-PI-S</v>
          </cell>
          <cell r="B2445" t="str">
            <v>LYQ-ZQD390</v>
          </cell>
        </row>
        <row r="2446">
          <cell r="A2446" t="str">
            <v>LYQ-ZQD390-PI-XL</v>
          </cell>
          <cell r="B2446" t="str">
            <v>LYQ-ZQD390</v>
          </cell>
        </row>
        <row r="2447">
          <cell r="A2447" t="str">
            <v>LYQ-ZQD390-PI-XL-GM</v>
          </cell>
          <cell r="B2447" t="str">
            <v>LYQ-ZQD390</v>
          </cell>
        </row>
        <row r="2448">
          <cell r="A2448" t="str">
            <v>LYQ-ZQD390-W0-L</v>
          </cell>
          <cell r="B2448" t="str">
            <v>LYQ-ZQD390</v>
          </cell>
        </row>
        <row r="2449">
          <cell r="A2449" t="str">
            <v>LYQ-ZQD390-W0-M</v>
          </cell>
          <cell r="B2449" t="str">
            <v>LYQ-ZQD390</v>
          </cell>
        </row>
        <row r="2450">
          <cell r="A2450" t="str">
            <v>LYQ-ZQD390-W0-S</v>
          </cell>
          <cell r="B2450" t="str">
            <v>LYQ-ZQD390</v>
          </cell>
        </row>
        <row r="2451">
          <cell r="A2451" t="str">
            <v>LYQ-ZQD390-W0-XL</v>
          </cell>
          <cell r="B2451" t="str">
            <v>LYQ-ZQD390</v>
          </cell>
        </row>
        <row r="2452">
          <cell r="A2452" t="str">
            <v>LYQ-ZQD390-W0-XL-GM</v>
          </cell>
          <cell r="B2452" t="str">
            <v>LYQ-ZQD390</v>
          </cell>
        </row>
        <row r="2453">
          <cell r="A2453" t="str">
            <v>LYQ-ZQLC00-K0-L</v>
          </cell>
          <cell r="B2453" t="str">
            <v>LYQ-ZQLC00</v>
          </cell>
        </row>
        <row r="2454">
          <cell r="A2454" t="str">
            <v>LYQ-ZQLC00-K0-M</v>
          </cell>
          <cell r="B2454" t="str">
            <v>LYQ-ZQLC00</v>
          </cell>
        </row>
        <row r="2455">
          <cell r="A2455" t="str">
            <v>LYQ-ZQLC00-K0-S</v>
          </cell>
          <cell r="B2455" t="str">
            <v>LYQ-ZQLC00</v>
          </cell>
        </row>
        <row r="2456">
          <cell r="A2456" t="str">
            <v>LYQ-ZQLC00-K0-XL</v>
          </cell>
          <cell r="B2456" t="str">
            <v>LYQ-ZQLC00</v>
          </cell>
        </row>
        <row r="2457">
          <cell r="A2457" t="str">
            <v>LYQ-ZQLP01-P0-L</v>
          </cell>
          <cell r="B2457" t="str">
            <v>LYQ-ZQLP01</v>
          </cell>
        </row>
        <row r="2458">
          <cell r="A2458" t="str">
            <v>LYQ-ZQLP01-P0-M</v>
          </cell>
          <cell r="B2458" t="str">
            <v>LYQ-ZQLP01</v>
          </cell>
        </row>
        <row r="2459">
          <cell r="A2459" t="str">
            <v>LYQ-ZQLP01-P0-S</v>
          </cell>
          <cell r="B2459" t="str">
            <v>LYQ-ZQLP01</v>
          </cell>
        </row>
        <row r="2460">
          <cell r="A2460" t="str">
            <v>LYQ-ZQLP01-P0-XL</v>
          </cell>
          <cell r="B2460" t="str">
            <v>LYQ-ZQLP01</v>
          </cell>
        </row>
        <row r="2461">
          <cell r="A2461" t="str">
            <v>LYQ-ZQMB170005-K0-2X</v>
          </cell>
          <cell r="B2461" t="str">
            <v>LYQ-ZQMB170005</v>
          </cell>
        </row>
        <row r="2462">
          <cell r="A2462" t="str">
            <v>LYQ-ZQMB170005-K0-3X</v>
          </cell>
          <cell r="B2462" t="str">
            <v>LYQ-ZQMB170005</v>
          </cell>
        </row>
        <row r="2463">
          <cell r="A2463" t="str">
            <v>LYQ-ZQMB170005-K0-XL</v>
          </cell>
          <cell r="B2463" t="str">
            <v>LYQ-ZQMB170005</v>
          </cell>
        </row>
        <row r="2464">
          <cell r="A2464" t="str">
            <v>LYQ-ZQMB3811-E0-2X</v>
          </cell>
          <cell r="B2464" t="str">
            <v>LYQ-ZQMB3811</v>
          </cell>
        </row>
        <row r="2465">
          <cell r="A2465" t="str">
            <v>LYQ-ZQMB3811-E0-3X</v>
          </cell>
          <cell r="B2465" t="str">
            <v>LYQ-ZQMB3811</v>
          </cell>
        </row>
        <row r="2466">
          <cell r="A2466" t="str">
            <v>LYQ-ZQMB3811-E0-4X</v>
          </cell>
          <cell r="B2466" t="str">
            <v>LYQ-ZQMB3811</v>
          </cell>
        </row>
        <row r="2467">
          <cell r="A2467" t="str">
            <v>LYQ-ZQMB3811-E0-5X</v>
          </cell>
          <cell r="B2467" t="str">
            <v>LYQ-ZQMB3811</v>
          </cell>
        </row>
        <row r="2468">
          <cell r="A2468" t="str">
            <v>LYQ-ZQMB3811-E0-6X</v>
          </cell>
          <cell r="B2468" t="str">
            <v>LYQ-ZQMB3811</v>
          </cell>
        </row>
        <row r="2469">
          <cell r="A2469" t="str">
            <v>LYQ-ZQMB3811-E0-XL</v>
          </cell>
          <cell r="B2469" t="str">
            <v>LYQ-ZQMB3811</v>
          </cell>
        </row>
        <row r="2470">
          <cell r="A2470" t="str">
            <v>LYQ-ZQMB3811-K0-2X</v>
          </cell>
          <cell r="B2470" t="str">
            <v>LYQ-ZQMB3811</v>
          </cell>
        </row>
        <row r="2471">
          <cell r="A2471" t="str">
            <v>LYQ-ZQMB3811-K0-3X</v>
          </cell>
          <cell r="B2471" t="str">
            <v>LYQ-ZQMB3811</v>
          </cell>
        </row>
        <row r="2472">
          <cell r="A2472" t="str">
            <v>LYQ-ZQMB3811-K0-4X</v>
          </cell>
          <cell r="B2472" t="str">
            <v>LYQ-ZQMB3811</v>
          </cell>
        </row>
        <row r="2473">
          <cell r="A2473" t="str">
            <v>LYQ-ZQMB3811-K0-5X</v>
          </cell>
          <cell r="B2473" t="str">
            <v>LYQ-ZQMB3811</v>
          </cell>
        </row>
        <row r="2474">
          <cell r="A2474" t="str">
            <v>LYQ-ZQMB3811-K0-6X</v>
          </cell>
          <cell r="B2474" t="str">
            <v>LYQ-ZQMB3811</v>
          </cell>
        </row>
        <row r="2475">
          <cell r="A2475" t="str">
            <v>LYQ-ZQMB3811-K0-XL</v>
          </cell>
          <cell r="B2475" t="str">
            <v>LYQ-ZQMB3811</v>
          </cell>
        </row>
        <row r="2476">
          <cell r="A2476" t="str">
            <v>LYQ-ZQPC01-B0-L</v>
          </cell>
          <cell r="B2476" t="str">
            <v>LYQ-ZQPC01</v>
          </cell>
        </row>
        <row r="2477">
          <cell r="A2477" t="str">
            <v>LYQ-ZQPC01-B0-M</v>
          </cell>
          <cell r="B2477" t="str">
            <v>LYQ-ZQPC01</v>
          </cell>
        </row>
        <row r="2478">
          <cell r="A2478" t="str">
            <v>LYQ-ZQPC01-B0-S</v>
          </cell>
          <cell r="B2478" t="str">
            <v>LYQ-ZQPC01</v>
          </cell>
        </row>
        <row r="2479">
          <cell r="A2479" t="str">
            <v>LYQ-ZQPC01-B0-XL</v>
          </cell>
          <cell r="B2479" t="str">
            <v>LYQ-ZQPC01</v>
          </cell>
        </row>
        <row r="2480">
          <cell r="A2480" t="str">
            <v>LYQ-ZQPC01-B0-XXL</v>
          </cell>
          <cell r="B2480" t="str">
            <v>LYQ-ZQPC01</v>
          </cell>
        </row>
        <row r="2481">
          <cell r="A2481" t="str">
            <v>LYQ-ZQPC01-BD-L</v>
          </cell>
          <cell r="B2481" t="str">
            <v>LYQ-ZQPC01</v>
          </cell>
        </row>
        <row r="2482">
          <cell r="A2482" t="str">
            <v>LYQ-ZQPC01-BD-M</v>
          </cell>
          <cell r="B2482" t="str">
            <v>LYQ-ZQPC01</v>
          </cell>
        </row>
        <row r="2483">
          <cell r="A2483" t="str">
            <v>LYQ-ZQPC01-BD-S</v>
          </cell>
          <cell r="B2483" t="str">
            <v>LYQ-ZQPC01</v>
          </cell>
        </row>
        <row r="2484">
          <cell r="A2484" t="str">
            <v>LYQ-ZQPC01-BD-XL</v>
          </cell>
          <cell r="B2484" t="str">
            <v>LYQ-ZQPC01</v>
          </cell>
        </row>
        <row r="2485">
          <cell r="A2485" t="str">
            <v>LYQ-ZQPC01-BD-XXL</v>
          </cell>
          <cell r="B2485" t="str">
            <v>LYQ-ZQPC01</v>
          </cell>
        </row>
        <row r="2486">
          <cell r="A2486" t="str">
            <v>LYQ-ZQPC01-E0-L</v>
          </cell>
          <cell r="B2486" t="str">
            <v>LYQ-ZQPC01</v>
          </cell>
        </row>
        <row r="2487">
          <cell r="A2487" t="str">
            <v>LYQ-ZQPC01-E0-M</v>
          </cell>
          <cell r="B2487" t="str">
            <v>LYQ-ZQPC01</v>
          </cell>
        </row>
        <row r="2488">
          <cell r="A2488" t="str">
            <v>LYQ-ZQPC01-E0-S</v>
          </cell>
          <cell r="B2488" t="str">
            <v>LYQ-ZQPC01</v>
          </cell>
        </row>
        <row r="2489">
          <cell r="A2489" t="str">
            <v>LYQ-ZQPC01-E0-XL</v>
          </cell>
          <cell r="B2489" t="str">
            <v>LYQ-ZQPC01</v>
          </cell>
        </row>
        <row r="2490">
          <cell r="A2490" t="str">
            <v>LYQ-ZQPC01-E0-XXL</v>
          </cell>
          <cell r="B2490" t="str">
            <v>LYQ-ZQPC01</v>
          </cell>
        </row>
        <row r="2491">
          <cell r="A2491" t="str">
            <v>LYQ-ZQPC01-P0-L</v>
          </cell>
          <cell r="B2491" t="str">
            <v>LYQ-ZQPC01</v>
          </cell>
        </row>
        <row r="2492">
          <cell r="A2492" t="str">
            <v>LYQ-ZQPC01-P0-M</v>
          </cell>
          <cell r="B2492" t="str">
            <v>LYQ-ZQPC01</v>
          </cell>
        </row>
        <row r="2493">
          <cell r="A2493" t="str">
            <v>LYQ-ZQPC01-P0-S</v>
          </cell>
          <cell r="B2493" t="str">
            <v>LYQ-ZQPC01</v>
          </cell>
        </row>
        <row r="2494">
          <cell r="A2494" t="str">
            <v>LYQ-ZQPC01-P0-XL</v>
          </cell>
          <cell r="B2494" t="str">
            <v>LYQ-ZQPC01</v>
          </cell>
        </row>
        <row r="2495">
          <cell r="A2495" t="str">
            <v>LYQ-ZQPC01-P0-XXL</v>
          </cell>
          <cell r="B2495" t="str">
            <v>LYQ-ZQPC01</v>
          </cell>
        </row>
        <row r="2496">
          <cell r="A2496" t="str">
            <v>LYQ-ZQPC01-ZL-L</v>
          </cell>
          <cell r="B2496" t="str">
            <v>LYQ-ZQPC01</v>
          </cell>
        </row>
        <row r="2497">
          <cell r="A2497" t="str">
            <v>LYQ-ZQPC01-ZL-M</v>
          </cell>
          <cell r="B2497" t="str">
            <v>LYQ-ZQPC01</v>
          </cell>
        </row>
        <row r="2498">
          <cell r="A2498" t="str">
            <v>LYQ-ZQPC01-ZL-S</v>
          </cell>
          <cell r="B2498" t="str">
            <v>LYQ-ZQPC01</v>
          </cell>
        </row>
        <row r="2499">
          <cell r="A2499" t="str">
            <v>LYQ-ZQPC01-ZL-XL</v>
          </cell>
          <cell r="B2499" t="str">
            <v>LYQ-ZQPC01</v>
          </cell>
        </row>
        <row r="2500">
          <cell r="A2500" t="str">
            <v>LYQ-ZQPC01-ZL-XXL</v>
          </cell>
          <cell r="B2500" t="str">
            <v>LYQ-ZQPC01</v>
          </cell>
        </row>
        <row r="2501">
          <cell r="A2501" t="str">
            <v>LYQ-ZQS1741-G7-L</v>
          </cell>
          <cell r="B2501" t="str">
            <v>LYQ-ZQS1741</v>
          </cell>
        </row>
        <row r="2502">
          <cell r="A2502" t="str">
            <v>LYQ-ZQS1741-G7-M</v>
          </cell>
          <cell r="B2502" t="str">
            <v>LYQ-ZQS1741</v>
          </cell>
        </row>
        <row r="2503">
          <cell r="A2503" t="str">
            <v>LYQ-ZQS1741-G7-S</v>
          </cell>
          <cell r="B2503" t="str">
            <v>LYQ-ZQS1741</v>
          </cell>
        </row>
        <row r="2504">
          <cell r="A2504" t="str">
            <v>LYQ-ZQS1741-G7-XL</v>
          </cell>
          <cell r="B2504" t="str">
            <v>LYQ-ZQS1741</v>
          </cell>
        </row>
        <row r="2505">
          <cell r="A2505" t="str">
            <v>LYQ-ZQS1741-K0-L</v>
          </cell>
          <cell r="B2505" t="str">
            <v>LYQ-ZQS1741</v>
          </cell>
        </row>
        <row r="2506">
          <cell r="A2506" t="str">
            <v>LYQ-ZQS1741-K0-M</v>
          </cell>
          <cell r="B2506" t="str">
            <v>LYQ-ZQS1741</v>
          </cell>
        </row>
        <row r="2507">
          <cell r="A2507" t="str">
            <v>LYQ-ZQS1741-K0-S</v>
          </cell>
          <cell r="B2507" t="str">
            <v>LYQ-ZQS1741</v>
          </cell>
        </row>
        <row r="2508">
          <cell r="A2508" t="str">
            <v>LYQ-ZQS1741-K0-XL</v>
          </cell>
          <cell r="B2508" t="str">
            <v>LYQ-ZQS1741</v>
          </cell>
        </row>
        <row r="2509">
          <cell r="A2509" t="str">
            <v>LYQ-ZQS1741-W0-L</v>
          </cell>
          <cell r="B2509" t="str">
            <v>LYQ-ZQS1741</v>
          </cell>
        </row>
        <row r="2510">
          <cell r="A2510" t="str">
            <v>LYQ-ZQS1741-W0-M</v>
          </cell>
          <cell r="B2510" t="str">
            <v>LYQ-ZQS1741</v>
          </cell>
        </row>
        <row r="2511">
          <cell r="A2511" t="str">
            <v>LYQ-ZQS1741-W0-S</v>
          </cell>
          <cell r="B2511" t="str">
            <v>LYQ-ZQS1741</v>
          </cell>
        </row>
        <row r="2512">
          <cell r="A2512" t="str">
            <v>LYQ-ZQS1741-W0-XL</v>
          </cell>
          <cell r="B2512" t="str">
            <v>LYQ-ZQS1741</v>
          </cell>
        </row>
        <row r="2513">
          <cell r="A2513" t="str">
            <v>LYQ-ZQTN2611-BD-2X</v>
          </cell>
          <cell r="B2513" t="str">
            <v>LYQ-ZQTN2611</v>
          </cell>
        </row>
        <row r="2514">
          <cell r="A2514" t="str">
            <v>LYQ-ZQTN2611-BD-3X</v>
          </cell>
          <cell r="B2514" t="str">
            <v>LYQ-ZQTN2611</v>
          </cell>
        </row>
        <row r="2515">
          <cell r="A2515" t="str">
            <v>LYQ-ZQTN2611-BD-4X</v>
          </cell>
          <cell r="B2515" t="str">
            <v>LYQ-ZQTN2611</v>
          </cell>
        </row>
        <row r="2516">
          <cell r="A2516" t="str">
            <v>LYQ-ZQTN2611-BD-5X</v>
          </cell>
          <cell r="B2516" t="str">
            <v>LYQ-ZQTN2611</v>
          </cell>
        </row>
        <row r="2517">
          <cell r="A2517" t="str">
            <v>LYQ-ZQTN2611-PI-2X</v>
          </cell>
          <cell r="B2517" t="str">
            <v>LYQ-ZQTN2611</v>
          </cell>
        </row>
        <row r="2518">
          <cell r="A2518" t="str">
            <v>LYQ-ZQTN2611-PI-3X</v>
          </cell>
          <cell r="B2518" t="str">
            <v>LYQ-ZQTN2611</v>
          </cell>
        </row>
        <row r="2519">
          <cell r="A2519" t="str">
            <v>LYQ-ZQTN2611-PI-4X</v>
          </cell>
          <cell r="B2519" t="str">
            <v>LYQ-ZQTN2611</v>
          </cell>
        </row>
        <row r="2520">
          <cell r="A2520" t="str">
            <v>LYQ-ZQTN2611-PI-5X</v>
          </cell>
          <cell r="B2520" t="str">
            <v>LYQ-ZQTN2611</v>
          </cell>
        </row>
        <row r="2521">
          <cell r="A2521" t="str">
            <v>LYQ-ZQTN2611-PI-6X</v>
          </cell>
          <cell r="B2521" t="str">
            <v>LYQ-ZQTN2611</v>
          </cell>
        </row>
        <row r="2522">
          <cell r="A2522" t="str">
            <v>LYQ-ZQTN2611-PI-XL</v>
          </cell>
          <cell r="B2522" t="str">
            <v>LYQ-ZQTN2611</v>
          </cell>
        </row>
        <row r="2523">
          <cell r="A2523" t="str">
            <v>LYQ-ZQTW01-B0-L</v>
          </cell>
          <cell r="B2523" t="str">
            <v>LYQ-ZQTW01</v>
          </cell>
        </row>
        <row r="2524">
          <cell r="A2524" t="str">
            <v>LYQ-ZQTW586-K0-XL</v>
          </cell>
          <cell r="B2524" t="str">
            <v>LYQ-ZQTW586</v>
          </cell>
        </row>
        <row r="2525">
          <cell r="A2525" t="str">
            <v>MJ-IUYL230-BL-L</v>
          </cell>
          <cell r="B2525" t="str">
            <v>MJ-IUYL230</v>
          </cell>
        </row>
        <row r="2526">
          <cell r="A2526" t="str">
            <v>MJ-IUYL230-BL-S</v>
          </cell>
          <cell r="B2526" t="str">
            <v>MJ-IUYL230</v>
          </cell>
        </row>
        <row r="2527">
          <cell r="A2527" t="str">
            <v>MJ-IUYL230-CF-L</v>
          </cell>
          <cell r="B2527" t="str">
            <v>MJ-IUYL230</v>
          </cell>
        </row>
        <row r="2528">
          <cell r="A2528" t="str">
            <v>MJ-IUYL230-CF-S</v>
          </cell>
          <cell r="B2528" t="str">
            <v>MJ-IUYL230</v>
          </cell>
        </row>
        <row r="2529">
          <cell r="A2529" t="str">
            <v>MJ-IUYL230-PK-L</v>
          </cell>
          <cell r="B2529" t="str">
            <v>MJ-IUYL230</v>
          </cell>
        </row>
        <row r="2530">
          <cell r="A2530" t="str">
            <v>MJ-IUYL230-PK-S</v>
          </cell>
          <cell r="B2530" t="str">
            <v>MJ-IUYL230</v>
          </cell>
        </row>
        <row r="2531">
          <cell r="A2531" t="str">
            <v>MNQ-7188</v>
          </cell>
          <cell r="B2531" t="str">
            <v>MNQ-7188</v>
          </cell>
        </row>
        <row r="2532">
          <cell r="A2532" t="str">
            <v>MNQ-BT718K02XL</v>
          </cell>
          <cell r="B2532" t="str">
            <v>MNQ-7188</v>
          </cell>
        </row>
        <row r="2533">
          <cell r="A2533" t="str">
            <v>MNQ-BT718K0L</v>
          </cell>
          <cell r="B2533" t="str">
            <v>MNQ-7188</v>
          </cell>
        </row>
        <row r="2534">
          <cell r="A2534" t="str">
            <v>MNQ-BT718K0M</v>
          </cell>
          <cell r="B2534" t="str">
            <v>MNQ-7188</v>
          </cell>
        </row>
        <row r="2535">
          <cell r="A2535" t="str">
            <v>MNQ-BT718K0S</v>
          </cell>
          <cell r="B2535" t="str">
            <v>MNQ-7188</v>
          </cell>
        </row>
        <row r="2536">
          <cell r="A2536" t="str">
            <v>MNQ-BT718W02XL</v>
          </cell>
          <cell r="B2536" t="str">
            <v>MNQ-7188</v>
          </cell>
        </row>
        <row r="2537">
          <cell r="A2537" t="str">
            <v>MNQ-BT718W0L</v>
          </cell>
          <cell r="B2537" t="str">
            <v>MNQ-7188</v>
          </cell>
        </row>
        <row r="2538">
          <cell r="A2538" t="str">
            <v>MNQ-BT718W0M</v>
          </cell>
          <cell r="B2538" t="str">
            <v>MNQ-7188</v>
          </cell>
        </row>
        <row r="2539">
          <cell r="A2539" t="str">
            <v>MNQ-BT718W0S</v>
          </cell>
          <cell r="B2539" t="str">
            <v>MNQ-7188</v>
          </cell>
        </row>
        <row r="2540">
          <cell r="A2540" t="str">
            <v>MNQ-N7188-K0-2XL</v>
          </cell>
          <cell r="B2540" t="str">
            <v>MNQ-7188</v>
          </cell>
        </row>
        <row r="2541">
          <cell r="A2541" t="str">
            <v>MNQ-N7188-K0-L</v>
          </cell>
          <cell r="B2541" t="str">
            <v>MNQ-7188</v>
          </cell>
        </row>
        <row r="2542">
          <cell r="A2542" t="str">
            <v>MNQ-N7188-K0-M</v>
          </cell>
          <cell r="B2542" t="str">
            <v>MNQ-7188</v>
          </cell>
        </row>
        <row r="2543">
          <cell r="A2543" t="str">
            <v>MNQ-N7188-K0-S</v>
          </cell>
          <cell r="B2543" t="str">
            <v>MNQ-7188</v>
          </cell>
        </row>
        <row r="2544">
          <cell r="A2544" t="str">
            <v>MNQ-N7188-K0-XL</v>
          </cell>
          <cell r="B2544" t="str">
            <v>MNQ-7188</v>
          </cell>
        </row>
        <row r="2545">
          <cell r="A2545" t="str">
            <v>MNQ-N7188-K0-XS</v>
          </cell>
          <cell r="B2545" t="str">
            <v>MNQ-7188</v>
          </cell>
        </row>
        <row r="2546">
          <cell r="A2546" t="str">
            <v>MNQ-N7188-W0-2XL</v>
          </cell>
          <cell r="B2546" t="str">
            <v>MNQ-7188</v>
          </cell>
        </row>
        <row r="2547">
          <cell r="A2547" t="str">
            <v>MNQ-N7188-W0-L</v>
          </cell>
          <cell r="B2547" t="str">
            <v>MNQ-7188</v>
          </cell>
        </row>
        <row r="2548">
          <cell r="A2548" t="str">
            <v>MNQ-N7188-W0-M</v>
          </cell>
          <cell r="B2548" t="str">
            <v>MNQ-7188</v>
          </cell>
        </row>
        <row r="2549">
          <cell r="A2549" t="str">
            <v>MNQ-N7188-W0-S</v>
          </cell>
          <cell r="B2549" t="str">
            <v>MNQ-7188</v>
          </cell>
        </row>
        <row r="2550">
          <cell r="A2550" t="str">
            <v>MNQ-N7188-W0-XL</v>
          </cell>
          <cell r="B2550" t="str">
            <v>MNQ-7188</v>
          </cell>
        </row>
        <row r="2551">
          <cell r="A2551" t="str">
            <v>MNQ-N7188-W0-XS</v>
          </cell>
          <cell r="B2551" t="str">
            <v>MNQ-7188</v>
          </cell>
        </row>
        <row r="2552">
          <cell r="A2552" t="str">
            <v>MNQ-N718B0XL</v>
          </cell>
          <cell r="B2552" t="str">
            <v>MNQ-7188</v>
          </cell>
        </row>
        <row r="2553">
          <cell r="A2553" t="str">
            <v>MNQ-N718B2XL</v>
          </cell>
          <cell r="B2553" t="str">
            <v>MNQ-7188</v>
          </cell>
        </row>
        <row r="2554">
          <cell r="A2554" t="str">
            <v>MNQ-N718BM</v>
          </cell>
          <cell r="B2554" t="str">
            <v>MNQ-7188</v>
          </cell>
        </row>
        <row r="2555">
          <cell r="A2555" t="str">
            <v>MNQ-N718BS</v>
          </cell>
          <cell r="B2555" t="str">
            <v>MNQ-7188</v>
          </cell>
        </row>
        <row r="2556">
          <cell r="A2556" t="str">
            <v>MNQ-N718BXL-1</v>
          </cell>
          <cell r="B2556" t="str">
            <v>MNQ-7188</v>
          </cell>
        </row>
        <row r="2557">
          <cell r="A2557" t="str">
            <v>MNQ-N718BXXL</v>
          </cell>
          <cell r="B2557" t="str">
            <v>MNQ-7188</v>
          </cell>
        </row>
        <row r="2558">
          <cell r="A2558" t="str">
            <v>MNQ-N718-W0-S</v>
          </cell>
          <cell r="B2558" t="str">
            <v>MNQ-7188</v>
          </cell>
        </row>
        <row r="2559">
          <cell r="A2559" t="str">
            <v>MNQ-N718W0XL</v>
          </cell>
          <cell r="B2559" t="str">
            <v>MNQ-7188</v>
          </cell>
        </row>
        <row r="2560">
          <cell r="A2560" t="str">
            <v>MNQ-N718W2XL</v>
          </cell>
          <cell r="B2560" t="str">
            <v>MNQ-7188</v>
          </cell>
        </row>
        <row r="2561">
          <cell r="A2561" t="str">
            <v>MNQ-N718WL</v>
          </cell>
          <cell r="B2561" t="str">
            <v>MNQ-7188</v>
          </cell>
        </row>
        <row r="2562">
          <cell r="A2562" t="str">
            <v>MNQ-N718WM</v>
          </cell>
          <cell r="B2562" t="str">
            <v>MNQ-7188</v>
          </cell>
        </row>
        <row r="2563">
          <cell r="A2563" t="str">
            <v>MNQ-N718WS</v>
          </cell>
          <cell r="B2563" t="str">
            <v>MNQ-7188</v>
          </cell>
        </row>
        <row r="2564">
          <cell r="A2564" t="str">
            <v>MNQ-N718WXL</v>
          </cell>
          <cell r="B2564" t="str">
            <v>MNQ-7188</v>
          </cell>
        </row>
        <row r="2565">
          <cell r="A2565" t="str">
            <v>MNQ-N718WXXL</v>
          </cell>
          <cell r="B2565" t="str">
            <v>MNQ-7188</v>
          </cell>
        </row>
        <row r="2566">
          <cell r="A2566" t="str">
            <v>MY-0036NEW-B0</v>
          </cell>
          <cell r="B2566" t="str">
            <v>MY-0036NEW</v>
          </cell>
        </row>
        <row r="2567">
          <cell r="A2567" t="str">
            <v>MY-0036NEW-GR</v>
          </cell>
          <cell r="B2567" t="str">
            <v>MY-0036NEW</v>
          </cell>
        </row>
        <row r="2568">
          <cell r="A2568" t="str">
            <v>MY-0036NEW-GR-GM</v>
          </cell>
          <cell r="B2568" t="str">
            <v>MY-0036NEW</v>
          </cell>
        </row>
        <row r="2569">
          <cell r="A2569" t="str">
            <v>MY-0036NEW-K0</v>
          </cell>
          <cell r="B2569" t="str">
            <v>MY-0036NEW</v>
          </cell>
        </row>
        <row r="2570">
          <cell r="A2570" t="str">
            <v>MY-0036NEW-K0-GM</v>
          </cell>
          <cell r="B2570" t="str">
            <v>MY-0036NEW</v>
          </cell>
        </row>
        <row r="2571">
          <cell r="A2571" t="str">
            <v>MY-0036NEW-KA</v>
          </cell>
          <cell r="B2571" t="str">
            <v>MY-0036NEW</v>
          </cell>
        </row>
        <row r="2572">
          <cell r="A2572" t="str">
            <v>MY-0036NEW-OR</v>
          </cell>
          <cell r="B2572" t="str">
            <v>MY-0036NEW</v>
          </cell>
        </row>
        <row r="2573">
          <cell r="A2573" t="str">
            <v>MY-0036NEW-OR-GM</v>
          </cell>
          <cell r="B2573" t="str">
            <v>MY-0036NEW</v>
          </cell>
        </row>
        <row r="2574">
          <cell r="A2574" t="str">
            <v>MY-0036NEW-PI</v>
          </cell>
          <cell r="B2574" t="str">
            <v>MY-0036NEW</v>
          </cell>
        </row>
        <row r="2575">
          <cell r="A2575" t="str">
            <v>MY-CL17182-00</v>
          </cell>
          <cell r="B2575" t="str">
            <v>MY-CL17182</v>
          </cell>
        </row>
        <row r="2576">
          <cell r="A2576" t="str">
            <v>MY-CL17182-KQ</v>
          </cell>
          <cell r="B2576" t="str">
            <v>MY-CL17182</v>
          </cell>
        </row>
        <row r="2577">
          <cell r="A2577" t="str">
            <v>MY-CL17182-W1</v>
          </cell>
          <cell r="B2577" t="str">
            <v>MY-CL17182</v>
          </cell>
        </row>
        <row r="2578">
          <cell r="A2578" t="str">
            <v>MY-CL17182-Y0</v>
          </cell>
          <cell r="B2578" t="str">
            <v>MY-CL17182</v>
          </cell>
        </row>
        <row r="2579">
          <cell r="A2579" t="str">
            <v>MY-CL1925</v>
          </cell>
          <cell r="B2579" t="str">
            <v>MY-CL1925</v>
          </cell>
        </row>
        <row r="2580">
          <cell r="A2580" t="str">
            <v>MY-CL1925-E0-2XL</v>
          </cell>
          <cell r="B2580" t="str">
            <v>MY-CL1925</v>
          </cell>
        </row>
        <row r="2581">
          <cell r="A2581" t="str">
            <v>MY-CL1925-E0-L</v>
          </cell>
          <cell r="B2581" t="str">
            <v>MY-CL1925</v>
          </cell>
        </row>
        <row r="2582">
          <cell r="A2582" t="str">
            <v>MY-CL1925-E0-M</v>
          </cell>
          <cell r="B2582" t="str">
            <v>MY-CL1925</v>
          </cell>
        </row>
        <row r="2583">
          <cell r="A2583" t="str">
            <v>MY-CL1925-E0-S</v>
          </cell>
          <cell r="B2583" t="str">
            <v>MY-CL1925</v>
          </cell>
        </row>
        <row r="2584">
          <cell r="A2584" t="str">
            <v>MY-CL1925-E0-XL</v>
          </cell>
          <cell r="B2584" t="str">
            <v>MY-CL1925</v>
          </cell>
        </row>
        <row r="2585">
          <cell r="A2585" t="str">
            <v>MY-CL1925-G7-2XL</v>
          </cell>
          <cell r="B2585" t="str">
            <v>MY-CL1925</v>
          </cell>
        </row>
        <row r="2586">
          <cell r="A2586" t="str">
            <v>MY-CL1925-G7-L</v>
          </cell>
          <cell r="B2586" t="str">
            <v>MY-CL1925</v>
          </cell>
        </row>
        <row r="2587">
          <cell r="A2587" t="str">
            <v>MY-CL1925-G7-M</v>
          </cell>
          <cell r="B2587" t="str">
            <v>MY-CL1925</v>
          </cell>
        </row>
        <row r="2588">
          <cell r="A2588" t="str">
            <v>MY-CL1925-G7-S</v>
          </cell>
          <cell r="B2588" t="str">
            <v>MY-CL1925</v>
          </cell>
        </row>
        <row r="2589">
          <cell r="A2589" t="str">
            <v>MY-CL1925-G7-XL</v>
          </cell>
          <cell r="B2589" t="str">
            <v>MY-CL1925</v>
          </cell>
        </row>
        <row r="2590">
          <cell r="A2590" t="str">
            <v>MY-CL1925-R6-2XL</v>
          </cell>
          <cell r="B2590" t="str">
            <v>MY-CL1925</v>
          </cell>
        </row>
        <row r="2591">
          <cell r="A2591" t="str">
            <v>MY-CL1925-R6-L</v>
          </cell>
          <cell r="B2591" t="str">
            <v>MY-CL1925</v>
          </cell>
        </row>
        <row r="2592">
          <cell r="A2592" t="str">
            <v>MY-CL1925-R6-M</v>
          </cell>
          <cell r="B2592" t="str">
            <v>MY-CL1925</v>
          </cell>
        </row>
        <row r="2593">
          <cell r="A2593" t="str">
            <v>MY-CL1925-R6-S</v>
          </cell>
          <cell r="B2593" t="str">
            <v>MY-CL1925</v>
          </cell>
        </row>
        <row r="2594">
          <cell r="A2594" t="str">
            <v>MY-CL1925-R6-XL</v>
          </cell>
          <cell r="B2594" t="str">
            <v>MY-CL1925</v>
          </cell>
        </row>
        <row r="2595">
          <cell r="A2595" t="str">
            <v>MY-CL1925-W0-2XL</v>
          </cell>
          <cell r="B2595" t="str">
            <v>MY-CL1925</v>
          </cell>
        </row>
        <row r="2596">
          <cell r="A2596" t="str">
            <v>MY-CL1925-W0-L</v>
          </cell>
          <cell r="B2596" t="str">
            <v>MY-CL1925</v>
          </cell>
        </row>
        <row r="2597">
          <cell r="A2597" t="str">
            <v>MY-CL1925-W0-M</v>
          </cell>
          <cell r="B2597" t="str">
            <v>MY-CL1925</v>
          </cell>
        </row>
        <row r="2598">
          <cell r="A2598" t="str">
            <v>MY-CL1925-W0-S</v>
          </cell>
          <cell r="B2598" t="str">
            <v>MY-CL1925</v>
          </cell>
        </row>
        <row r="2599">
          <cell r="A2599" t="str">
            <v>MY-CL1925-W0-XL</v>
          </cell>
          <cell r="B2599" t="str">
            <v>MY-CL1925</v>
          </cell>
        </row>
        <row r="2600">
          <cell r="A2600" t="str">
            <v>MY-CL3362-W1-L</v>
          </cell>
          <cell r="B2600" t="str">
            <v>MY-CL3362</v>
          </cell>
        </row>
        <row r="2601">
          <cell r="A2601" t="str">
            <v>MY-HM1206</v>
          </cell>
          <cell r="B2601" t="str">
            <v>MY-HM1206</v>
          </cell>
        </row>
        <row r="2602">
          <cell r="A2602" t="str">
            <v>MY-HM1206-BR-L</v>
          </cell>
          <cell r="B2602" t="str">
            <v>MY-HM1206</v>
          </cell>
        </row>
        <row r="2603">
          <cell r="A2603" t="str">
            <v>MY-HM1206-BR-M</v>
          </cell>
          <cell r="B2603" t="str">
            <v>MY-HM1206</v>
          </cell>
        </row>
        <row r="2604">
          <cell r="A2604" t="str">
            <v>MY-HM1206-BR-M-GM</v>
          </cell>
          <cell r="B2604" t="str">
            <v>MY-HM1206</v>
          </cell>
        </row>
        <row r="2605">
          <cell r="A2605" t="str">
            <v>MY-HM1206-BR-S</v>
          </cell>
          <cell r="B2605" t="str">
            <v>MY-HM1206</v>
          </cell>
        </row>
        <row r="2606">
          <cell r="A2606" t="str">
            <v>MY-HM1206-BR-XL</v>
          </cell>
          <cell r="B2606" t="str">
            <v>MY-HM1206</v>
          </cell>
        </row>
        <row r="2607">
          <cell r="A2607" t="str">
            <v>MY-HM1206-GR-L</v>
          </cell>
          <cell r="B2607" t="str">
            <v>MY-HM1206</v>
          </cell>
        </row>
        <row r="2608">
          <cell r="A2608" t="str">
            <v>MY-HM1206-GR-M</v>
          </cell>
          <cell r="B2608" t="str">
            <v>MY-HM1206</v>
          </cell>
        </row>
        <row r="2609">
          <cell r="A2609" t="str">
            <v>MY-HM1206-GR-S</v>
          </cell>
          <cell r="B2609" t="str">
            <v>MY-HM1206</v>
          </cell>
        </row>
        <row r="2610">
          <cell r="A2610" t="str">
            <v>MY-HM1206-GR-XL</v>
          </cell>
          <cell r="B2610" t="str">
            <v>MY-HM1206</v>
          </cell>
        </row>
        <row r="2611">
          <cell r="A2611" t="str">
            <v>MY-HM1206-K0-L</v>
          </cell>
          <cell r="B2611" t="str">
            <v>MY-HM1206</v>
          </cell>
        </row>
        <row r="2612">
          <cell r="A2612" t="str">
            <v>MY-HM1206-K0-M</v>
          </cell>
          <cell r="B2612" t="str">
            <v>MY-HM1206</v>
          </cell>
        </row>
        <row r="2613">
          <cell r="A2613" t="str">
            <v>MY-HM1206-K0-S</v>
          </cell>
          <cell r="B2613" t="str">
            <v>MY-HM1206</v>
          </cell>
        </row>
        <row r="2614">
          <cell r="A2614" t="str">
            <v>MY-HM1206-K0-XL</v>
          </cell>
          <cell r="B2614" t="str">
            <v>MY-HM1206</v>
          </cell>
        </row>
        <row r="2615">
          <cell r="A2615" t="str">
            <v>MY-HM1206-KH-L</v>
          </cell>
          <cell r="B2615" t="str">
            <v>MY-HM1206</v>
          </cell>
        </row>
        <row r="2616">
          <cell r="A2616" t="str">
            <v>MY-HM1206-KH-L-GM</v>
          </cell>
          <cell r="B2616" t="str">
            <v>MY-HM1206</v>
          </cell>
        </row>
        <row r="2617">
          <cell r="A2617" t="str">
            <v>MY-HM1206-KH-M</v>
          </cell>
          <cell r="B2617" t="str">
            <v>MY-HM1206</v>
          </cell>
        </row>
        <row r="2618">
          <cell r="A2618" t="str">
            <v>MY-HM1206-KH-M-GM</v>
          </cell>
          <cell r="B2618" t="str">
            <v>MY-HM1206</v>
          </cell>
        </row>
        <row r="2619">
          <cell r="A2619" t="str">
            <v>MY-HM1206-KH-S</v>
          </cell>
          <cell r="B2619" t="str">
            <v>MY-HM1206</v>
          </cell>
        </row>
        <row r="2620">
          <cell r="A2620" t="str">
            <v>MY-HM1206-KH-S-GM</v>
          </cell>
          <cell r="B2620" t="str">
            <v>MY-HM1206</v>
          </cell>
        </row>
        <row r="2621">
          <cell r="A2621" t="str">
            <v>MY-HM1206-KH-XL</v>
          </cell>
          <cell r="B2621" t="str">
            <v>MY-HM1206</v>
          </cell>
        </row>
        <row r="2622">
          <cell r="A2622" t="str">
            <v>MY-HM1206-KH-XL-GM</v>
          </cell>
          <cell r="B2622" t="str">
            <v>MY-HM1206</v>
          </cell>
        </row>
        <row r="2623">
          <cell r="A2623" t="str">
            <v>MY-HM1206-OR-L</v>
          </cell>
          <cell r="B2623" t="str">
            <v>MY-HM1206</v>
          </cell>
        </row>
        <row r="2624">
          <cell r="A2624" t="str">
            <v>MY-HM1206-OR-M</v>
          </cell>
          <cell r="B2624" t="str">
            <v>MY-HM1206</v>
          </cell>
        </row>
        <row r="2625">
          <cell r="A2625" t="str">
            <v>MY-HM1206-OR-S</v>
          </cell>
          <cell r="B2625" t="str">
            <v>MY-HM1206</v>
          </cell>
        </row>
        <row r="2626">
          <cell r="A2626" t="str">
            <v>MY-HM1206-OR-XL</v>
          </cell>
          <cell r="B2626" t="str">
            <v>MY-HM1206</v>
          </cell>
        </row>
        <row r="2627">
          <cell r="A2627" t="str">
            <v>MY-HM1206-OR-XL-GM</v>
          </cell>
          <cell r="B2627" t="str">
            <v>MY-HM1206</v>
          </cell>
        </row>
        <row r="2628">
          <cell r="A2628" t="str">
            <v>MY-LYHigh303-DG-L</v>
          </cell>
          <cell r="B2628" t="str">
            <v>MY-LYHigh303</v>
          </cell>
        </row>
        <row r="2629">
          <cell r="A2629" t="str">
            <v>MY-LYHigh303-DG-M</v>
          </cell>
          <cell r="B2629" t="str">
            <v>MY-LYHigh303</v>
          </cell>
        </row>
        <row r="2630">
          <cell r="A2630" t="str">
            <v>MY-LYHigh303-DG-S</v>
          </cell>
          <cell r="B2630" t="str">
            <v>MY-LYHigh303</v>
          </cell>
        </row>
        <row r="2631">
          <cell r="A2631" t="str">
            <v>MY-LYHigh303-DG-XL</v>
          </cell>
          <cell r="B2631" t="str">
            <v>MY-LYHigh303</v>
          </cell>
        </row>
        <row r="2632">
          <cell r="A2632" t="str">
            <v>MY-LYHigh303-GR-L</v>
          </cell>
          <cell r="B2632" t="str">
            <v>MY-LYHigh303</v>
          </cell>
        </row>
        <row r="2633">
          <cell r="A2633" t="str">
            <v>MY-LYHigh303-GR-M</v>
          </cell>
          <cell r="B2633" t="str">
            <v>MY-LYHigh303</v>
          </cell>
        </row>
        <row r="2634">
          <cell r="A2634" t="str">
            <v>MY-LYHigh303-GR-S</v>
          </cell>
          <cell r="B2634" t="str">
            <v>MY-LYHigh303</v>
          </cell>
        </row>
        <row r="2635">
          <cell r="A2635" t="str">
            <v>MY-LYHigh303-GR-XL</v>
          </cell>
          <cell r="B2635" t="str">
            <v>MY-LYHigh303</v>
          </cell>
        </row>
        <row r="2636">
          <cell r="A2636" t="str">
            <v>MY-LYHigh303-K0-L</v>
          </cell>
          <cell r="B2636" t="str">
            <v>MY-LYHigh303</v>
          </cell>
        </row>
        <row r="2637">
          <cell r="A2637" t="str">
            <v>MY-LYHigh303-K0-M</v>
          </cell>
          <cell r="B2637" t="str">
            <v>MY-LYHigh303</v>
          </cell>
        </row>
        <row r="2638">
          <cell r="A2638" t="str">
            <v>MY-LYHigh303-K0-S1</v>
          </cell>
          <cell r="B2638" t="str">
            <v>MY-LYHigh303</v>
          </cell>
        </row>
        <row r="2639">
          <cell r="A2639" t="str">
            <v>MY-LYHigh303-K0-XL</v>
          </cell>
          <cell r="B2639" t="str">
            <v>MY-LYHigh303</v>
          </cell>
        </row>
        <row r="2640">
          <cell r="A2640" t="str">
            <v>MY-LYHigh303-KQ-L</v>
          </cell>
          <cell r="B2640" t="str">
            <v>MY-LYHigh303</v>
          </cell>
        </row>
        <row r="2641">
          <cell r="A2641" t="str">
            <v>MY-LYHigh303-KQ-M</v>
          </cell>
          <cell r="B2641" t="str">
            <v>MY-LYHigh303</v>
          </cell>
        </row>
        <row r="2642">
          <cell r="A2642" t="str">
            <v>MY-LYHigh303-KQ-S</v>
          </cell>
          <cell r="B2642" t="str">
            <v>MY-LYHigh303</v>
          </cell>
        </row>
        <row r="2643">
          <cell r="A2643" t="str">
            <v>MY-LYHigh303-KQ-XL</v>
          </cell>
          <cell r="B2643" t="str">
            <v>MY-LYHigh303</v>
          </cell>
        </row>
        <row r="2644">
          <cell r="A2644" t="str">
            <v>MY-LYHigh303-LB-L</v>
          </cell>
          <cell r="B2644" t="str">
            <v>MY-LYHigh303</v>
          </cell>
        </row>
        <row r="2645">
          <cell r="A2645" t="str">
            <v>MY-LYHigh303-LB-M</v>
          </cell>
          <cell r="B2645" t="str">
            <v>MY-LYHigh303</v>
          </cell>
        </row>
        <row r="2646">
          <cell r="A2646" t="str">
            <v>MY-LYHigh303-LB-S</v>
          </cell>
          <cell r="B2646" t="str">
            <v>MY-LYHigh303</v>
          </cell>
        </row>
        <row r="2647">
          <cell r="A2647" t="str">
            <v>MY-LYHigh303-LB-XL</v>
          </cell>
          <cell r="B2647" t="str">
            <v>MY-LYHigh303</v>
          </cell>
        </row>
        <row r="2648">
          <cell r="A2648" t="str">
            <v>MY-LYHigh303-OR-L</v>
          </cell>
          <cell r="B2648" t="str">
            <v>MY-LYHigh303</v>
          </cell>
        </row>
        <row r="2649">
          <cell r="A2649" t="str">
            <v>MY-LYHigh303-OR-M</v>
          </cell>
          <cell r="B2649" t="str">
            <v>MY-LYHigh303</v>
          </cell>
        </row>
        <row r="2650">
          <cell r="A2650" t="str">
            <v>MY-LYHigh303-OR-S</v>
          </cell>
          <cell r="B2650" t="str">
            <v>MY-LYHigh303</v>
          </cell>
        </row>
        <row r="2651">
          <cell r="A2651" t="str">
            <v>MY-LYHigh303-OR-XL</v>
          </cell>
          <cell r="B2651" t="str">
            <v>MY-LYHigh303</v>
          </cell>
        </row>
        <row r="2652">
          <cell r="A2652" t="str">
            <v>MY-LYHigh303-W0-L</v>
          </cell>
          <cell r="B2652" t="str">
            <v>MY-LYHigh303</v>
          </cell>
        </row>
        <row r="2653">
          <cell r="A2653" t="str">
            <v>MY-LYHigh303-W0-M</v>
          </cell>
          <cell r="B2653" t="str">
            <v>MY-LYHigh303</v>
          </cell>
        </row>
        <row r="2654">
          <cell r="A2654" t="str">
            <v>MY-LYHigh303-W0-S</v>
          </cell>
          <cell r="B2654" t="str">
            <v>MY-LYHigh303</v>
          </cell>
        </row>
        <row r="2655">
          <cell r="A2655" t="str">
            <v>MY-LYHigh303-W0-XL</v>
          </cell>
          <cell r="B2655" t="str">
            <v>MY-LYHigh303</v>
          </cell>
        </row>
        <row r="2656">
          <cell r="A2656" t="str">
            <v>MY-LYHigh303-WR-L</v>
          </cell>
          <cell r="B2656" t="str">
            <v>MY-LYHigh303</v>
          </cell>
        </row>
        <row r="2657">
          <cell r="A2657" t="str">
            <v>MY-LYHigh303-WR-M</v>
          </cell>
          <cell r="B2657" t="str">
            <v>MY-LYHigh303</v>
          </cell>
        </row>
        <row r="2658">
          <cell r="A2658" t="str">
            <v>MY-LYHigh303-WR-S</v>
          </cell>
          <cell r="B2658" t="str">
            <v>MY-LYHigh303</v>
          </cell>
        </row>
        <row r="2659">
          <cell r="A2659" t="str">
            <v>MY-LYHigh303-WR-XL</v>
          </cell>
          <cell r="B2659" t="str">
            <v>MY-LYHigh303</v>
          </cell>
        </row>
        <row r="2660">
          <cell r="A2660" t="str">
            <v>MY-LYPoint021-DG-L</v>
          </cell>
          <cell r="B2660" t="str">
            <v>MY-LYPoint021</v>
          </cell>
        </row>
        <row r="2661">
          <cell r="A2661" t="str">
            <v>MY-LYPoint021-DG-M</v>
          </cell>
          <cell r="B2661" t="str">
            <v>MY-LYPoint021</v>
          </cell>
        </row>
        <row r="2662">
          <cell r="A2662" t="str">
            <v>MY-LYPoint021-DG-S</v>
          </cell>
          <cell r="B2662" t="str">
            <v>MY-LYPoint021</v>
          </cell>
        </row>
        <row r="2663">
          <cell r="A2663" t="str">
            <v>MY-LYPoint021-DG-XL</v>
          </cell>
          <cell r="B2663" t="str">
            <v>MY-LYPoint021</v>
          </cell>
        </row>
        <row r="2664">
          <cell r="A2664" t="str">
            <v>MY-LYPoint021-GR-L</v>
          </cell>
          <cell r="B2664" t="str">
            <v>MY-LYPoint021</v>
          </cell>
        </row>
        <row r="2665">
          <cell r="A2665" t="str">
            <v>MY-LYPoint021-GR-M</v>
          </cell>
          <cell r="B2665" t="str">
            <v>MY-LYPoint021</v>
          </cell>
        </row>
        <row r="2666">
          <cell r="A2666" t="str">
            <v>MY-LYPoint021-GR-S</v>
          </cell>
          <cell r="B2666" t="str">
            <v>MY-LYPoint021</v>
          </cell>
        </row>
        <row r="2667">
          <cell r="A2667" t="str">
            <v>MY-LYPoint021-GR-XL</v>
          </cell>
          <cell r="B2667" t="str">
            <v>MY-LYPoint021</v>
          </cell>
        </row>
        <row r="2668">
          <cell r="A2668" t="str">
            <v>MY-LYPoint021-K0-L</v>
          </cell>
          <cell r="B2668" t="str">
            <v>MY-LYPoint021</v>
          </cell>
        </row>
        <row r="2669">
          <cell r="A2669" t="str">
            <v>MY-LYPoint021-K0-M</v>
          </cell>
          <cell r="B2669" t="str">
            <v>MY-LYPoint021</v>
          </cell>
        </row>
        <row r="2670">
          <cell r="A2670" t="str">
            <v>MY-LYPoint021-K0-S1</v>
          </cell>
          <cell r="B2670" t="str">
            <v>MY-LYPoint021</v>
          </cell>
        </row>
        <row r="2671">
          <cell r="A2671" t="str">
            <v>MY-LYPoint021-K0-XL</v>
          </cell>
          <cell r="B2671" t="str">
            <v>MY-LYPoint021</v>
          </cell>
        </row>
        <row r="2672">
          <cell r="A2672" t="str">
            <v>MY-LYPoint021-KQ-L</v>
          </cell>
          <cell r="B2672" t="str">
            <v>MY-LYPoint021</v>
          </cell>
        </row>
        <row r="2673">
          <cell r="A2673" t="str">
            <v>MY-LYPoint021-KQ-M</v>
          </cell>
          <cell r="B2673" t="str">
            <v>MY-LYPoint021</v>
          </cell>
        </row>
        <row r="2674">
          <cell r="A2674" t="str">
            <v>MY-LYPoint021-KQ-S</v>
          </cell>
          <cell r="B2674" t="str">
            <v>MY-LYPoint021</v>
          </cell>
        </row>
        <row r="2675">
          <cell r="A2675" t="str">
            <v>MY-LYPoint021-KQ-XL</v>
          </cell>
          <cell r="B2675" t="str">
            <v>MY-LYPoint021</v>
          </cell>
        </row>
        <row r="2676">
          <cell r="A2676" t="str">
            <v>MY-LYPoint021-LB-L</v>
          </cell>
          <cell r="B2676" t="str">
            <v>MY-LYPoint021</v>
          </cell>
        </row>
        <row r="2677">
          <cell r="A2677" t="str">
            <v>MY-LYPoint021-LB-M</v>
          </cell>
          <cell r="B2677" t="str">
            <v>MY-LYPoint021</v>
          </cell>
        </row>
        <row r="2678">
          <cell r="A2678" t="str">
            <v>MY-LYPoint021-LB-S</v>
          </cell>
          <cell r="B2678" t="str">
            <v>MY-LYPoint021</v>
          </cell>
        </row>
        <row r="2679">
          <cell r="A2679" t="str">
            <v>MY-LYPoint021-LB-XL</v>
          </cell>
          <cell r="B2679" t="str">
            <v>MY-LYPoint021</v>
          </cell>
        </row>
        <row r="2680">
          <cell r="A2680" t="str">
            <v>MY-LYPoint021-OR-L</v>
          </cell>
          <cell r="B2680" t="str">
            <v>MY-LYPoint021</v>
          </cell>
        </row>
        <row r="2681">
          <cell r="A2681" t="str">
            <v>MY-LYPoint021-OR-M</v>
          </cell>
          <cell r="B2681" t="str">
            <v>MY-LYPoint021</v>
          </cell>
        </row>
        <row r="2682">
          <cell r="A2682" t="str">
            <v>MY-LYPoint021-OR-S</v>
          </cell>
          <cell r="B2682" t="str">
            <v>MY-LYPoint021</v>
          </cell>
        </row>
        <row r="2683">
          <cell r="A2683" t="str">
            <v>MY-LYPoint021-OR-XL</v>
          </cell>
          <cell r="B2683" t="str">
            <v>MY-LYPoint021</v>
          </cell>
        </row>
        <row r="2684">
          <cell r="A2684" t="str">
            <v>MY-LYPoint021-W0-L</v>
          </cell>
          <cell r="B2684" t="str">
            <v>MY-LYPoint021</v>
          </cell>
        </row>
        <row r="2685">
          <cell r="A2685" t="str">
            <v>MY-LYPoint021-W0-M</v>
          </cell>
          <cell r="B2685" t="str">
            <v>MY-LYPoint021</v>
          </cell>
        </row>
        <row r="2686">
          <cell r="A2686" t="str">
            <v>MY-LYPoint021-W0-S</v>
          </cell>
          <cell r="B2686" t="str">
            <v>MY-LYPoint021</v>
          </cell>
        </row>
        <row r="2687">
          <cell r="A2687" t="str">
            <v>MY-LYPoint021-W0-XL</v>
          </cell>
          <cell r="B2687" t="str">
            <v>MY-LYPoint021</v>
          </cell>
        </row>
        <row r="2688">
          <cell r="A2688" t="str">
            <v>MY-LYPoint021-WR-L</v>
          </cell>
          <cell r="B2688" t="str">
            <v>MY-LYPoint021</v>
          </cell>
        </row>
        <row r="2689">
          <cell r="A2689" t="str">
            <v>MY-LYPoint021-WR-M</v>
          </cell>
          <cell r="B2689" t="str">
            <v>MY-LYPoint021</v>
          </cell>
        </row>
        <row r="2690">
          <cell r="A2690" t="str">
            <v>MY-LYPoint021-WR-S</v>
          </cell>
          <cell r="B2690" t="str">
            <v>MY-LYPoint021</v>
          </cell>
        </row>
        <row r="2691">
          <cell r="A2691" t="str">
            <v>MY-LYPoint021-WR-XL</v>
          </cell>
          <cell r="B2691" t="str">
            <v>MY-LYPoint021</v>
          </cell>
        </row>
        <row r="2692">
          <cell r="A2692" t="str">
            <v>MY-LYRound020-DG-L</v>
          </cell>
          <cell r="B2692" t="str">
            <v>MY-LYRound020</v>
          </cell>
        </row>
        <row r="2693">
          <cell r="A2693" t="str">
            <v>MY-LYRound020-DG-M</v>
          </cell>
          <cell r="B2693" t="str">
            <v>MY-LYRound020</v>
          </cell>
        </row>
        <row r="2694">
          <cell r="A2694" t="str">
            <v>MY-LYRound020-DG-S</v>
          </cell>
          <cell r="B2694" t="str">
            <v>MY-LYRound020</v>
          </cell>
        </row>
        <row r="2695">
          <cell r="A2695" t="str">
            <v>MY-LYRound020-DG-XL</v>
          </cell>
          <cell r="B2695" t="str">
            <v>MY-LYRound020</v>
          </cell>
        </row>
        <row r="2696">
          <cell r="A2696" t="str">
            <v>MY-LYRound020-GR-L</v>
          </cell>
          <cell r="B2696" t="str">
            <v>MY-LYRound020</v>
          </cell>
        </row>
        <row r="2697">
          <cell r="A2697" t="str">
            <v>MY-LYRound020-GR-M</v>
          </cell>
          <cell r="B2697" t="str">
            <v>MY-LYRound020</v>
          </cell>
        </row>
        <row r="2698">
          <cell r="A2698" t="str">
            <v>MY-LYRound020-GR-S</v>
          </cell>
          <cell r="B2698" t="str">
            <v>MY-LYRound020</v>
          </cell>
        </row>
        <row r="2699">
          <cell r="A2699" t="str">
            <v>MY-LYRound020-GR-XL</v>
          </cell>
          <cell r="B2699" t="str">
            <v>MY-LYRound020</v>
          </cell>
        </row>
        <row r="2700">
          <cell r="A2700" t="str">
            <v>MY-LYRound020-K0-L</v>
          </cell>
          <cell r="B2700" t="str">
            <v>MY-LYRound020</v>
          </cell>
        </row>
        <row r="2701">
          <cell r="A2701" t="str">
            <v>MY-LYRound020-K0-M</v>
          </cell>
          <cell r="B2701" t="str">
            <v>MY-LYRound020</v>
          </cell>
        </row>
        <row r="2702">
          <cell r="A2702" t="str">
            <v>MY-LYRound020-K0-S</v>
          </cell>
          <cell r="B2702" t="str">
            <v>MY-LYRound020</v>
          </cell>
        </row>
        <row r="2703">
          <cell r="A2703" t="str">
            <v>MY-LYRound020-K0-XL</v>
          </cell>
          <cell r="B2703" t="str">
            <v>MY-LYRound020</v>
          </cell>
        </row>
        <row r="2704">
          <cell r="A2704" t="str">
            <v>MY-LYRound020-KQ-L</v>
          </cell>
          <cell r="B2704" t="str">
            <v>MY-LYRound020</v>
          </cell>
        </row>
        <row r="2705">
          <cell r="A2705" t="str">
            <v>MY-LYRound020-KQ-M</v>
          </cell>
          <cell r="B2705" t="str">
            <v>MY-LYRound020</v>
          </cell>
        </row>
        <row r="2706">
          <cell r="A2706" t="str">
            <v>MY-LYRound020-KQ-S</v>
          </cell>
          <cell r="B2706" t="str">
            <v>MY-LYRound020</v>
          </cell>
        </row>
        <row r="2707">
          <cell r="A2707" t="str">
            <v>MY-LYRound020-KQ-XL</v>
          </cell>
          <cell r="B2707" t="str">
            <v>MY-LYRound020</v>
          </cell>
        </row>
        <row r="2708">
          <cell r="A2708" t="str">
            <v>MY-LYRound020-LB-L</v>
          </cell>
          <cell r="B2708" t="str">
            <v>MY-LYRound020</v>
          </cell>
        </row>
        <row r="2709">
          <cell r="A2709" t="str">
            <v>MY-LYRound020-LB-M</v>
          </cell>
          <cell r="B2709" t="str">
            <v>MY-LYRound020</v>
          </cell>
        </row>
        <row r="2710">
          <cell r="A2710" t="str">
            <v>MY-LYRound020-LB-S</v>
          </cell>
          <cell r="B2710" t="str">
            <v>MY-LYRound020</v>
          </cell>
        </row>
        <row r="2711">
          <cell r="A2711" t="str">
            <v>MY-LYRound020-LB-XL</v>
          </cell>
          <cell r="B2711" t="str">
            <v>MY-LYRound020</v>
          </cell>
        </row>
        <row r="2712">
          <cell r="A2712" t="str">
            <v>MY-LYRound020-OR-L</v>
          </cell>
          <cell r="B2712" t="str">
            <v>MY-LYRound020</v>
          </cell>
        </row>
        <row r="2713">
          <cell r="A2713" t="str">
            <v>MY-LYRound020-OR-M</v>
          </cell>
          <cell r="B2713" t="str">
            <v>MY-LYRound020</v>
          </cell>
        </row>
        <row r="2714">
          <cell r="A2714" t="str">
            <v>MY-LYRound020-OR-S</v>
          </cell>
          <cell r="B2714" t="str">
            <v>MY-LYRound020</v>
          </cell>
        </row>
        <row r="2715">
          <cell r="A2715" t="str">
            <v>MY-LYRound020-OR-XL</v>
          </cell>
          <cell r="B2715" t="str">
            <v>MY-LYRound020</v>
          </cell>
        </row>
        <row r="2716">
          <cell r="A2716" t="str">
            <v>MY-LYRound020-W0-L</v>
          </cell>
          <cell r="B2716" t="str">
            <v>MY-LYRound020</v>
          </cell>
        </row>
        <row r="2717">
          <cell r="A2717" t="str">
            <v>MY-LYRound020-W0-M</v>
          </cell>
          <cell r="B2717" t="str">
            <v>MY-LYRound020</v>
          </cell>
        </row>
        <row r="2718">
          <cell r="A2718" t="str">
            <v>MY-LYRound020-W0-S</v>
          </cell>
          <cell r="B2718" t="str">
            <v>MY-LYRound020</v>
          </cell>
        </row>
        <row r="2719">
          <cell r="A2719" t="str">
            <v>MY-LYRound020-W0-XL</v>
          </cell>
          <cell r="B2719" t="str">
            <v>MY-LYRound020</v>
          </cell>
        </row>
        <row r="2720">
          <cell r="A2720" t="str">
            <v>MY-LYRound020-WR-L</v>
          </cell>
          <cell r="B2720" t="str">
            <v>MY-LYRound020</v>
          </cell>
        </row>
        <row r="2721">
          <cell r="A2721" t="str">
            <v>MY-LYRound020-WR-M</v>
          </cell>
          <cell r="B2721" t="str">
            <v>MY-LYRound020</v>
          </cell>
        </row>
        <row r="2722">
          <cell r="A2722" t="str">
            <v>MY-LYRound020-WR-S</v>
          </cell>
          <cell r="B2722" t="str">
            <v>MY-LYRound020</v>
          </cell>
        </row>
        <row r="2723">
          <cell r="A2723" t="str">
            <v>MY-LYRound020-WR-XL</v>
          </cell>
          <cell r="B2723" t="str">
            <v>MY-LYRound020</v>
          </cell>
        </row>
        <row r="2724">
          <cell r="A2724" t="str">
            <v>MY-PUHM001-OR-10</v>
          </cell>
          <cell r="B2724" t="str">
            <v>MY-PUHM001</v>
          </cell>
        </row>
        <row r="2725">
          <cell r="A2725" t="str">
            <v>MY-PUHM001-OR-12</v>
          </cell>
          <cell r="B2725" t="str">
            <v>MY-PUHM001</v>
          </cell>
        </row>
        <row r="2726">
          <cell r="A2726" t="str">
            <v>MY-PUHM001-OR-14</v>
          </cell>
          <cell r="B2726" t="str">
            <v>MY-PUHM001</v>
          </cell>
        </row>
        <row r="2727">
          <cell r="A2727" t="str">
            <v>MY-PUHM001-OR-16</v>
          </cell>
          <cell r="B2727" t="str">
            <v>MY-PUHM001</v>
          </cell>
        </row>
        <row r="2728">
          <cell r="A2728" t="str">
            <v>MY-PUHM001-OR-20</v>
          </cell>
          <cell r="B2728" t="str">
            <v>MY-PUHM001</v>
          </cell>
        </row>
        <row r="2729">
          <cell r="A2729" t="str">
            <v>MY-PUHM001-OR-24</v>
          </cell>
          <cell r="B2729" t="str">
            <v>MY-PUHM001</v>
          </cell>
        </row>
        <row r="2730">
          <cell r="A2730" t="str">
            <v>MY-PUHM001-OR-28</v>
          </cell>
          <cell r="B2730" t="str">
            <v>MY-PUHM001</v>
          </cell>
        </row>
        <row r="2731">
          <cell r="A2731" t="str">
            <v>MY-PUHM001-OR-8</v>
          </cell>
          <cell r="B2731" t="str">
            <v>MY-PUHM001</v>
          </cell>
        </row>
        <row r="2732">
          <cell r="A2732" t="str">
            <v>MY-PUHM001-R0-10</v>
          </cell>
          <cell r="B2732" t="str">
            <v>MY-PUHM001</v>
          </cell>
        </row>
        <row r="2733">
          <cell r="A2733" t="str">
            <v>MY-PUHM001-R0-12</v>
          </cell>
          <cell r="B2733" t="str">
            <v>MY-PUHM001</v>
          </cell>
        </row>
        <row r="2734">
          <cell r="A2734" t="str">
            <v>MY-PUHM001-R0-14</v>
          </cell>
          <cell r="B2734" t="str">
            <v>MY-PUHM001</v>
          </cell>
        </row>
        <row r="2735">
          <cell r="A2735" t="str">
            <v>MY-PUHM001-R0-16</v>
          </cell>
          <cell r="B2735" t="str">
            <v>MY-PUHM001</v>
          </cell>
        </row>
        <row r="2736">
          <cell r="A2736" t="str">
            <v>MY-PUHM001-R0-20</v>
          </cell>
          <cell r="B2736" t="str">
            <v>MY-PUHM001</v>
          </cell>
        </row>
        <row r="2737">
          <cell r="A2737" t="str">
            <v>MY-PUHM001-R0-24</v>
          </cell>
          <cell r="B2737" t="str">
            <v>MY-PUHM001</v>
          </cell>
        </row>
        <row r="2738">
          <cell r="A2738" t="str">
            <v>MY-PUHM001-R0-28</v>
          </cell>
          <cell r="B2738" t="str">
            <v>MY-PUHM001</v>
          </cell>
        </row>
        <row r="2739">
          <cell r="A2739" t="str">
            <v>MY-PUHM001-R0-8</v>
          </cell>
          <cell r="B2739" t="str">
            <v>MY-PUHM001</v>
          </cell>
        </row>
        <row r="2740">
          <cell r="A2740" t="str">
            <v>MY-PUHM001-ZL-10</v>
          </cell>
          <cell r="B2740" t="str">
            <v>MY-PUHM001</v>
          </cell>
        </row>
        <row r="2741">
          <cell r="A2741" t="str">
            <v>MY-PUHM001-ZL-12</v>
          </cell>
          <cell r="B2741" t="str">
            <v>MY-PUHM001</v>
          </cell>
        </row>
        <row r="2742">
          <cell r="A2742" t="str">
            <v>MY-PUHM001-ZL-14</v>
          </cell>
          <cell r="B2742" t="str">
            <v>MY-PUHM001</v>
          </cell>
        </row>
        <row r="2743">
          <cell r="A2743" t="str">
            <v>MY-PUHM001-ZL-16</v>
          </cell>
          <cell r="B2743" t="str">
            <v>MY-PUHM001</v>
          </cell>
        </row>
        <row r="2744">
          <cell r="A2744" t="str">
            <v>MY-PUHM001-ZL-20</v>
          </cell>
          <cell r="B2744" t="str">
            <v>MY-PUHM001</v>
          </cell>
        </row>
        <row r="2745">
          <cell r="A2745" t="str">
            <v>MY-PUHM001-ZL-24</v>
          </cell>
          <cell r="B2745" t="str">
            <v>MY-PUHM001</v>
          </cell>
        </row>
        <row r="2746">
          <cell r="A2746" t="str">
            <v>MY-PUHM001-ZL-28</v>
          </cell>
          <cell r="B2746" t="str">
            <v>MY-PUHM001</v>
          </cell>
        </row>
        <row r="2747">
          <cell r="A2747" t="str">
            <v>MY-PUHM001-ZL-8</v>
          </cell>
          <cell r="B2747" t="str">
            <v>MY-PUHM001</v>
          </cell>
        </row>
        <row r="2748">
          <cell r="A2748" t="str">
            <v>MY-PUHM035-R0-L</v>
          </cell>
          <cell r="B2748" t="str">
            <v>MY-PUHM035</v>
          </cell>
        </row>
        <row r="2749">
          <cell r="A2749" t="str">
            <v>MY-PUHM035-R0-M</v>
          </cell>
          <cell r="B2749" t="str">
            <v>MY-PUHM035</v>
          </cell>
        </row>
        <row r="2750">
          <cell r="A2750" t="str">
            <v>MY-PUHM035-R0-S</v>
          </cell>
          <cell r="B2750" t="str">
            <v>MY-PUHM035</v>
          </cell>
        </row>
        <row r="2751">
          <cell r="A2751" t="str">
            <v>MY-PUHM035-R0-XL</v>
          </cell>
          <cell r="B2751" t="str">
            <v>MY-PUHM035</v>
          </cell>
        </row>
        <row r="2752">
          <cell r="A2752" t="str">
            <v>MY-PUHM035-R0-XXL</v>
          </cell>
          <cell r="B2752" t="str">
            <v>MY-PUHM035</v>
          </cell>
        </row>
        <row r="2753">
          <cell r="A2753" t="str">
            <v>MY-PUHM036-B0-L</v>
          </cell>
          <cell r="B2753" t="str">
            <v>MY-PUHM036</v>
          </cell>
        </row>
        <row r="2754">
          <cell r="A2754" t="str">
            <v>MY-PUHM036-B0-M</v>
          </cell>
          <cell r="B2754" t="str">
            <v>MY-PUHM036</v>
          </cell>
        </row>
        <row r="2755">
          <cell r="A2755" t="str">
            <v>MY-PUHM036-B0-S</v>
          </cell>
          <cell r="B2755" t="str">
            <v>MY-PUHM036</v>
          </cell>
        </row>
        <row r="2756">
          <cell r="A2756" t="str">
            <v>MY-PUHM036-B0-XL</v>
          </cell>
          <cell r="B2756" t="str">
            <v>MY-PUHM036</v>
          </cell>
        </row>
        <row r="2757">
          <cell r="A2757" t="str">
            <v>MY-PUHM036-B0-XXL</v>
          </cell>
          <cell r="B2757" t="str">
            <v>MY-PUHM036</v>
          </cell>
        </row>
        <row r="2758">
          <cell r="A2758" t="str">
            <v>MY-PUHM582-B0-L</v>
          </cell>
          <cell r="B2758" t="str">
            <v>MY-PUHM582</v>
          </cell>
        </row>
        <row r="2759">
          <cell r="A2759" t="str">
            <v>MY-PUHM582-B0-M</v>
          </cell>
          <cell r="B2759" t="str">
            <v>MY-PUHM582</v>
          </cell>
        </row>
        <row r="2760">
          <cell r="A2760" t="str">
            <v>MY-PUHM582-B0-S</v>
          </cell>
          <cell r="B2760" t="str">
            <v>MY-PUHM582</v>
          </cell>
        </row>
        <row r="2761">
          <cell r="A2761" t="str">
            <v>MY-PUHM582-B0-XL</v>
          </cell>
          <cell r="B2761" t="str">
            <v>MY-PUHM582</v>
          </cell>
        </row>
        <row r="2762">
          <cell r="A2762" t="str">
            <v>MY-PUHM582-B0-XS</v>
          </cell>
          <cell r="B2762" t="str">
            <v>MY-PUHM582</v>
          </cell>
        </row>
        <row r="2763">
          <cell r="A2763" t="str">
            <v>MY-PUHM582-R0-L</v>
          </cell>
          <cell r="B2763" t="str">
            <v>MY-PUHM582</v>
          </cell>
        </row>
        <row r="2764">
          <cell r="A2764" t="str">
            <v>MY-PUHM582-R0-M</v>
          </cell>
          <cell r="B2764" t="str">
            <v>MY-PUHM582</v>
          </cell>
        </row>
        <row r="2765">
          <cell r="A2765" t="str">
            <v>MY-PUHM582-R0-S</v>
          </cell>
          <cell r="B2765" t="str">
            <v>MY-PUHM582</v>
          </cell>
        </row>
        <row r="2766">
          <cell r="A2766" t="str">
            <v>MY-PUHM582-R0-XL</v>
          </cell>
          <cell r="B2766" t="str">
            <v>MY-PUHM582</v>
          </cell>
        </row>
        <row r="2767">
          <cell r="A2767" t="str">
            <v>MY-PUHM582-R0-XS</v>
          </cell>
          <cell r="B2767" t="str">
            <v>MY-PUHM582</v>
          </cell>
        </row>
        <row r="2768">
          <cell r="A2768" t="str">
            <v>MY-SB011-BK-L</v>
          </cell>
          <cell r="B2768" t="str">
            <v>MY-SB011</v>
          </cell>
        </row>
        <row r="2769">
          <cell r="A2769" t="str">
            <v>MY-SB011-BK-M</v>
          </cell>
          <cell r="B2769" t="str">
            <v>MY-SB011</v>
          </cell>
        </row>
        <row r="2770">
          <cell r="A2770" t="str">
            <v>MY-SB011-BK-S</v>
          </cell>
          <cell r="B2770" t="str">
            <v>MY-SB011</v>
          </cell>
        </row>
        <row r="2771">
          <cell r="A2771" t="str">
            <v>MY-SB011-BK-XL</v>
          </cell>
          <cell r="B2771" t="str">
            <v>MY-SB011</v>
          </cell>
        </row>
        <row r="2772">
          <cell r="A2772" t="str">
            <v>MY-SB011-BL-L</v>
          </cell>
          <cell r="B2772" t="str">
            <v>MY-SB011</v>
          </cell>
        </row>
        <row r="2773">
          <cell r="A2773" t="str">
            <v>MY-SB011-BL-M</v>
          </cell>
          <cell r="B2773" t="str">
            <v>MY-SB011</v>
          </cell>
        </row>
        <row r="2774">
          <cell r="A2774" t="str">
            <v>MY-SB011-BL-S</v>
          </cell>
          <cell r="B2774" t="str">
            <v>MY-SB011</v>
          </cell>
        </row>
        <row r="2775">
          <cell r="A2775" t="str">
            <v>MY-SB011-BL-XL</v>
          </cell>
          <cell r="B2775" t="str">
            <v>MY-SB011</v>
          </cell>
        </row>
        <row r="2776">
          <cell r="A2776" t="str">
            <v>MY-SB011-CF-L</v>
          </cell>
          <cell r="B2776" t="str">
            <v>MY-SB011</v>
          </cell>
        </row>
        <row r="2777">
          <cell r="A2777" t="str">
            <v>MY-SB011-CF-M</v>
          </cell>
          <cell r="B2777" t="str">
            <v>MY-SB011</v>
          </cell>
        </row>
        <row r="2778">
          <cell r="A2778" t="str">
            <v>MY-SB011-CF-S</v>
          </cell>
          <cell r="B2778" t="str">
            <v>MY-SB011</v>
          </cell>
        </row>
        <row r="2779">
          <cell r="A2779" t="str">
            <v>MY-SB011-CF-XL</v>
          </cell>
          <cell r="B2779" t="str">
            <v>MY-SB011</v>
          </cell>
        </row>
        <row r="2780">
          <cell r="A2780" t="str">
            <v>MY-SB011-DG-L</v>
          </cell>
          <cell r="B2780" t="str">
            <v>MY-SB011</v>
          </cell>
        </row>
        <row r="2781">
          <cell r="A2781" t="str">
            <v>MY-SB011-DG-M</v>
          </cell>
          <cell r="B2781" t="str">
            <v>MY-SB011</v>
          </cell>
        </row>
        <row r="2782">
          <cell r="A2782" t="str">
            <v>MY-SB011-DG-S</v>
          </cell>
          <cell r="B2782" t="str">
            <v>MY-SB011</v>
          </cell>
        </row>
        <row r="2783">
          <cell r="A2783" t="str">
            <v>MY-SB011-DG-XL</v>
          </cell>
          <cell r="B2783" t="str">
            <v>MY-SB011</v>
          </cell>
        </row>
        <row r="2784">
          <cell r="A2784" t="str">
            <v>MY-SB011-LG-L</v>
          </cell>
          <cell r="B2784" t="str">
            <v>MY-SB011</v>
          </cell>
        </row>
        <row r="2785">
          <cell r="A2785" t="str">
            <v>MY-SB011-LG-M</v>
          </cell>
          <cell r="B2785" t="str">
            <v>MY-SB011</v>
          </cell>
        </row>
        <row r="2786">
          <cell r="A2786" t="str">
            <v>MY-SB011-LG-S</v>
          </cell>
          <cell r="B2786" t="str">
            <v>MY-SB011</v>
          </cell>
        </row>
        <row r="2787">
          <cell r="A2787" t="str">
            <v>MY-SB011-LG-XL</v>
          </cell>
          <cell r="B2787" t="str">
            <v>MY-SB011</v>
          </cell>
        </row>
        <row r="2788">
          <cell r="A2788" t="str">
            <v>MY-SB011-NY-L</v>
          </cell>
          <cell r="B2788" t="str">
            <v>MY-SB011</v>
          </cell>
        </row>
        <row r="2789">
          <cell r="A2789" t="str">
            <v>MY-SB011-NY-M</v>
          </cell>
          <cell r="B2789" t="str">
            <v>MY-SB011</v>
          </cell>
        </row>
        <row r="2790">
          <cell r="A2790" t="str">
            <v>MY-SB011-NY-S</v>
          </cell>
          <cell r="B2790" t="str">
            <v>MY-SB011</v>
          </cell>
        </row>
        <row r="2791">
          <cell r="A2791" t="str">
            <v>MY-SB011-NY-XL</v>
          </cell>
          <cell r="B2791" t="str">
            <v>MY-SB011</v>
          </cell>
        </row>
        <row r="2792">
          <cell r="A2792" t="str">
            <v>MY-SB011-PP-L</v>
          </cell>
          <cell r="B2792" t="str">
            <v>MY-SB011</v>
          </cell>
        </row>
        <row r="2793">
          <cell r="A2793" t="str">
            <v>MY-SB011-PP-M</v>
          </cell>
          <cell r="B2793" t="str">
            <v>MY-SB011</v>
          </cell>
        </row>
        <row r="2794">
          <cell r="A2794" t="str">
            <v>MY-SB011-PP-S</v>
          </cell>
          <cell r="B2794" t="str">
            <v>MY-SB011</v>
          </cell>
        </row>
        <row r="2795">
          <cell r="A2795" t="str">
            <v>MY-SB011-PP-XL</v>
          </cell>
          <cell r="B2795" t="str">
            <v>MY-SB011</v>
          </cell>
        </row>
        <row r="2796">
          <cell r="A2796" t="str">
            <v>MY-SB011-RD-L</v>
          </cell>
          <cell r="B2796" t="str">
            <v>MY-SB011</v>
          </cell>
        </row>
        <row r="2797">
          <cell r="A2797" t="str">
            <v>MY-SB011-RD-M</v>
          </cell>
          <cell r="B2797" t="str">
            <v>MY-SB011</v>
          </cell>
        </row>
        <row r="2798">
          <cell r="A2798" t="str">
            <v>MY-SB011-RD-S</v>
          </cell>
          <cell r="B2798" t="str">
            <v>MY-SB011</v>
          </cell>
        </row>
        <row r="2799">
          <cell r="A2799" t="str">
            <v>MY-SB011-RD-XL</v>
          </cell>
          <cell r="B2799" t="str">
            <v>MY-SB011</v>
          </cell>
        </row>
        <row r="2800">
          <cell r="A2800" t="str">
            <v>MY-SB011-WT-L</v>
          </cell>
          <cell r="B2800" t="str">
            <v>MY-SB011</v>
          </cell>
        </row>
        <row r="2801">
          <cell r="A2801" t="str">
            <v>MY-SB011-WT-M</v>
          </cell>
          <cell r="B2801" t="str">
            <v>MY-SB011</v>
          </cell>
        </row>
        <row r="2802">
          <cell r="A2802" t="str">
            <v>MY-SB011-WT-S</v>
          </cell>
          <cell r="B2802" t="str">
            <v>MY-SB011</v>
          </cell>
        </row>
        <row r="2803">
          <cell r="A2803" t="str">
            <v>MY-SB011-WT-XL</v>
          </cell>
          <cell r="B2803" t="str">
            <v>MY-SB011</v>
          </cell>
        </row>
        <row r="2804">
          <cell r="A2804" t="str">
            <v>MY-SB013-AG-L</v>
          </cell>
          <cell r="B2804" t="str">
            <v>MY-SB013</v>
          </cell>
        </row>
        <row r="2805">
          <cell r="A2805" t="str">
            <v>MY-SB013-AG-M</v>
          </cell>
          <cell r="B2805" t="str">
            <v>MY-SB013</v>
          </cell>
        </row>
        <row r="2806">
          <cell r="A2806" t="str">
            <v>MY-SB013-AG-S</v>
          </cell>
          <cell r="B2806" t="str">
            <v>MY-SB013</v>
          </cell>
        </row>
        <row r="2807">
          <cell r="A2807" t="str">
            <v>MY-SB013-AG-XL</v>
          </cell>
          <cell r="B2807" t="str">
            <v>MY-SB013</v>
          </cell>
        </row>
        <row r="2808">
          <cell r="A2808" t="str">
            <v>MY-SB013-AG-XS</v>
          </cell>
          <cell r="B2808" t="str">
            <v>MY-SB013</v>
          </cell>
        </row>
        <row r="2809">
          <cell r="A2809" t="str">
            <v>MY-SB013-BO-L</v>
          </cell>
          <cell r="B2809" t="str">
            <v>MY-SB013</v>
          </cell>
        </row>
        <row r="2810">
          <cell r="A2810" t="str">
            <v>MY-SB013-BO-M</v>
          </cell>
          <cell r="B2810" t="str">
            <v>MY-SB013</v>
          </cell>
        </row>
        <row r="2811">
          <cell r="A2811" t="str">
            <v>MY-SB013-BO-S</v>
          </cell>
          <cell r="B2811" t="str">
            <v>MY-SB013</v>
          </cell>
        </row>
        <row r="2812">
          <cell r="A2812" t="str">
            <v>MY-SB013-BO-XL</v>
          </cell>
          <cell r="B2812" t="str">
            <v>MY-SB013</v>
          </cell>
        </row>
        <row r="2813">
          <cell r="A2813" t="str">
            <v>MY-SB013-BO-XS</v>
          </cell>
          <cell r="B2813" t="str">
            <v>MY-SB013</v>
          </cell>
        </row>
        <row r="2814">
          <cell r="A2814" t="str">
            <v>MY-SB013-DG-L</v>
          </cell>
          <cell r="B2814" t="str">
            <v>MY-SB013</v>
          </cell>
        </row>
        <row r="2815">
          <cell r="A2815" t="str">
            <v>MY-SB013-DG-M</v>
          </cell>
          <cell r="B2815" t="str">
            <v>MY-SB013</v>
          </cell>
        </row>
        <row r="2816">
          <cell r="A2816" t="str">
            <v>MY-SB013-DG-S</v>
          </cell>
          <cell r="B2816" t="str">
            <v>MY-SB013</v>
          </cell>
        </row>
        <row r="2817">
          <cell r="A2817" t="str">
            <v>MY-SB013-DG-XL</v>
          </cell>
          <cell r="B2817" t="str">
            <v>MY-SB013</v>
          </cell>
        </row>
        <row r="2818">
          <cell r="A2818" t="str">
            <v>MY-SB013-DG-XS</v>
          </cell>
          <cell r="B2818" t="str">
            <v>MY-SB013</v>
          </cell>
        </row>
        <row r="2819">
          <cell r="A2819" t="str">
            <v>MY-SB013-KK-L</v>
          </cell>
          <cell r="B2819" t="str">
            <v>MY-SB013</v>
          </cell>
        </row>
        <row r="2820">
          <cell r="A2820" t="str">
            <v>MY-SB013-KK-M</v>
          </cell>
          <cell r="B2820" t="str">
            <v>MY-SB013</v>
          </cell>
        </row>
        <row r="2821">
          <cell r="A2821" t="str">
            <v>MY-SB013-KK-S</v>
          </cell>
          <cell r="B2821" t="str">
            <v>MY-SB013</v>
          </cell>
        </row>
        <row r="2822">
          <cell r="A2822" t="str">
            <v>MY-SB013-KK-XL</v>
          </cell>
          <cell r="B2822" t="str">
            <v>MY-SB013</v>
          </cell>
        </row>
        <row r="2823">
          <cell r="A2823" t="str">
            <v>MY-SB013-KK-XS</v>
          </cell>
          <cell r="B2823" t="str">
            <v>MY-SB013</v>
          </cell>
        </row>
        <row r="2824">
          <cell r="A2824" t="str">
            <v>MY-SB013-LG-L</v>
          </cell>
          <cell r="B2824" t="str">
            <v>MY-SB013</v>
          </cell>
        </row>
        <row r="2825">
          <cell r="A2825" t="str">
            <v>MY-SB013-LG-M</v>
          </cell>
          <cell r="B2825" t="str">
            <v>MY-SB013</v>
          </cell>
        </row>
        <row r="2826">
          <cell r="A2826" t="str">
            <v>MY-SB013-LG-S</v>
          </cell>
          <cell r="B2826" t="str">
            <v>MY-SB013</v>
          </cell>
        </row>
        <row r="2827">
          <cell r="A2827" t="str">
            <v>MY-SB013-LG-XL</v>
          </cell>
          <cell r="B2827" t="str">
            <v>MY-SB013</v>
          </cell>
        </row>
        <row r="2828">
          <cell r="A2828" t="str">
            <v>MY-SB013-LG-XS</v>
          </cell>
          <cell r="B2828" t="str">
            <v>MY-SB013</v>
          </cell>
        </row>
        <row r="2829">
          <cell r="A2829" t="str">
            <v>MY-SB013-WR-L</v>
          </cell>
          <cell r="B2829" t="str">
            <v>MY-SB013</v>
          </cell>
        </row>
        <row r="2830">
          <cell r="A2830" t="str">
            <v>MY-SB013-WR-M</v>
          </cell>
          <cell r="B2830" t="str">
            <v>MY-SB013</v>
          </cell>
        </row>
        <row r="2831">
          <cell r="A2831" t="str">
            <v>MY-SB013-WR-S</v>
          </cell>
          <cell r="B2831" t="str">
            <v>MY-SB013</v>
          </cell>
        </row>
        <row r="2832">
          <cell r="A2832" t="str">
            <v>MY-SB013-WR-XL</v>
          </cell>
          <cell r="B2832" t="str">
            <v>MY-SB013</v>
          </cell>
        </row>
        <row r="2833">
          <cell r="A2833" t="str">
            <v>MY-SB013-WR-XS</v>
          </cell>
          <cell r="B2833" t="str">
            <v>MY-SB013</v>
          </cell>
        </row>
        <row r="2834">
          <cell r="A2834" t="str">
            <v>MY-SB015-BK-L</v>
          </cell>
          <cell r="B2834" t="str">
            <v>MY-SB015</v>
          </cell>
        </row>
        <row r="2835">
          <cell r="A2835" t="str">
            <v>MY-SB015-BK-M</v>
          </cell>
          <cell r="B2835" t="str">
            <v>MY-SB015</v>
          </cell>
        </row>
        <row r="2836">
          <cell r="A2836" t="str">
            <v>MY-SB015-BK-S</v>
          </cell>
          <cell r="B2836" t="str">
            <v>MY-SB015</v>
          </cell>
        </row>
        <row r="2837">
          <cell r="A2837" t="str">
            <v>MY-SB015-BK-XL</v>
          </cell>
          <cell r="B2837" t="str">
            <v>MY-SB015</v>
          </cell>
        </row>
        <row r="2838">
          <cell r="A2838" t="str">
            <v>MY-SB015-BL-L</v>
          </cell>
          <cell r="B2838" t="str">
            <v>MY-SB015</v>
          </cell>
        </row>
        <row r="2839">
          <cell r="A2839" t="str">
            <v>MY-SB015-BL-M</v>
          </cell>
          <cell r="B2839" t="str">
            <v>MY-SB015</v>
          </cell>
        </row>
        <row r="2840">
          <cell r="A2840" t="str">
            <v>MY-SB015-BL-S</v>
          </cell>
          <cell r="B2840" t="str">
            <v>MY-SB015</v>
          </cell>
        </row>
        <row r="2841">
          <cell r="A2841" t="str">
            <v>MY-SB015-BL-XL</v>
          </cell>
          <cell r="B2841" t="str">
            <v>MY-SB015</v>
          </cell>
        </row>
        <row r="2842">
          <cell r="A2842" t="str">
            <v>MY-SB015-DG-L</v>
          </cell>
          <cell r="B2842" t="str">
            <v>MY-SB015</v>
          </cell>
        </row>
        <row r="2843">
          <cell r="A2843" t="str">
            <v>MY-SB015-DG-M</v>
          </cell>
          <cell r="B2843" t="str">
            <v>MY-SB015</v>
          </cell>
        </row>
        <row r="2844">
          <cell r="A2844" t="str">
            <v>MY-SB015-DG-S</v>
          </cell>
          <cell r="B2844" t="str">
            <v>MY-SB015</v>
          </cell>
        </row>
        <row r="2845">
          <cell r="A2845" t="str">
            <v>MY-SB015-DG-XL</v>
          </cell>
          <cell r="B2845" t="str">
            <v>MY-SB015</v>
          </cell>
        </row>
        <row r="2846">
          <cell r="A2846" t="str">
            <v>MY-SB015-LG-L</v>
          </cell>
          <cell r="B2846" t="str">
            <v>MY-SB015</v>
          </cell>
        </row>
        <row r="2847">
          <cell r="A2847" t="str">
            <v>MY-SB015-LG-M</v>
          </cell>
          <cell r="B2847" t="str">
            <v>MY-SB015</v>
          </cell>
        </row>
        <row r="2848">
          <cell r="A2848" t="str">
            <v>MY-SB015-LG-S</v>
          </cell>
          <cell r="B2848" t="str">
            <v>MY-SB015</v>
          </cell>
        </row>
        <row r="2849">
          <cell r="A2849" t="str">
            <v>MY-SB015-LG-XL</v>
          </cell>
          <cell r="B2849" t="str">
            <v>MY-SB015</v>
          </cell>
        </row>
        <row r="2850">
          <cell r="A2850" t="str">
            <v>MY-SB015-PP-L</v>
          </cell>
          <cell r="B2850" t="str">
            <v>MY-SB015</v>
          </cell>
        </row>
        <row r="2851">
          <cell r="A2851" t="str">
            <v>MY-SB015-PP-M</v>
          </cell>
          <cell r="B2851" t="str">
            <v>MY-SB015</v>
          </cell>
        </row>
        <row r="2852">
          <cell r="A2852" t="str">
            <v>MY-SB015-PP-S</v>
          </cell>
          <cell r="B2852" t="str">
            <v>MY-SB015</v>
          </cell>
        </row>
        <row r="2853">
          <cell r="A2853" t="str">
            <v>MY-SB015-PP-XL</v>
          </cell>
          <cell r="B2853" t="str">
            <v>MY-SB015</v>
          </cell>
        </row>
        <row r="2854">
          <cell r="A2854" t="str">
            <v>MY-SB015-WR-L</v>
          </cell>
          <cell r="B2854" t="str">
            <v>MY-SB015</v>
          </cell>
        </row>
        <row r="2855">
          <cell r="A2855" t="str">
            <v>MY-SB015-WR-M</v>
          </cell>
          <cell r="B2855" t="str">
            <v>MY-SB015</v>
          </cell>
        </row>
        <row r="2856">
          <cell r="A2856" t="str">
            <v>MY-SB015-WR-S</v>
          </cell>
          <cell r="B2856" t="str">
            <v>MY-SB015</v>
          </cell>
        </row>
        <row r="2857">
          <cell r="A2857" t="str">
            <v>MY-SB015-WR-XL</v>
          </cell>
          <cell r="B2857" t="str">
            <v>MY-SB015</v>
          </cell>
        </row>
        <row r="2858">
          <cell r="A2858" t="str">
            <v>MY-ZQ-TWA1-KG-2X</v>
          </cell>
          <cell r="B2858" t="str">
            <v>MY-ZQ-TWA1</v>
          </cell>
        </row>
        <row r="2859">
          <cell r="A2859" t="str">
            <v>MY-ZQ-TWA1-KG-3X</v>
          </cell>
          <cell r="B2859" t="str">
            <v>MY-ZQ-TWA1</v>
          </cell>
        </row>
        <row r="2860">
          <cell r="A2860" t="str">
            <v>MY-ZQ-TWA1-KG-4X</v>
          </cell>
          <cell r="B2860" t="str">
            <v>MY-ZQ-TWA1</v>
          </cell>
        </row>
        <row r="2861">
          <cell r="A2861" t="str">
            <v>MY-ZQ-TWA1-KG-5X</v>
          </cell>
          <cell r="B2861" t="str">
            <v>MY-ZQ-TWA1</v>
          </cell>
        </row>
        <row r="2862">
          <cell r="A2862" t="str">
            <v>MY-ZQ-TWA1-KG-L</v>
          </cell>
          <cell r="B2862" t="str">
            <v>MY-ZQ-TWA1</v>
          </cell>
        </row>
        <row r="2863">
          <cell r="A2863" t="str">
            <v>MY-ZQ-TWA1-KG-M</v>
          </cell>
          <cell r="B2863" t="str">
            <v>MY-ZQ-TWA1</v>
          </cell>
        </row>
        <row r="2864">
          <cell r="A2864" t="str">
            <v>MY-ZQ-TWA1-KG-S</v>
          </cell>
          <cell r="B2864" t="str">
            <v>MY-ZQ-TWA1</v>
          </cell>
        </row>
        <row r="2865">
          <cell r="A2865" t="str">
            <v>MY-ZQ-TWA1-KG-XL</v>
          </cell>
          <cell r="B2865" t="str">
            <v>MY-ZQ-TWA1</v>
          </cell>
        </row>
        <row r="2866">
          <cell r="A2866" t="str">
            <v>MZ006E0</v>
          </cell>
          <cell r="B2866" t="str">
            <v>MZ006</v>
          </cell>
        </row>
        <row r="2867">
          <cell r="A2867" t="str">
            <v>MZ006K0</v>
          </cell>
          <cell r="B2867" t="str">
            <v>MZ006</v>
          </cell>
        </row>
        <row r="2868">
          <cell r="A2868" t="str">
            <v>MZ006W0</v>
          </cell>
          <cell r="B2868" t="str">
            <v>MZ006</v>
          </cell>
        </row>
        <row r="2869">
          <cell r="A2869" t="str">
            <v>MZ006W1</v>
          </cell>
          <cell r="B2869" t="str">
            <v>MZ006</v>
          </cell>
        </row>
        <row r="2870">
          <cell r="A2870" t="str">
            <v>MZ-JY1616-CF</v>
          </cell>
          <cell r="B2870" t="str">
            <v>MZ-JY1616</v>
          </cell>
        </row>
        <row r="2871">
          <cell r="A2871" t="str">
            <v>MZ-JY1616-K0</v>
          </cell>
          <cell r="B2871" t="str">
            <v>MZ-JY1616</v>
          </cell>
        </row>
        <row r="2872">
          <cell r="A2872" t="str">
            <v>MZ-JY1616-KH</v>
          </cell>
          <cell r="B2872" t="str">
            <v>MZ-JY1616</v>
          </cell>
        </row>
        <row r="2873">
          <cell r="A2873" t="str">
            <v>MZ-JY1616-R0</v>
          </cell>
          <cell r="B2873" t="str">
            <v>MZ-JY1616</v>
          </cell>
        </row>
        <row r="2874">
          <cell r="A2874" t="str">
            <v>MZ-JY1616-ZL</v>
          </cell>
          <cell r="B2874" t="str">
            <v>MZ-JY1616</v>
          </cell>
        </row>
        <row r="2875">
          <cell r="A2875" t="str">
            <v>MZ-SV2843BD</v>
          </cell>
          <cell r="B2875" t="str">
            <v>MZ-SV2843</v>
          </cell>
        </row>
        <row r="2876">
          <cell r="A2876" t="str">
            <v>MZ-SV2843E0</v>
          </cell>
          <cell r="B2876" t="str">
            <v>MZ-SV2843</v>
          </cell>
        </row>
        <row r="2877">
          <cell r="A2877" t="str">
            <v>MZ-SV2843K0</v>
          </cell>
          <cell r="B2877" t="str">
            <v>MZ-SV2843</v>
          </cell>
        </row>
        <row r="2878">
          <cell r="A2878" t="str">
            <v>MZ-SV2843KQ</v>
          </cell>
          <cell r="B2878" t="str">
            <v>MZ-SV2843</v>
          </cell>
        </row>
        <row r="2879">
          <cell r="A2879" t="str">
            <v>MZ-SV2843N5</v>
          </cell>
          <cell r="B2879" t="str">
            <v>MZ-SV2843</v>
          </cell>
        </row>
        <row r="2880">
          <cell r="A2880" t="str">
            <v>MZ-SV2843W1</v>
          </cell>
          <cell r="B2880" t="str">
            <v>MZ-SV2843</v>
          </cell>
        </row>
        <row r="2881">
          <cell r="A2881" t="str">
            <v>MZ-SV2843ZL</v>
          </cell>
          <cell r="B2881" t="str">
            <v>MZ-SV2843</v>
          </cell>
        </row>
        <row r="2882">
          <cell r="A2882" t="str">
            <v>Pajamas-sb001-GR-L</v>
          </cell>
          <cell r="B2882" t="str">
            <v>Pajamas-sb001</v>
          </cell>
        </row>
        <row r="2883">
          <cell r="A2883" t="str">
            <v>Pajamas-sb001-GR-M</v>
          </cell>
          <cell r="B2883" t="str">
            <v>Pajamas-sb001</v>
          </cell>
        </row>
        <row r="2884">
          <cell r="A2884" t="str">
            <v>Pajamas-sb001-GR-XL</v>
          </cell>
          <cell r="B2884" t="str">
            <v>Pajamas-sb001</v>
          </cell>
        </row>
        <row r="2885">
          <cell r="A2885" t="str">
            <v>Pajamas-sb001-KK-L</v>
          </cell>
          <cell r="B2885" t="str">
            <v>Pajamas-sb001</v>
          </cell>
        </row>
        <row r="2886">
          <cell r="A2886" t="str">
            <v>Pajamas-sb001-KK-M</v>
          </cell>
          <cell r="B2886" t="str">
            <v>Pajamas-sb001</v>
          </cell>
        </row>
        <row r="2887">
          <cell r="A2887" t="str">
            <v>Pajamas-sb001-KK-XL</v>
          </cell>
          <cell r="B2887" t="str">
            <v>Pajamas-sb001</v>
          </cell>
        </row>
        <row r="2888">
          <cell r="A2888" t="str">
            <v>Pajamas-sb001-NY-L</v>
          </cell>
          <cell r="B2888" t="str">
            <v>Pajamas-sb001</v>
          </cell>
        </row>
        <row r="2889">
          <cell r="A2889" t="str">
            <v>Pajamas-sb001-NY-M</v>
          </cell>
          <cell r="B2889" t="str">
            <v>Pajamas-sb001</v>
          </cell>
        </row>
        <row r="2890">
          <cell r="A2890" t="str">
            <v>Pajamas-sb001-NY-XL</v>
          </cell>
          <cell r="B2890" t="str">
            <v>Pajamas-sb001</v>
          </cell>
        </row>
        <row r="2891">
          <cell r="A2891" t="str">
            <v>Pajamas-sb001-WT-L</v>
          </cell>
          <cell r="B2891" t="str">
            <v>Pajamas-sb001</v>
          </cell>
        </row>
        <row r="2892">
          <cell r="A2892" t="str">
            <v>Pajamas-sb001-WT-M</v>
          </cell>
          <cell r="B2892" t="str">
            <v>Pajamas-sb001</v>
          </cell>
        </row>
        <row r="2893">
          <cell r="A2893" t="str">
            <v>Pajamas-sb001-WT-XL</v>
          </cell>
          <cell r="B2893" t="str">
            <v>Pajamas-sb001</v>
          </cell>
        </row>
        <row r="2894">
          <cell r="A2894" t="str">
            <v>PJ-ZQ7050-C1</v>
          </cell>
          <cell r="B2894" t="str">
            <v>PJ-ZQ7050</v>
          </cell>
        </row>
        <row r="2895">
          <cell r="A2895" t="str">
            <v>PJ-ZQ7050-C2</v>
          </cell>
          <cell r="B2895" t="str">
            <v>PJ-ZQ7050</v>
          </cell>
        </row>
        <row r="2896">
          <cell r="A2896" t="str">
            <v>PJ-ZQ7050-C3</v>
          </cell>
          <cell r="B2896" t="str">
            <v>PJ-ZQ7050</v>
          </cell>
        </row>
        <row r="2897">
          <cell r="A2897" t="str">
            <v>PJ-ZQ7050-C4</v>
          </cell>
          <cell r="B2897" t="str">
            <v>PJ-ZQ7050</v>
          </cell>
        </row>
        <row r="2898">
          <cell r="A2898" t="str">
            <v>PJ-ZQ7050-C5</v>
          </cell>
          <cell r="B2898" t="str">
            <v>PJ-ZQ7050</v>
          </cell>
        </row>
        <row r="2899">
          <cell r="A2899" t="str">
            <v>PJ-ZQ7050-C6</v>
          </cell>
          <cell r="B2899" t="str">
            <v>PJ-ZQ7050</v>
          </cell>
        </row>
        <row r="2900">
          <cell r="A2900" t="str">
            <v>PJ-ZQ7654-E0</v>
          </cell>
          <cell r="B2900" t="str">
            <v>PJ-ZQ7654</v>
          </cell>
        </row>
        <row r="2901">
          <cell r="A2901" t="str">
            <v>POLO-SB014-BK-L</v>
          </cell>
          <cell r="B2901" t="str">
            <v>POLO-SB014</v>
          </cell>
        </row>
        <row r="2902">
          <cell r="A2902" t="str">
            <v>POLO-SB014-BK-M</v>
          </cell>
          <cell r="B2902" t="str">
            <v>POLO-SB014</v>
          </cell>
        </row>
        <row r="2903">
          <cell r="A2903" t="str">
            <v>POLO-SB014-BK-S</v>
          </cell>
          <cell r="B2903" t="str">
            <v>POLO-SB014</v>
          </cell>
        </row>
        <row r="2904">
          <cell r="A2904" t="str">
            <v>POLO-SB014-BK-XL</v>
          </cell>
          <cell r="B2904" t="str">
            <v>POLO-SB014</v>
          </cell>
        </row>
        <row r="2905">
          <cell r="A2905" t="str">
            <v>POLO-SB014-GN-L</v>
          </cell>
          <cell r="B2905" t="str">
            <v>POLO-SB014</v>
          </cell>
        </row>
        <row r="2906">
          <cell r="A2906" t="str">
            <v>POLO-SB014-GN-M</v>
          </cell>
          <cell r="B2906" t="str">
            <v>POLO-SB014</v>
          </cell>
        </row>
        <row r="2907">
          <cell r="A2907" t="str">
            <v>POLO-SB014-GN-S</v>
          </cell>
          <cell r="B2907" t="str">
            <v>POLO-SB014</v>
          </cell>
        </row>
        <row r="2908">
          <cell r="A2908" t="str">
            <v>POLO-SB014-GN-XL</v>
          </cell>
          <cell r="B2908" t="str">
            <v>POLO-SB014</v>
          </cell>
        </row>
        <row r="2909">
          <cell r="A2909" t="str">
            <v>POLO-SB014-GR-L</v>
          </cell>
          <cell r="B2909" t="str">
            <v>POLO-SB014</v>
          </cell>
        </row>
        <row r="2910">
          <cell r="A2910" t="str">
            <v>POLO-SB014-GR-M</v>
          </cell>
          <cell r="B2910" t="str">
            <v>POLO-SB014</v>
          </cell>
        </row>
        <row r="2911">
          <cell r="A2911" t="str">
            <v>POLO-SB014-GR-S</v>
          </cell>
          <cell r="B2911" t="str">
            <v>POLO-SB014</v>
          </cell>
        </row>
        <row r="2912">
          <cell r="A2912" t="str">
            <v>POLO-SB014-GR-XL</v>
          </cell>
          <cell r="B2912" t="str">
            <v>POLO-SB014</v>
          </cell>
        </row>
        <row r="2913">
          <cell r="A2913" t="str">
            <v>POLO-SB014-NY-L</v>
          </cell>
          <cell r="B2913" t="str">
            <v>POLO-SB014</v>
          </cell>
        </row>
        <row r="2914">
          <cell r="A2914" t="str">
            <v>POLO-SB014-NY-M</v>
          </cell>
          <cell r="B2914" t="str">
            <v>POLO-SB014</v>
          </cell>
        </row>
        <row r="2915">
          <cell r="A2915" t="str">
            <v>POLO-SB014-NY-S</v>
          </cell>
          <cell r="B2915" t="str">
            <v>POLO-SB014</v>
          </cell>
        </row>
        <row r="2916">
          <cell r="A2916" t="str">
            <v>POLO-SB014-NY-XL</v>
          </cell>
          <cell r="B2916" t="str">
            <v>POLO-SB014</v>
          </cell>
        </row>
        <row r="2917">
          <cell r="A2917" t="str">
            <v>POLO-SB014-RD-L</v>
          </cell>
          <cell r="B2917" t="str">
            <v>POLO-SB014</v>
          </cell>
        </row>
        <row r="2918">
          <cell r="A2918" t="str">
            <v>POLO-SB014-RD-M</v>
          </cell>
          <cell r="B2918" t="str">
            <v>POLO-SB014</v>
          </cell>
        </row>
        <row r="2919">
          <cell r="A2919" t="str">
            <v>POLO-SB014-RD-S</v>
          </cell>
          <cell r="B2919" t="str">
            <v>POLO-SB014</v>
          </cell>
        </row>
        <row r="2920">
          <cell r="A2920" t="str">
            <v>POLO-SB014-RD-XL</v>
          </cell>
          <cell r="B2920" t="str">
            <v>POLO-SB014</v>
          </cell>
        </row>
        <row r="2921">
          <cell r="A2921" t="str">
            <v>POLO-SB014-YL-L</v>
          </cell>
          <cell r="B2921" t="str">
            <v>POLO-SB014</v>
          </cell>
        </row>
        <row r="2922">
          <cell r="A2922" t="str">
            <v>POLO-SB014-YL-M</v>
          </cell>
          <cell r="B2922" t="str">
            <v>POLO-SB014</v>
          </cell>
        </row>
        <row r="2923">
          <cell r="A2923" t="str">
            <v>POLO-SB014-YL-S</v>
          </cell>
          <cell r="B2923" t="str">
            <v>POLO-SB014</v>
          </cell>
        </row>
        <row r="2924">
          <cell r="A2924" t="str">
            <v>POLO-SB014-YL-XL</v>
          </cell>
          <cell r="B2924" t="str">
            <v>POLO-SB014</v>
          </cell>
        </row>
        <row r="2925">
          <cell r="A2925" t="str">
            <v>RY-PUHM716-B0-L</v>
          </cell>
          <cell r="B2925" t="str">
            <v>RY-PUHM716</v>
          </cell>
        </row>
        <row r="2926">
          <cell r="A2926" t="str">
            <v>RY-PUHM716-B0-M</v>
          </cell>
          <cell r="B2926" t="str">
            <v>RY-PUHM716</v>
          </cell>
        </row>
        <row r="2927">
          <cell r="A2927" t="str">
            <v>RY-PUHM716-B0-S</v>
          </cell>
          <cell r="B2927" t="str">
            <v>RY-PUHM716</v>
          </cell>
        </row>
        <row r="2928">
          <cell r="A2928" t="str">
            <v>RY-PUHM716-B0-XL</v>
          </cell>
          <cell r="B2928" t="str">
            <v>RY-PUHM716</v>
          </cell>
        </row>
        <row r="2929">
          <cell r="A2929" t="str">
            <v>RY-PUHM716-B0-XXL</v>
          </cell>
          <cell r="B2929" t="str">
            <v>RY-PUHM716</v>
          </cell>
        </row>
        <row r="2930">
          <cell r="A2930" t="str">
            <v>RY-PUHM716-KQ-L</v>
          </cell>
          <cell r="B2930" t="str">
            <v>RY-PUHM716</v>
          </cell>
        </row>
        <row r="2931">
          <cell r="A2931" t="str">
            <v>RY-PUHM716-KQ-M</v>
          </cell>
          <cell r="B2931" t="str">
            <v>RY-PUHM716</v>
          </cell>
        </row>
        <row r="2932">
          <cell r="A2932" t="str">
            <v>RY-PUHM716-KQ-S</v>
          </cell>
          <cell r="B2932" t="str">
            <v>RY-PUHM716</v>
          </cell>
        </row>
        <row r="2933">
          <cell r="A2933" t="str">
            <v>RY-PUHM716-KQ-XL</v>
          </cell>
          <cell r="B2933" t="str">
            <v>RY-PUHM716</v>
          </cell>
        </row>
        <row r="2934">
          <cell r="A2934" t="str">
            <v>RY-PUHM716-KQ-XXL</v>
          </cell>
          <cell r="B2934" t="str">
            <v>RY-PUHM716</v>
          </cell>
        </row>
        <row r="2935">
          <cell r="A2935" t="str">
            <v>RY-PUHM716-PI-L</v>
          </cell>
          <cell r="B2935" t="str">
            <v>RY-PUHM716</v>
          </cell>
        </row>
        <row r="2936">
          <cell r="A2936" t="str">
            <v>RY-PUHM716-PI-M</v>
          </cell>
          <cell r="B2936" t="str">
            <v>RY-PUHM716</v>
          </cell>
        </row>
        <row r="2937">
          <cell r="A2937" t="str">
            <v>RY-PUHM716-PI-S</v>
          </cell>
          <cell r="B2937" t="str">
            <v>RY-PUHM716</v>
          </cell>
        </row>
        <row r="2938">
          <cell r="A2938" t="str">
            <v>RY-PUHM716-PI-XL</v>
          </cell>
          <cell r="B2938" t="str">
            <v>RY-PUHM716</v>
          </cell>
        </row>
        <row r="2939">
          <cell r="A2939" t="str">
            <v>RY-PUHM716-PI-XXL</v>
          </cell>
          <cell r="B2939" t="str">
            <v>RY-PUHM716</v>
          </cell>
        </row>
        <row r="2940">
          <cell r="A2940" t="str">
            <v>SB-YL003-GH60</v>
          </cell>
          <cell r="B2940" t="str">
            <v>SB-YL003</v>
          </cell>
        </row>
        <row r="2941">
          <cell r="A2941" t="str">
            <v>SB-YL003-GH70</v>
          </cell>
          <cell r="B2941" t="str">
            <v>SB-YL003</v>
          </cell>
        </row>
        <row r="2942">
          <cell r="A2942" t="str">
            <v>SB-YL003-GH80</v>
          </cell>
          <cell r="B2942" t="str">
            <v>SB-YL003</v>
          </cell>
        </row>
        <row r="2943">
          <cell r="A2943" t="str">
            <v>SB-YL004-FD10</v>
          </cell>
          <cell r="B2943" t="str">
            <v>SB-YL004</v>
          </cell>
        </row>
        <row r="2944">
          <cell r="A2944" t="str">
            <v>SB-YL004-FD20</v>
          </cell>
          <cell r="B2944" t="str">
            <v>SB-YL004</v>
          </cell>
        </row>
        <row r="2945">
          <cell r="A2945" t="str">
            <v>SB-YL004-FD30</v>
          </cell>
          <cell r="B2945" t="str">
            <v>SB-YL004</v>
          </cell>
        </row>
        <row r="2946">
          <cell r="A2946" t="str">
            <v>SB-YL004-FD40</v>
          </cell>
          <cell r="B2946" t="str">
            <v>SB-YL004</v>
          </cell>
        </row>
        <row r="2947">
          <cell r="A2947" t="str">
            <v>SB-YL004-FD50</v>
          </cell>
          <cell r="B2947" t="str">
            <v>SB-YL004</v>
          </cell>
        </row>
        <row r="2948">
          <cell r="A2948" t="str">
            <v>SB-YL004-FD60</v>
          </cell>
          <cell r="B2948" t="str">
            <v>SB-YL004</v>
          </cell>
        </row>
        <row r="2949">
          <cell r="A2949" t="str">
            <v>SB-YL005-KS30</v>
          </cell>
          <cell r="B2949" t="str">
            <v>SB-YL005</v>
          </cell>
        </row>
        <row r="2950">
          <cell r="A2950" t="str">
            <v>SB-YL005-KS40</v>
          </cell>
          <cell r="B2950" t="str">
            <v>SB-YL005</v>
          </cell>
        </row>
        <row r="2951">
          <cell r="A2951" t="str">
            <v>SB-YL005-KS50</v>
          </cell>
          <cell r="B2951" t="str">
            <v>SB-YL005</v>
          </cell>
        </row>
        <row r="2952">
          <cell r="A2952" t="str">
            <v>SB-YL005-KS60</v>
          </cell>
          <cell r="B2952" t="str">
            <v>SB-YL005</v>
          </cell>
        </row>
        <row r="2953">
          <cell r="A2953" t="str">
            <v>SB-YL005-KS70</v>
          </cell>
          <cell r="B2953" t="str">
            <v>SB-YL005</v>
          </cell>
        </row>
        <row r="2954">
          <cell r="A2954" t="str">
            <v>SB-YL005-KS80</v>
          </cell>
          <cell r="B2954" t="str">
            <v>SB-YL005</v>
          </cell>
        </row>
        <row r="2955">
          <cell r="A2955" t="str">
            <v>Scarf-00004-Blueflower-OS</v>
          </cell>
          <cell r="B2955" t="str">
            <v>Scarf-00004</v>
          </cell>
        </row>
        <row r="2956">
          <cell r="A2956" t="str">
            <v>Scarf-00004-Bluetree-OS</v>
          </cell>
          <cell r="B2956" t="str">
            <v>Scarf-00004</v>
          </cell>
        </row>
        <row r="2957">
          <cell r="A2957" t="str">
            <v>Scarf-00004-Bohemian-OS</v>
          </cell>
          <cell r="B2957" t="str">
            <v>Scarf-00004</v>
          </cell>
        </row>
        <row r="2958">
          <cell r="A2958" t="str">
            <v>Scarf-00004-Redflower-OS</v>
          </cell>
          <cell r="B2958" t="str">
            <v>Scarf-00004</v>
          </cell>
        </row>
        <row r="2959">
          <cell r="A2959" t="str">
            <v>Scarf-00004-Wavyline-OS</v>
          </cell>
          <cell r="B2959" t="str">
            <v>Scarf-00004</v>
          </cell>
        </row>
        <row r="2960">
          <cell r="A2960" t="str">
            <v>scarf-0001-Blue</v>
          </cell>
          <cell r="B2960" t="str">
            <v>scarf-0001</v>
          </cell>
        </row>
        <row r="2961">
          <cell r="A2961" t="str">
            <v>scarf-0001-Green</v>
          </cell>
          <cell r="B2961" t="str">
            <v>scarf-0001</v>
          </cell>
        </row>
        <row r="2962">
          <cell r="A2962" t="str">
            <v>scarf-0001-Peony</v>
          </cell>
          <cell r="B2962" t="str">
            <v>scarf-0001</v>
          </cell>
        </row>
        <row r="2963">
          <cell r="A2963" t="str">
            <v>scarf-0001-Plum</v>
          </cell>
          <cell r="B2963" t="str">
            <v>scarf-0001</v>
          </cell>
        </row>
        <row r="2964">
          <cell r="A2964" t="str">
            <v>scarf-0002-Horse</v>
          </cell>
          <cell r="B2964" t="str">
            <v>scarf-0002</v>
          </cell>
        </row>
        <row r="2965">
          <cell r="A2965" t="str">
            <v>scarf-0002-Khaki</v>
          </cell>
          <cell r="B2965" t="str">
            <v>scarf-0002</v>
          </cell>
        </row>
        <row r="2966">
          <cell r="A2966" t="str">
            <v>scarf-0002-Orange</v>
          </cell>
          <cell r="B2966" t="str">
            <v>scarf-0002</v>
          </cell>
        </row>
        <row r="2967">
          <cell r="A2967" t="str">
            <v>scarf-0002-Red</v>
          </cell>
          <cell r="B2967" t="str">
            <v>scarf-0002</v>
          </cell>
        </row>
        <row r="2968">
          <cell r="A2968" t="str">
            <v>scarf-0003-Flowers</v>
          </cell>
          <cell r="B2968" t="str">
            <v>scarf-0003</v>
          </cell>
        </row>
        <row r="2969">
          <cell r="A2969" t="str">
            <v>scarf-0003-Hands</v>
          </cell>
          <cell r="B2969" t="str">
            <v>scarf-0003</v>
          </cell>
        </row>
        <row r="2970">
          <cell r="A2970" t="str">
            <v>scarf-0003-Palette</v>
          </cell>
          <cell r="B2970" t="str">
            <v>scarf-0003</v>
          </cell>
        </row>
        <row r="2971">
          <cell r="A2971" t="str">
            <v>scarf-0003-Pegasus</v>
          </cell>
          <cell r="B2971" t="str">
            <v>scarf-0003</v>
          </cell>
        </row>
        <row r="2972">
          <cell r="A2972" t="str">
            <v>scarf-001-blueheart</v>
          </cell>
          <cell r="B2972" t="str">
            <v>scarf-0001</v>
          </cell>
        </row>
        <row r="2973">
          <cell r="A2973" t="str">
            <v>Scarf-SJ005-BK-OS</v>
          </cell>
          <cell r="B2973" t="str">
            <v>Scarf-SJ005</v>
          </cell>
        </row>
        <row r="2974">
          <cell r="A2974" t="str">
            <v>Scarf-SJ005-G0-OS</v>
          </cell>
          <cell r="B2974" t="str">
            <v>Scarf-SJ005</v>
          </cell>
        </row>
        <row r="2975">
          <cell r="A2975" t="str">
            <v>Scarf-SJ005-OG-OS</v>
          </cell>
          <cell r="B2975" t="str">
            <v>Scarf-SJ005</v>
          </cell>
        </row>
        <row r="2976">
          <cell r="A2976" t="str">
            <v>Scarf-SJ005-R0-OS</v>
          </cell>
          <cell r="B2976" t="str">
            <v>Scarf-SJ005</v>
          </cell>
        </row>
        <row r="2977">
          <cell r="A2977" t="str">
            <v>SCF010-A01</v>
          </cell>
          <cell r="B2977" t="str">
            <v>SCF010</v>
          </cell>
        </row>
        <row r="2978">
          <cell r="A2978" t="str">
            <v>SCF010-A02</v>
          </cell>
          <cell r="B2978" t="str">
            <v>SCF010</v>
          </cell>
        </row>
        <row r="2979">
          <cell r="A2979" t="str">
            <v>SCF010-A03</v>
          </cell>
          <cell r="B2979" t="str">
            <v>SCF010</v>
          </cell>
        </row>
        <row r="2980">
          <cell r="A2980" t="str">
            <v>SCF010-A04</v>
          </cell>
          <cell r="B2980" t="str">
            <v>SCF010</v>
          </cell>
        </row>
        <row r="2981">
          <cell r="A2981" t="str">
            <v>SCF010-A05</v>
          </cell>
          <cell r="B2981" t="str">
            <v>SCF010</v>
          </cell>
        </row>
        <row r="2982">
          <cell r="A2982" t="str">
            <v>SCF010-A06</v>
          </cell>
          <cell r="B2982" t="str">
            <v>SCF010</v>
          </cell>
        </row>
        <row r="2983">
          <cell r="A2983" t="str">
            <v>SCF010-A07</v>
          </cell>
          <cell r="B2983" t="str">
            <v>SCF010</v>
          </cell>
        </row>
        <row r="2984">
          <cell r="A2984" t="str">
            <v>SCF010-A08</v>
          </cell>
          <cell r="B2984" t="str">
            <v>SCF010</v>
          </cell>
        </row>
        <row r="2985">
          <cell r="A2985" t="str">
            <v>SCF010-A09</v>
          </cell>
          <cell r="B2985" t="str">
            <v>SCF010</v>
          </cell>
        </row>
        <row r="2986">
          <cell r="A2986" t="str">
            <v>SCF-A01-001</v>
          </cell>
          <cell r="B2986" t="str">
            <v>SCF-A01</v>
          </cell>
        </row>
        <row r="2987">
          <cell r="A2987" t="str">
            <v>SCF-A01-002</v>
          </cell>
          <cell r="B2987" t="str">
            <v>SCF-A01</v>
          </cell>
        </row>
        <row r="2988">
          <cell r="A2988" t="str">
            <v>SCF-A01-003</v>
          </cell>
          <cell r="B2988" t="str">
            <v>SCF-A01</v>
          </cell>
        </row>
        <row r="2989">
          <cell r="A2989" t="str">
            <v>SCF-A01-004</v>
          </cell>
          <cell r="B2989" t="str">
            <v>SCF-A01</v>
          </cell>
        </row>
        <row r="2990">
          <cell r="A2990" t="str">
            <v>SCF-A01-005</v>
          </cell>
          <cell r="B2990" t="str">
            <v>SCF-A01</v>
          </cell>
        </row>
        <row r="2991">
          <cell r="A2991" t="str">
            <v>SCF-A01-006</v>
          </cell>
          <cell r="B2991" t="str">
            <v>SCF-A01</v>
          </cell>
        </row>
        <row r="2992">
          <cell r="A2992" t="str">
            <v>SCF-A01-007</v>
          </cell>
          <cell r="B2992" t="str">
            <v>SCF-A01</v>
          </cell>
        </row>
        <row r="2993">
          <cell r="A2993" t="str">
            <v>SCF-A01-008</v>
          </cell>
          <cell r="B2993" t="str">
            <v>SCF-A01</v>
          </cell>
        </row>
        <row r="2994">
          <cell r="A2994" t="str">
            <v>SCF-A01-009</v>
          </cell>
          <cell r="B2994" t="str">
            <v>SCF-A01</v>
          </cell>
        </row>
        <row r="2995">
          <cell r="A2995" t="str">
            <v>SCF-A01-010</v>
          </cell>
          <cell r="B2995" t="str">
            <v>SCF-A01</v>
          </cell>
        </row>
        <row r="2996">
          <cell r="A2996" t="str">
            <v>SCF-A01-011</v>
          </cell>
          <cell r="B2996" t="str">
            <v>SCF-A01</v>
          </cell>
        </row>
        <row r="2997">
          <cell r="A2997" t="str">
            <v>SCF-A01-012</v>
          </cell>
          <cell r="B2997" t="str">
            <v>SCF-A01</v>
          </cell>
        </row>
        <row r="2998">
          <cell r="A2998" t="str">
            <v>SCF-A01-013</v>
          </cell>
          <cell r="B2998" t="str">
            <v>SCF-A01</v>
          </cell>
        </row>
        <row r="2999">
          <cell r="A2999" t="str">
            <v>SCF-B01-001</v>
          </cell>
          <cell r="B2999" t="str">
            <v>SCF-B01</v>
          </cell>
        </row>
        <row r="3000">
          <cell r="A3000" t="str">
            <v>SCF-B01-002</v>
          </cell>
          <cell r="B3000" t="str">
            <v>SCF-B01</v>
          </cell>
        </row>
        <row r="3001">
          <cell r="A3001" t="str">
            <v>SCF-B01-003</v>
          </cell>
          <cell r="B3001" t="str">
            <v>SCF-B01</v>
          </cell>
        </row>
        <row r="3002">
          <cell r="A3002" t="str">
            <v>SCF-B01-004</v>
          </cell>
          <cell r="B3002" t="str">
            <v>SCF-B01</v>
          </cell>
        </row>
        <row r="3003">
          <cell r="A3003" t="str">
            <v>SCF-B01-005</v>
          </cell>
          <cell r="B3003" t="str">
            <v>SCF-B01</v>
          </cell>
        </row>
        <row r="3004">
          <cell r="A3004" t="str">
            <v>SCF-B01-006</v>
          </cell>
          <cell r="B3004" t="str">
            <v>SCF-B01</v>
          </cell>
        </row>
        <row r="3005">
          <cell r="A3005" t="str">
            <v>SCF-B01-007</v>
          </cell>
          <cell r="B3005" t="str">
            <v>SCF-B01</v>
          </cell>
        </row>
        <row r="3006">
          <cell r="A3006" t="str">
            <v>SCF-B01-008</v>
          </cell>
          <cell r="B3006" t="str">
            <v>SCF-B01</v>
          </cell>
        </row>
        <row r="3007">
          <cell r="A3007" t="str">
            <v>SCF-B01-009</v>
          </cell>
          <cell r="B3007" t="str">
            <v>SCF-B01</v>
          </cell>
        </row>
        <row r="3008">
          <cell r="A3008" t="str">
            <v>SCF-B01-010</v>
          </cell>
          <cell r="B3008" t="str">
            <v>SCF-B01</v>
          </cell>
        </row>
        <row r="3009">
          <cell r="A3009" t="str">
            <v>SCF-B01-011</v>
          </cell>
          <cell r="B3009" t="str">
            <v>SCF-B01</v>
          </cell>
        </row>
        <row r="3010">
          <cell r="A3010" t="str">
            <v>SCF-B01-012</v>
          </cell>
          <cell r="B3010" t="str">
            <v>SCF-B01</v>
          </cell>
        </row>
        <row r="3011">
          <cell r="A3011" t="str">
            <v>SCF-B01-013</v>
          </cell>
          <cell r="B3011" t="str">
            <v>SCF-B01</v>
          </cell>
        </row>
        <row r="3012">
          <cell r="A3012" t="str">
            <v>SCF-B01-014</v>
          </cell>
          <cell r="B3012" t="str">
            <v>SCF-B01</v>
          </cell>
        </row>
        <row r="3013">
          <cell r="A3013" t="str">
            <v>SCF-B01-015</v>
          </cell>
          <cell r="B3013" t="str">
            <v>SCF-B01</v>
          </cell>
        </row>
        <row r="3014">
          <cell r="A3014" t="str">
            <v>SCF-B01-016</v>
          </cell>
          <cell r="B3014" t="str">
            <v>SCF-B01</v>
          </cell>
        </row>
        <row r="3015">
          <cell r="A3015" t="str">
            <v>SCF-B01-017</v>
          </cell>
          <cell r="B3015" t="str">
            <v>SCF-B01</v>
          </cell>
        </row>
        <row r="3016">
          <cell r="A3016" t="str">
            <v>SCF-B01-018</v>
          </cell>
          <cell r="B3016" t="str">
            <v>SCF-B01</v>
          </cell>
        </row>
        <row r="3017">
          <cell r="A3017" t="str">
            <v>SCF-B01-019</v>
          </cell>
          <cell r="B3017" t="str">
            <v>SCF-B01</v>
          </cell>
        </row>
        <row r="3018">
          <cell r="A3018" t="str">
            <v>SCF-B01-020</v>
          </cell>
          <cell r="B3018" t="str">
            <v>SCF-B01</v>
          </cell>
        </row>
        <row r="3019">
          <cell r="A3019" t="str">
            <v>SCF-B01-021</v>
          </cell>
          <cell r="B3019" t="str">
            <v>SCF-B01</v>
          </cell>
        </row>
        <row r="3020">
          <cell r="A3020" t="str">
            <v>SCF-B01-022</v>
          </cell>
          <cell r="B3020" t="str">
            <v>SCF-B01</v>
          </cell>
        </row>
        <row r="3021">
          <cell r="A3021" t="str">
            <v>SCF-C01-001</v>
          </cell>
          <cell r="B3021" t="str">
            <v>SCF-C01</v>
          </cell>
        </row>
        <row r="3022">
          <cell r="A3022" t="str">
            <v>SCF-C01-002</v>
          </cell>
          <cell r="B3022" t="str">
            <v>SCF-C01</v>
          </cell>
        </row>
        <row r="3023">
          <cell r="A3023" t="str">
            <v>SCF-C01-003</v>
          </cell>
          <cell r="B3023" t="str">
            <v>SCF-C01</v>
          </cell>
        </row>
        <row r="3024">
          <cell r="A3024" t="str">
            <v>SCF-C01-004</v>
          </cell>
          <cell r="B3024" t="str">
            <v>SCF-C01</v>
          </cell>
        </row>
        <row r="3025">
          <cell r="A3025" t="str">
            <v>SCF-C01-005</v>
          </cell>
          <cell r="B3025" t="str">
            <v>SCF-C01</v>
          </cell>
        </row>
        <row r="3026">
          <cell r="A3026" t="str">
            <v>SCF-C01-006</v>
          </cell>
          <cell r="B3026" t="str">
            <v>SCF-C01</v>
          </cell>
        </row>
        <row r="3027">
          <cell r="A3027" t="str">
            <v>SCF-C01-007</v>
          </cell>
          <cell r="B3027" t="str">
            <v>SCF-C01</v>
          </cell>
        </row>
        <row r="3028">
          <cell r="A3028" t="str">
            <v>SCF-C01-008</v>
          </cell>
          <cell r="B3028" t="str">
            <v>SCF-C01</v>
          </cell>
        </row>
        <row r="3029">
          <cell r="A3029" t="str">
            <v>SCF-C01-009</v>
          </cell>
          <cell r="B3029" t="str">
            <v>SCF-C01</v>
          </cell>
        </row>
        <row r="3030">
          <cell r="A3030" t="str">
            <v>SCF-C01-010</v>
          </cell>
          <cell r="B3030" t="str">
            <v>SCF-C01</v>
          </cell>
        </row>
        <row r="3031">
          <cell r="A3031" t="str">
            <v>SCF-C01-011</v>
          </cell>
          <cell r="B3031" t="str">
            <v>SCF-C01</v>
          </cell>
        </row>
        <row r="3032">
          <cell r="A3032" t="str">
            <v>SCF-C01-012</v>
          </cell>
          <cell r="B3032" t="str">
            <v>SCF-C01</v>
          </cell>
        </row>
        <row r="3033">
          <cell r="A3033" t="str">
            <v>SCF-C01-013</v>
          </cell>
          <cell r="B3033" t="str">
            <v>SCF-C01</v>
          </cell>
        </row>
        <row r="3034">
          <cell r="A3034" t="str">
            <v>SCF-C01-014</v>
          </cell>
          <cell r="B3034" t="str">
            <v>SCF-C01</v>
          </cell>
        </row>
        <row r="3035">
          <cell r="A3035" t="str">
            <v>SCF-C01-015</v>
          </cell>
          <cell r="B3035" t="str">
            <v>SCF-C01</v>
          </cell>
        </row>
        <row r="3036">
          <cell r="A3036" t="str">
            <v>SCF-C01-016</v>
          </cell>
          <cell r="B3036" t="str">
            <v>SCF-C01</v>
          </cell>
        </row>
        <row r="3037">
          <cell r="A3037" t="str">
            <v>SCF-C01-017</v>
          </cell>
          <cell r="B3037" t="str">
            <v>SCF-C01</v>
          </cell>
        </row>
        <row r="3038">
          <cell r="A3038" t="str">
            <v>SCF-C01-018</v>
          </cell>
          <cell r="B3038" t="str">
            <v>SCF-C01</v>
          </cell>
        </row>
        <row r="3039">
          <cell r="A3039" t="str">
            <v>SCF-C01-019</v>
          </cell>
          <cell r="B3039" t="str">
            <v>SCF-C01</v>
          </cell>
        </row>
        <row r="3040">
          <cell r="A3040" t="str">
            <v>SCF-C01-020</v>
          </cell>
          <cell r="B3040" t="str">
            <v>SCF-C01</v>
          </cell>
        </row>
        <row r="3041">
          <cell r="A3041" t="str">
            <v>SCF-D01-001</v>
          </cell>
          <cell r="B3041" t="str">
            <v>SCF-D01</v>
          </cell>
        </row>
        <row r="3042">
          <cell r="A3042" t="str">
            <v>SCF-D01-002</v>
          </cell>
          <cell r="B3042" t="str">
            <v>SCF-D01</v>
          </cell>
        </row>
        <row r="3043">
          <cell r="A3043" t="str">
            <v>SCF-D01-003</v>
          </cell>
          <cell r="B3043" t="str">
            <v>SCF-D01</v>
          </cell>
        </row>
        <row r="3044">
          <cell r="A3044" t="str">
            <v>SCF-D01-004</v>
          </cell>
          <cell r="B3044" t="str">
            <v>SCF-D01</v>
          </cell>
        </row>
        <row r="3045">
          <cell r="A3045" t="str">
            <v>SCF-D01-005</v>
          </cell>
          <cell r="B3045" t="str">
            <v>SCF-D01</v>
          </cell>
        </row>
        <row r="3046">
          <cell r="A3046" t="str">
            <v>SCF-D01-006</v>
          </cell>
          <cell r="B3046" t="str">
            <v>SCF-D01</v>
          </cell>
        </row>
        <row r="3047">
          <cell r="A3047" t="str">
            <v>SCF-D01-007</v>
          </cell>
          <cell r="B3047" t="str">
            <v>SCF-D01</v>
          </cell>
        </row>
        <row r="3048">
          <cell r="A3048" t="str">
            <v>SCF-D01-008</v>
          </cell>
          <cell r="B3048" t="str">
            <v>SCF-D01</v>
          </cell>
        </row>
        <row r="3049">
          <cell r="A3049" t="str">
            <v>SCF-D01-009</v>
          </cell>
          <cell r="B3049" t="str">
            <v>SCF-D01</v>
          </cell>
        </row>
        <row r="3050">
          <cell r="A3050" t="str">
            <v>SCF-D01-010</v>
          </cell>
          <cell r="B3050" t="str">
            <v>SCF-D01</v>
          </cell>
        </row>
        <row r="3051">
          <cell r="A3051" t="str">
            <v>SCF-D01-011</v>
          </cell>
          <cell r="B3051" t="str">
            <v>SCF-D01</v>
          </cell>
        </row>
        <row r="3052">
          <cell r="A3052" t="str">
            <v>SCF-D01-012</v>
          </cell>
          <cell r="B3052" t="str">
            <v>SCF-D01</v>
          </cell>
        </row>
        <row r="3053">
          <cell r="A3053" t="str">
            <v>SCF-D01-013</v>
          </cell>
          <cell r="B3053" t="str">
            <v>SCF-D01</v>
          </cell>
        </row>
        <row r="3054">
          <cell r="A3054" t="str">
            <v>SCF-D01-014</v>
          </cell>
          <cell r="B3054" t="str">
            <v>SCF-D01</v>
          </cell>
        </row>
        <row r="3055">
          <cell r="A3055" t="str">
            <v>SCF-D01-015</v>
          </cell>
          <cell r="B3055" t="str">
            <v>SCF-D01</v>
          </cell>
        </row>
        <row r="3056">
          <cell r="A3056" t="str">
            <v>SCF-D01-016</v>
          </cell>
          <cell r="B3056" t="str">
            <v>SCF-D01</v>
          </cell>
        </row>
        <row r="3057">
          <cell r="A3057" t="str">
            <v>SCF-D01-017</v>
          </cell>
          <cell r="B3057" t="str">
            <v>SCF-D01</v>
          </cell>
        </row>
        <row r="3058">
          <cell r="A3058" t="str">
            <v>SCF-D01-018</v>
          </cell>
          <cell r="B3058" t="str">
            <v>SCF-D01</v>
          </cell>
        </row>
        <row r="3059">
          <cell r="A3059" t="str">
            <v>SCF-F02-NC</v>
          </cell>
          <cell r="B3059" t="str">
            <v>SCF-F02</v>
          </cell>
        </row>
        <row r="3060">
          <cell r="A3060" t="str">
            <v>SCF-SJ001-B0-OS</v>
          </cell>
          <cell r="B3060" t="str">
            <v>SCF-SJ001</v>
          </cell>
        </row>
        <row r="3061">
          <cell r="A3061" t="str">
            <v>SCF-SJ001-PF-OS</v>
          </cell>
          <cell r="B3061" t="str">
            <v>SCF-SJ001</v>
          </cell>
        </row>
        <row r="3062">
          <cell r="A3062" t="str">
            <v>SCF-SJ001-PY-OS</v>
          </cell>
          <cell r="B3062" t="str">
            <v>SCF-SJ001</v>
          </cell>
        </row>
        <row r="3063">
          <cell r="A3063" t="str">
            <v>SCF-SJ002-Horse-OS</v>
          </cell>
          <cell r="B3063" t="str">
            <v>SCF-SJ002</v>
          </cell>
        </row>
        <row r="3064">
          <cell r="A3064" t="str">
            <v>SCF-SJ002-KH-OS</v>
          </cell>
          <cell r="B3064" t="str">
            <v>SCF-SJ002</v>
          </cell>
        </row>
        <row r="3065">
          <cell r="A3065" t="str">
            <v>SCF-SJ002-OG-OS</v>
          </cell>
          <cell r="B3065" t="str">
            <v>SCF-SJ002</v>
          </cell>
        </row>
        <row r="3066">
          <cell r="A3066" t="str">
            <v>SCF-SJ002-R0-OS</v>
          </cell>
          <cell r="B3066" t="str">
            <v>SCF-SJ002</v>
          </cell>
        </row>
        <row r="3067">
          <cell r="A3067" t="str">
            <v>SCF-SJ003-Flowers-OS</v>
          </cell>
          <cell r="B3067" t="str">
            <v>SCF-SJ003</v>
          </cell>
        </row>
        <row r="3068">
          <cell r="A3068" t="str">
            <v>SCF-SJ003-Hands-OS</v>
          </cell>
          <cell r="B3068" t="str">
            <v>SCF-SJ003</v>
          </cell>
        </row>
        <row r="3069">
          <cell r="A3069" t="str">
            <v>SCF-SJ003-Pegasus-OS</v>
          </cell>
          <cell r="B3069" t="str">
            <v>SCF-SJ003</v>
          </cell>
        </row>
        <row r="3070">
          <cell r="A3070" t="str">
            <v>SCF-SJ006-Blackround-OS</v>
          </cell>
          <cell r="B3070" t="str">
            <v>SCF-SJ006</v>
          </cell>
        </row>
        <row r="3071">
          <cell r="A3071" t="str">
            <v>SCF-SJ006-Navystar-OS</v>
          </cell>
          <cell r="B3071" t="str">
            <v>SCF-SJ006</v>
          </cell>
        </row>
        <row r="3072">
          <cell r="A3072" t="str">
            <v>SCF-SJ006-Puzzle-OS</v>
          </cell>
          <cell r="B3072" t="str">
            <v>SCF-SJ006</v>
          </cell>
        </row>
        <row r="3073">
          <cell r="A3073" t="str">
            <v>SCF-SJ008-BK-OS</v>
          </cell>
          <cell r="B3073" t="str">
            <v>SCF-SJ008</v>
          </cell>
        </row>
        <row r="3074">
          <cell r="A3074" t="str">
            <v>SCF-SJ008-DB-OS</v>
          </cell>
          <cell r="B3074" t="str">
            <v>SCF-SJ008</v>
          </cell>
        </row>
        <row r="3075">
          <cell r="A3075" t="str">
            <v>SCF-SJ008-GR-OS</v>
          </cell>
          <cell r="B3075" t="str">
            <v>SCF-SJ008</v>
          </cell>
        </row>
        <row r="3076">
          <cell r="A3076" t="str">
            <v>SCF-SJ008-KH-OS</v>
          </cell>
          <cell r="B3076" t="str">
            <v>SCF-SJ008</v>
          </cell>
        </row>
        <row r="3077">
          <cell r="A3077" t="str">
            <v>SHIRT-SB001-BK-2XL</v>
          </cell>
          <cell r="B3077" t="str">
            <v>SHIRT-SB001</v>
          </cell>
        </row>
        <row r="3078">
          <cell r="A3078" t="str">
            <v>SHIRT-SB001-BK-L</v>
          </cell>
          <cell r="B3078" t="str">
            <v>SHIRT-SB001</v>
          </cell>
        </row>
        <row r="3079">
          <cell r="A3079" t="str">
            <v>SHIRT-SB001-BK-M</v>
          </cell>
          <cell r="B3079" t="str">
            <v>SHIRT-SB001</v>
          </cell>
        </row>
        <row r="3080">
          <cell r="A3080" t="str">
            <v>SHIRT-SB001-BK-S</v>
          </cell>
          <cell r="B3080" t="str">
            <v>SHIRT-SB001</v>
          </cell>
        </row>
        <row r="3081">
          <cell r="A3081" t="str">
            <v>SHIRT-SB001-BK-XL</v>
          </cell>
          <cell r="B3081" t="str">
            <v>SHIRT-SB001</v>
          </cell>
        </row>
        <row r="3082">
          <cell r="A3082" t="str">
            <v>SHIRT-SB001-BL-2XL</v>
          </cell>
          <cell r="B3082" t="str">
            <v>SHIRT-SB001</v>
          </cell>
        </row>
        <row r="3083">
          <cell r="A3083" t="str">
            <v>SHIRT-SB001-BL-L</v>
          </cell>
          <cell r="B3083" t="str">
            <v>SHIRT-SB001</v>
          </cell>
        </row>
        <row r="3084">
          <cell r="A3084" t="str">
            <v>SHIRT-SB001-BL-M</v>
          </cell>
          <cell r="B3084" t="str">
            <v>SHIRT-SB001</v>
          </cell>
        </row>
        <row r="3085">
          <cell r="A3085" t="str">
            <v>SHIRT-SB001-BL-S</v>
          </cell>
          <cell r="B3085" t="str">
            <v>SHIRT-SB001</v>
          </cell>
        </row>
        <row r="3086">
          <cell r="A3086" t="str">
            <v>SHIRT-SB001-BL-XL</v>
          </cell>
          <cell r="B3086" t="str">
            <v>SHIRT-SB001</v>
          </cell>
        </row>
        <row r="3087">
          <cell r="A3087" t="str">
            <v>SHIRT-SB001-GR-2XL</v>
          </cell>
          <cell r="B3087" t="str">
            <v>SHIRT-SB001</v>
          </cell>
        </row>
        <row r="3088">
          <cell r="A3088" t="str">
            <v>SHIRT-SB001-GR-L</v>
          </cell>
          <cell r="B3088" t="str">
            <v>SHIRT-SB001</v>
          </cell>
        </row>
        <row r="3089">
          <cell r="A3089" t="str">
            <v>SHIRT-SB001-GR-M</v>
          </cell>
          <cell r="B3089" t="str">
            <v>SHIRT-SB001</v>
          </cell>
        </row>
        <row r="3090">
          <cell r="A3090" t="str">
            <v>SHIRT-SB001-GR-S</v>
          </cell>
          <cell r="B3090" t="str">
            <v>SHIRT-SB001</v>
          </cell>
        </row>
        <row r="3091">
          <cell r="A3091" t="str">
            <v>SHIRT-SB001-GR-XL</v>
          </cell>
          <cell r="B3091" t="str">
            <v>SHIRT-SB001</v>
          </cell>
        </row>
        <row r="3092">
          <cell r="A3092" t="str">
            <v>SHIRT-SB001-PP-2XL</v>
          </cell>
          <cell r="B3092" t="str">
            <v>SHIRT-SB001</v>
          </cell>
        </row>
        <row r="3093">
          <cell r="A3093" t="str">
            <v>SHIRT-SB001-PP-L</v>
          </cell>
          <cell r="B3093" t="str">
            <v>SHIRT-SB001</v>
          </cell>
        </row>
        <row r="3094">
          <cell r="A3094" t="str">
            <v>SHIRT-SB001-PP-M</v>
          </cell>
          <cell r="B3094" t="str">
            <v>SHIRT-SB001</v>
          </cell>
        </row>
        <row r="3095">
          <cell r="A3095" t="str">
            <v>SHIRT-SB001-PP-S</v>
          </cell>
          <cell r="B3095" t="str">
            <v>SHIRT-SB001</v>
          </cell>
        </row>
        <row r="3096">
          <cell r="A3096" t="str">
            <v>SHIRT-SB001-PP-XL</v>
          </cell>
          <cell r="B3096" t="str">
            <v>SHIRT-SB001</v>
          </cell>
        </row>
        <row r="3097">
          <cell r="A3097" t="str">
            <v>SHIRT-SB002-BK-2XL</v>
          </cell>
          <cell r="B3097" t="str">
            <v>SHIRTS-SB002</v>
          </cell>
        </row>
        <row r="3098">
          <cell r="A3098" t="str">
            <v>SHIRT-SB002-BK-L</v>
          </cell>
          <cell r="B3098" t="str">
            <v>SHIRTS-SB002</v>
          </cell>
        </row>
        <row r="3099">
          <cell r="A3099" t="str">
            <v>SHIRT-SB002-BK-M</v>
          </cell>
          <cell r="B3099" t="str">
            <v>SHIRTS-SB002</v>
          </cell>
        </row>
        <row r="3100">
          <cell r="A3100" t="str">
            <v>SHIRT-SB002-BK-S</v>
          </cell>
          <cell r="B3100" t="str">
            <v>SHIRTS-SB002</v>
          </cell>
        </row>
        <row r="3101">
          <cell r="A3101" t="str">
            <v>SHIRT-SB002-BK-XL</v>
          </cell>
          <cell r="B3101" t="str">
            <v>SHIRTS-SB002</v>
          </cell>
        </row>
        <row r="3102">
          <cell r="A3102" t="str">
            <v>SHIRT-SB002-BLNGN-2XL</v>
          </cell>
          <cell r="B3102" t="str">
            <v>SHIRTS-SB002</v>
          </cell>
        </row>
        <row r="3103">
          <cell r="A3103" t="str">
            <v>SHIRT-SB002-BLNGN-L</v>
          </cell>
          <cell r="B3103" t="str">
            <v>SHIRTS-SB002</v>
          </cell>
        </row>
        <row r="3104">
          <cell r="A3104" t="str">
            <v>SHIRT-SB002-BLNGN-M</v>
          </cell>
          <cell r="B3104" t="str">
            <v>SHIRTS-SB002</v>
          </cell>
        </row>
        <row r="3105">
          <cell r="A3105" t="str">
            <v>SHIRT-SB002-BLNGN-S</v>
          </cell>
          <cell r="B3105" t="str">
            <v>SHIRTS-SB002</v>
          </cell>
        </row>
        <row r="3106">
          <cell r="A3106" t="str">
            <v>SHIRT-SB002-BLNGN-XL</v>
          </cell>
          <cell r="B3106" t="str">
            <v>SHIRTS-SB002</v>
          </cell>
        </row>
        <row r="3107">
          <cell r="A3107" t="str">
            <v>SHIRT-SB002-CF-2XL</v>
          </cell>
          <cell r="B3107" t="str">
            <v>SHIRTS-SB002</v>
          </cell>
        </row>
        <row r="3108">
          <cell r="A3108" t="str">
            <v>SHIRT-SB002-CF-L</v>
          </cell>
          <cell r="B3108" t="str">
            <v>SHIRTS-SB002</v>
          </cell>
        </row>
        <row r="3109">
          <cell r="A3109" t="str">
            <v>SHIRT-SB002-CF-M</v>
          </cell>
          <cell r="B3109" t="str">
            <v>SHIRTS-SB002</v>
          </cell>
        </row>
        <row r="3110">
          <cell r="A3110" t="str">
            <v>SHIRT-SB002-CF-S</v>
          </cell>
          <cell r="B3110" t="str">
            <v>SHIRTS-SB002</v>
          </cell>
        </row>
        <row r="3111">
          <cell r="A3111" t="str">
            <v>SHIRT-SB002-CF-XL</v>
          </cell>
          <cell r="B3111" t="str">
            <v>SHIRTS-SB002</v>
          </cell>
        </row>
        <row r="3112">
          <cell r="A3112" t="str">
            <v>SHIRT-SB002-LB-2XL</v>
          </cell>
          <cell r="B3112" t="str">
            <v>SHIRTS-SB002</v>
          </cell>
        </row>
        <row r="3113">
          <cell r="A3113" t="str">
            <v>SHIRT-SB002-LB-L</v>
          </cell>
          <cell r="B3113" t="str">
            <v>SHIRTS-SB002</v>
          </cell>
        </row>
        <row r="3114">
          <cell r="A3114" t="str">
            <v>SHIRT-SB002-LB-M</v>
          </cell>
          <cell r="B3114" t="str">
            <v>SHIRTS-SB002</v>
          </cell>
        </row>
        <row r="3115">
          <cell r="A3115" t="str">
            <v>SHIRT-SB002-LB-S</v>
          </cell>
          <cell r="B3115" t="str">
            <v>SHIRTS-SB002</v>
          </cell>
        </row>
        <row r="3116">
          <cell r="A3116" t="str">
            <v>SHIRT-SB002-LB-XL</v>
          </cell>
          <cell r="B3116" t="str">
            <v>SHIRTS-SB002</v>
          </cell>
        </row>
        <row r="3117">
          <cell r="A3117" t="str">
            <v>SHIRT-SB002-RD-2XL</v>
          </cell>
          <cell r="B3117" t="str">
            <v>SHIRTS-SB002</v>
          </cell>
        </row>
        <row r="3118">
          <cell r="A3118" t="str">
            <v>SHIRT-SB002-RD-L</v>
          </cell>
          <cell r="B3118" t="str">
            <v>SHIRTS-SB002</v>
          </cell>
        </row>
        <row r="3119">
          <cell r="A3119" t="str">
            <v>SHIRT-SB002-RD-M</v>
          </cell>
          <cell r="B3119" t="str">
            <v>SHIRTS-SB002</v>
          </cell>
        </row>
        <row r="3120">
          <cell r="A3120" t="str">
            <v>SHIRT-SB002-RD-S</v>
          </cell>
          <cell r="B3120" t="str">
            <v>SHIRTS-SB002</v>
          </cell>
        </row>
        <row r="3121">
          <cell r="A3121" t="str">
            <v>SHIRT-SB002-RD-XL</v>
          </cell>
          <cell r="B3121" t="str">
            <v>SHIRTS-SB002</v>
          </cell>
        </row>
        <row r="3122">
          <cell r="A3122" t="str">
            <v>SHIRT-SB002-RNBL-2XL</v>
          </cell>
          <cell r="B3122" t="str">
            <v>SHIRTS-SB002</v>
          </cell>
        </row>
        <row r="3123">
          <cell r="A3123" t="str">
            <v>SHIRT-SB002-RNBL-L</v>
          </cell>
          <cell r="B3123" t="str">
            <v>SHIRTS-SB002</v>
          </cell>
        </row>
        <row r="3124">
          <cell r="A3124" t="str">
            <v>SHIRT-SB002-RNBL-M</v>
          </cell>
          <cell r="B3124" t="str">
            <v>SHIRTS-SB002</v>
          </cell>
        </row>
        <row r="3125">
          <cell r="A3125" t="str">
            <v>SHIRT-SB002-RNBL-S</v>
          </cell>
          <cell r="B3125" t="str">
            <v>SHIRTS-SB002</v>
          </cell>
        </row>
        <row r="3126">
          <cell r="A3126" t="str">
            <v>SHIRT-SB002-RNBL-XL</v>
          </cell>
          <cell r="B3126" t="str">
            <v>SHIRTS-SB002</v>
          </cell>
        </row>
        <row r="3127">
          <cell r="A3127" t="str">
            <v>SHIRTS-SB002-BL-L</v>
          </cell>
          <cell r="B3127" t="str">
            <v>SHIRTS-SB002</v>
          </cell>
        </row>
        <row r="3128">
          <cell r="A3128" t="str">
            <v>SHIRTS-SB002-BL-M</v>
          </cell>
          <cell r="B3128" t="str">
            <v>SHIRTS-SB002</v>
          </cell>
        </row>
        <row r="3129">
          <cell r="A3129" t="str">
            <v>SHIRTS-SB002-BL-S</v>
          </cell>
          <cell r="B3129" t="str">
            <v>SHIRTS-SB002</v>
          </cell>
        </row>
        <row r="3130">
          <cell r="A3130" t="str">
            <v>SHIRTS-SB002-BL-XL</v>
          </cell>
          <cell r="B3130" t="str">
            <v>SHIRTS-SB002</v>
          </cell>
        </row>
        <row r="3131">
          <cell r="A3131" t="str">
            <v>SHIRTS-SB002-BL-XXL</v>
          </cell>
          <cell r="B3131" t="str">
            <v>SHIRTS-SB002</v>
          </cell>
        </row>
        <row r="3132">
          <cell r="A3132" t="str">
            <v>SHJ-ZQ0066-AF</v>
          </cell>
          <cell r="B3132" t="str">
            <v>SHJ-ZQ0066</v>
          </cell>
        </row>
        <row r="3133">
          <cell r="A3133" t="str">
            <v>SHJ-ZQLS01-B0-2XL</v>
          </cell>
          <cell r="B3133" t="str">
            <v>SHJ-ZQLS01</v>
          </cell>
        </row>
        <row r="3134">
          <cell r="A3134" t="str">
            <v>SHJ-ZQLS01-B0-3XL</v>
          </cell>
          <cell r="B3134" t="str">
            <v>SHJ-ZQLS01</v>
          </cell>
        </row>
        <row r="3135">
          <cell r="A3135" t="str">
            <v>SHJ-ZQLS01-B0-4XL</v>
          </cell>
          <cell r="B3135" t="str">
            <v>SHJ-ZQLS01</v>
          </cell>
        </row>
        <row r="3136">
          <cell r="A3136" t="str">
            <v>SHJ-ZQLS01-B0-XL</v>
          </cell>
          <cell r="B3136" t="str">
            <v>SHJ-ZQLS01</v>
          </cell>
        </row>
        <row r="3137">
          <cell r="A3137" t="str">
            <v>SHJ-ZQLS12-K0-2XL</v>
          </cell>
          <cell r="B3137" t="str">
            <v>SHJ-ZQLS12</v>
          </cell>
        </row>
        <row r="3138">
          <cell r="A3138" t="str">
            <v>SHJ-ZQLS12-K0-3XL</v>
          </cell>
          <cell r="B3138" t="str">
            <v>SHJ-ZQLS12</v>
          </cell>
        </row>
        <row r="3139">
          <cell r="A3139" t="str">
            <v>SHJ-ZQLS12-K0-4XL</v>
          </cell>
          <cell r="B3139" t="str">
            <v>SHJ-ZQLS12</v>
          </cell>
        </row>
        <row r="3140">
          <cell r="A3140" t="str">
            <v>SHJ-ZQLS12-K0-5XL</v>
          </cell>
          <cell r="B3140" t="str">
            <v>SHJ-ZQLS12</v>
          </cell>
        </row>
        <row r="3141">
          <cell r="A3141" t="str">
            <v>SHJ-ZQLS12-K0-L</v>
          </cell>
          <cell r="B3141" t="str">
            <v>SHJ-ZQLS12</v>
          </cell>
        </row>
        <row r="3142">
          <cell r="A3142" t="str">
            <v>SHJ-ZQLS12-K0-XL</v>
          </cell>
          <cell r="B3142" t="str">
            <v>SHJ-ZQLS12</v>
          </cell>
        </row>
        <row r="3143">
          <cell r="A3143" t="str">
            <v>SJ-CA205-G0</v>
          </cell>
          <cell r="B3143" t="str">
            <v>SJ-CA205</v>
          </cell>
        </row>
        <row r="3144">
          <cell r="A3144" t="str">
            <v>SJ-GM002W0</v>
          </cell>
          <cell r="B3144" t="str">
            <v>SJ-GM002</v>
          </cell>
        </row>
        <row r="3145">
          <cell r="A3145" t="str">
            <v>SJ-HM071</v>
          </cell>
          <cell r="B3145" t="str">
            <v>SJ-HM071</v>
          </cell>
        </row>
        <row r="3146">
          <cell r="A3146" t="str">
            <v>SJ-HM071-K0G</v>
          </cell>
          <cell r="B3146" t="str">
            <v>SJ-HM071</v>
          </cell>
        </row>
        <row r="3147">
          <cell r="A3147" t="str">
            <v>SJ-HM071-K0R2</v>
          </cell>
          <cell r="B3147" t="str">
            <v>SJ-HM071</v>
          </cell>
        </row>
        <row r="3148">
          <cell r="A3148" t="str">
            <v>SJ-HM071-R2</v>
          </cell>
          <cell r="B3148" t="str">
            <v>SJ-HM071</v>
          </cell>
        </row>
        <row r="3149">
          <cell r="A3149" t="str">
            <v>SJ-HM071-R2W0</v>
          </cell>
          <cell r="B3149" t="str">
            <v>SJ-HM071</v>
          </cell>
        </row>
        <row r="3150">
          <cell r="A3150" t="str">
            <v>SJ-HM071-W0G</v>
          </cell>
          <cell r="B3150" t="str">
            <v>SJ-HM071</v>
          </cell>
        </row>
        <row r="3151">
          <cell r="A3151" t="str">
            <v>SJ-HM071-W0R2</v>
          </cell>
          <cell r="B3151" t="str">
            <v>SJ-HM071</v>
          </cell>
        </row>
        <row r="3152">
          <cell r="A3152" t="str">
            <v>SJ-HM1995-K0</v>
          </cell>
          <cell r="B3152" t="str">
            <v>SJ-HM1995-K0</v>
          </cell>
        </row>
        <row r="3153">
          <cell r="A3153" t="str">
            <v>SJ-HM2017</v>
          </cell>
          <cell r="B3153" t="str">
            <v>SJ-HM2017</v>
          </cell>
        </row>
        <row r="3154">
          <cell r="A3154" t="str">
            <v>SJ-HM2017-B0-L</v>
          </cell>
          <cell r="B3154" t="str">
            <v>SJ-HM2017</v>
          </cell>
        </row>
        <row r="3155">
          <cell r="A3155" t="str">
            <v>SJ-HM2017-B0-M</v>
          </cell>
          <cell r="B3155" t="str">
            <v>SJ-HM2017</v>
          </cell>
        </row>
        <row r="3156">
          <cell r="A3156" t="str">
            <v>SJ-HM2017-B0-S</v>
          </cell>
          <cell r="B3156" t="str">
            <v>SJ-HM2017</v>
          </cell>
        </row>
        <row r="3157">
          <cell r="A3157" t="str">
            <v>SJ-HM2017-B0-XL</v>
          </cell>
          <cell r="B3157" t="str">
            <v>SJ-HM2017</v>
          </cell>
        </row>
        <row r="3158">
          <cell r="A3158" t="str">
            <v>SJ-HM2017-B0-XXL</v>
          </cell>
          <cell r="B3158" t="str">
            <v>SJ-HM2017</v>
          </cell>
        </row>
        <row r="3159">
          <cell r="A3159" t="str">
            <v>SJ-HM2017-G0-L</v>
          </cell>
          <cell r="B3159" t="str">
            <v>SJ-HM2017</v>
          </cell>
        </row>
        <row r="3160">
          <cell r="A3160" t="str">
            <v>SJ-HM2017-G0-M</v>
          </cell>
          <cell r="B3160" t="str">
            <v>SJ-HM2017</v>
          </cell>
        </row>
        <row r="3161">
          <cell r="A3161" t="str">
            <v>SJ-HM2017-G0-S</v>
          </cell>
          <cell r="B3161" t="str">
            <v>SJ-HM2017</v>
          </cell>
        </row>
        <row r="3162">
          <cell r="A3162" t="str">
            <v>SJ-HM2017-G0-XL</v>
          </cell>
          <cell r="B3162" t="str">
            <v>SJ-HM2017</v>
          </cell>
        </row>
        <row r="3163">
          <cell r="A3163" t="str">
            <v>SJ-HM2017-G0-XXL</v>
          </cell>
          <cell r="B3163" t="str">
            <v>SJ-HM2017</v>
          </cell>
        </row>
        <row r="3164">
          <cell r="A3164" t="str">
            <v>SJ-HM2017-K0-L</v>
          </cell>
          <cell r="B3164" t="str">
            <v>SJ-HM2017</v>
          </cell>
        </row>
        <row r="3165">
          <cell r="A3165" t="str">
            <v>SJ-HM2017-K0-M</v>
          </cell>
          <cell r="B3165" t="str">
            <v>SJ-HM2017</v>
          </cell>
        </row>
        <row r="3166">
          <cell r="A3166" t="str">
            <v>SJ-HM2017-K0R-L</v>
          </cell>
          <cell r="B3166" t="str">
            <v>SJ-HM2017</v>
          </cell>
        </row>
        <row r="3167">
          <cell r="A3167" t="str">
            <v>SJ-HM2017-K0R-M</v>
          </cell>
          <cell r="B3167" t="str">
            <v>SJ-HM2017</v>
          </cell>
        </row>
        <row r="3168">
          <cell r="A3168" t="str">
            <v>SJ-HM2017-K0R-S</v>
          </cell>
          <cell r="B3168" t="str">
            <v>SJ-HM2017</v>
          </cell>
        </row>
        <row r="3169">
          <cell r="A3169" t="str">
            <v>SJ-HM2017-K0R-XL</v>
          </cell>
          <cell r="B3169" t="str">
            <v>SJ-HM2017</v>
          </cell>
        </row>
        <row r="3170">
          <cell r="A3170" t="str">
            <v>SJ-HM2017-K0R-XXL</v>
          </cell>
          <cell r="B3170" t="str">
            <v>SJ-HM2017</v>
          </cell>
        </row>
        <row r="3171">
          <cell r="A3171" t="str">
            <v>SJ-HM2017-K0-S</v>
          </cell>
          <cell r="B3171" t="str">
            <v>SJ-HM2017</v>
          </cell>
        </row>
        <row r="3172">
          <cell r="A3172" t="str">
            <v>SJ-HM2017-K0-XL</v>
          </cell>
          <cell r="B3172" t="str">
            <v>SJ-HM2017</v>
          </cell>
        </row>
        <row r="3173">
          <cell r="A3173" t="str">
            <v>SJ-HM2017-K0-XXL</v>
          </cell>
          <cell r="B3173" t="str">
            <v>SJ-HM2017</v>
          </cell>
        </row>
        <row r="3174">
          <cell r="A3174" t="str">
            <v>SJ-HM2017-KH-L</v>
          </cell>
          <cell r="B3174" t="str">
            <v>SJ-HM2017</v>
          </cell>
        </row>
        <row r="3175">
          <cell r="A3175" t="str">
            <v>SJ-HM2017-KH-M</v>
          </cell>
          <cell r="B3175" t="str">
            <v>SJ-HM2017</v>
          </cell>
        </row>
        <row r="3176">
          <cell r="A3176" t="str">
            <v>SJ-HM2017-KH-S</v>
          </cell>
          <cell r="B3176" t="str">
            <v>SJ-HM2017</v>
          </cell>
        </row>
        <row r="3177">
          <cell r="A3177" t="str">
            <v>SJ-HM2017-KH-XL</v>
          </cell>
          <cell r="B3177" t="str">
            <v>SJ-HM2017</v>
          </cell>
        </row>
        <row r="3178">
          <cell r="A3178" t="str">
            <v>SJ-HM2017-KH-XXL</v>
          </cell>
          <cell r="B3178" t="str">
            <v>SJ-HM2017</v>
          </cell>
        </row>
        <row r="3179">
          <cell r="A3179" t="str">
            <v>SJ-HM2017-PI-L</v>
          </cell>
          <cell r="B3179" t="str">
            <v>SJ-HM2017</v>
          </cell>
        </row>
        <row r="3180">
          <cell r="A3180" t="str">
            <v>SJ-HM2017-PI-M</v>
          </cell>
          <cell r="B3180" t="str">
            <v>SJ-HM2017</v>
          </cell>
        </row>
        <row r="3181">
          <cell r="A3181" t="str">
            <v>SJ-HM2017-PI-S</v>
          </cell>
          <cell r="B3181" t="str">
            <v>SJ-HM2017</v>
          </cell>
        </row>
        <row r="3182">
          <cell r="A3182" t="str">
            <v>SJ-HM2017-PI-XL</v>
          </cell>
          <cell r="B3182" t="str">
            <v>SJ-HM2017</v>
          </cell>
        </row>
        <row r="3183">
          <cell r="A3183" t="str">
            <v>SJ-HM2017-PI-XXL</v>
          </cell>
          <cell r="B3183" t="str">
            <v>SJ-HM2017</v>
          </cell>
        </row>
        <row r="3184">
          <cell r="A3184" t="str">
            <v>SJ-HM2017-W0-L</v>
          </cell>
          <cell r="B3184" t="str">
            <v>SJ-HM2017</v>
          </cell>
        </row>
        <row r="3185">
          <cell r="A3185" t="str">
            <v>SJ-HM2017-W0-M</v>
          </cell>
          <cell r="B3185" t="str">
            <v>SJ-HM2017</v>
          </cell>
        </row>
        <row r="3186">
          <cell r="A3186" t="str">
            <v>SJ-HM2017-W0-S</v>
          </cell>
          <cell r="B3186" t="str">
            <v>SJ-HM2017</v>
          </cell>
        </row>
        <row r="3187">
          <cell r="A3187" t="str">
            <v>SJ-HM2017-W0-XL</v>
          </cell>
          <cell r="B3187" t="str">
            <v>SJ-HM2017</v>
          </cell>
        </row>
        <row r="3188">
          <cell r="A3188" t="str">
            <v>SJ-HM2017-W0-XXL</v>
          </cell>
          <cell r="B3188" t="str">
            <v>SJ-HM2017</v>
          </cell>
        </row>
        <row r="3189">
          <cell r="A3189" t="str">
            <v>SJ-HM2017-ZL-L</v>
          </cell>
          <cell r="B3189" t="str">
            <v>SJ-HM2017</v>
          </cell>
        </row>
        <row r="3190">
          <cell r="A3190" t="str">
            <v>SJ-HM2017-ZL-M</v>
          </cell>
          <cell r="B3190" t="str">
            <v>SJ-HM2017</v>
          </cell>
        </row>
        <row r="3191">
          <cell r="A3191" t="str">
            <v>SJ-HM2017-ZL-S</v>
          </cell>
          <cell r="B3191" t="str">
            <v>SJ-HM2017</v>
          </cell>
        </row>
        <row r="3192">
          <cell r="A3192" t="str">
            <v>SJ-HM2017-ZL-XL</v>
          </cell>
          <cell r="B3192" t="str">
            <v>SJ-HM2017</v>
          </cell>
        </row>
        <row r="3193">
          <cell r="A3193" t="str">
            <v>SJ-HM2017-ZL-XXL</v>
          </cell>
          <cell r="B3193" t="str">
            <v>SJ-HM2017</v>
          </cell>
        </row>
        <row r="3194">
          <cell r="A3194" t="str">
            <v>SJ-HM205</v>
          </cell>
          <cell r="B3194" t="str">
            <v>SJ-HM205</v>
          </cell>
        </row>
        <row r="3195">
          <cell r="A3195" t="str">
            <v>SJ-HM205-B0</v>
          </cell>
          <cell r="B3195" t="str">
            <v>SJ-HM205</v>
          </cell>
        </row>
        <row r="3196">
          <cell r="A3196" t="str">
            <v>SJ-HM205-B0YH</v>
          </cell>
          <cell r="B3196" t="str">
            <v>SJ-HM205</v>
          </cell>
        </row>
        <row r="3197">
          <cell r="A3197" t="str">
            <v>SJ-HM205-G0</v>
          </cell>
          <cell r="B3197" t="str">
            <v>SJ-HM205</v>
          </cell>
        </row>
        <row r="3198">
          <cell r="A3198" t="str">
            <v>SJ-HM205-K0</v>
          </cell>
          <cell r="B3198" t="str">
            <v>SJ-HM205</v>
          </cell>
        </row>
        <row r="3199">
          <cell r="A3199" t="str">
            <v>SJ-HM205-R0</v>
          </cell>
          <cell r="B3199" t="str">
            <v>SJ-HM205</v>
          </cell>
        </row>
        <row r="3200">
          <cell r="A3200" t="str">
            <v>SJ-HM205-W0YH</v>
          </cell>
          <cell r="B3200" t="str">
            <v>SJ-HM205</v>
          </cell>
        </row>
        <row r="3201">
          <cell r="A3201" t="str">
            <v>SJ-HM2400</v>
          </cell>
          <cell r="B3201" t="str">
            <v>SJ-HM2400</v>
          </cell>
        </row>
        <row r="3202">
          <cell r="A3202" t="str">
            <v>SJ-HM2400-B0-L</v>
          </cell>
          <cell r="B3202" t="str">
            <v>SJ-HM2400</v>
          </cell>
        </row>
        <row r="3203">
          <cell r="A3203" t="str">
            <v>SJ-HM2400-B0-M</v>
          </cell>
          <cell r="B3203" t="str">
            <v>SJ-HM2400</v>
          </cell>
        </row>
        <row r="3204">
          <cell r="A3204" t="str">
            <v>SJ-HM2400-B0-S</v>
          </cell>
          <cell r="B3204" t="str">
            <v>SJ-HM2400</v>
          </cell>
        </row>
        <row r="3205">
          <cell r="A3205" t="str">
            <v>SJ-HM2400-B0-XL</v>
          </cell>
          <cell r="B3205" t="str">
            <v>SJ-HM2400</v>
          </cell>
        </row>
        <row r="3206">
          <cell r="A3206" t="str">
            <v>SJ-HM2400-B0-XXL</v>
          </cell>
          <cell r="B3206" t="str">
            <v>SJ-HM2400</v>
          </cell>
        </row>
        <row r="3207">
          <cell r="A3207" t="str">
            <v>SJ-HM2400-K0-L</v>
          </cell>
          <cell r="B3207" t="str">
            <v>SJ-HM2400</v>
          </cell>
        </row>
        <row r="3208">
          <cell r="A3208" t="str">
            <v>SJ-HM2400-K0-M</v>
          </cell>
          <cell r="B3208" t="str">
            <v>SJ-HM2400</v>
          </cell>
        </row>
        <row r="3209">
          <cell r="A3209" t="str">
            <v>SJ-HM2400-K0-S</v>
          </cell>
          <cell r="B3209" t="str">
            <v>SJ-HM2400</v>
          </cell>
        </row>
        <row r="3210">
          <cell r="A3210" t="str">
            <v>SJ-HM2400-K0-XL</v>
          </cell>
          <cell r="B3210" t="str">
            <v>SJ-HM2400</v>
          </cell>
        </row>
        <row r="3211">
          <cell r="A3211" t="str">
            <v>SJ-HM2400-K0-XXL</v>
          </cell>
          <cell r="B3211" t="str">
            <v>SJ-HM2400</v>
          </cell>
        </row>
        <row r="3212">
          <cell r="A3212" t="str">
            <v>SJ-HM2400-W0-L</v>
          </cell>
          <cell r="B3212" t="str">
            <v>SJ-HM2400</v>
          </cell>
        </row>
        <row r="3213">
          <cell r="A3213" t="str">
            <v>SJ-HM2400-W0-M</v>
          </cell>
          <cell r="B3213" t="str">
            <v>SJ-HM2400</v>
          </cell>
        </row>
        <row r="3214">
          <cell r="A3214" t="str">
            <v>SJ-HM2400-W0-S</v>
          </cell>
          <cell r="B3214" t="str">
            <v>SJ-HM2400</v>
          </cell>
        </row>
        <row r="3215">
          <cell r="A3215" t="str">
            <v>SJ-HM2400-W0-XL</v>
          </cell>
          <cell r="B3215" t="str">
            <v>SJ-HM2400</v>
          </cell>
        </row>
        <row r="3216">
          <cell r="A3216" t="str">
            <v>SJ-HM2400-W0-XXL</v>
          </cell>
          <cell r="B3216" t="str">
            <v>SJ-HM2400</v>
          </cell>
        </row>
        <row r="3217">
          <cell r="A3217" t="str">
            <v>SJ-HM2400-Y0-L</v>
          </cell>
          <cell r="B3217" t="str">
            <v>SJ-HM2400</v>
          </cell>
        </row>
        <row r="3218">
          <cell r="A3218" t="str">
            <v>SJ-HM2400-Y0-M</v>
          </cell>
          <cell r="B3218" t="str">
            <v>SJ-HM2400</v>
          </cell>
        </row>
        <row r="3219">
          <cell r="A3219" t="str">
            <v>SJ-HM2400-Y0-S</v>
          </cell>
          <cell r="B3219" t="str">
            <v>SJ-HM2400</v>
          </cell>
        </row>
        <row r="3220">
          <cell r="A3220" t="str">
            <v>SJ-HM2400-Y0-XL</v>
          </cell>
          <cell r="B3220" t="str">
            <v>SJ-HM2400</v>
          </cell>
        </row>
        <row r="3221">
          <cell r="A3221" t="str">
            <v>SJ-HM2400-Y0-XXL</v>
          </cell>
          <cell r="B3221" t="str">
            <v>SJ-HM2400</v>
          </cell>
        </row>
        <row r="3222">
          <cell r="A3222" t="str">
            <v>SJ-HM402-K0</v>
          </cell>
          <cell r="B3222" t="str">
            <v>GM-SJ002</v>
          </cell>
        </row>
        <row r="3223">
          <cell r="A3223" t="str">
            <v>SJ-HM402-W0</v>
          </cell>
          <cell r="B3223" t="str">
            <v>GM-SJ002</v>
          </cell>
        </row>
        <row r="3224">
          <cell r="A3224" t="str">
            <v>SJ-HM402-W1</v>
          </cell>
          <cell r="B3224" t="str">
            <v>GM-SJ002</v>
          </cell>
        </row>
        <row r="3225">
          <cell r="A3225" t="str">
            <v>SJ-HMLS42-K0-L</v>
          </cell>
          <cell r="B3225" t="str">
            <v>SJ-HMLS42</v>
          </cell>
        </row>
        <row r="3226">
          <cell r="A3226" t="str">
            <v>SJ-HMLS42-K0-XL</v>
          </cell>
          <cell r="B3226" t="str">
            <v>SJ-HMLS42</v>
          </cell>
        </row>
        <row r="3227">
          <cell r="A3227" t="str">
            <v>SJ-HMLS42-K0-XXL</v>
          </cell>
          <cell r="B3227" t="str">
            <v>SJ-HMLS42</v>
          </cell>
        </row>
        <row r="3228">
          <cell r="A3228" t="str">
            <v>SJ-HMLS42-P0-L</v>
          </cell>
          <cell r="B3228" t="str">
            <v>SJ-HMLS42</v>
          </cell>
        </row>
        <row r="3229">
          <cell r="A3229" t="str">
            <v>SJ-HMLS42-P0-XL</v>
          </cell>
          <cell r="B3229" t="str">
            <v>SJ-HMLS42</v>
          </cell>
        </row>
        <row r="3230">
          <cell r="A3230" t="str">
            <v>SJ-HMLS42-P0-XXL</v>
          </cell>
          <cell r="B3230" t="str">
            <v>SJ-HMLS42</v>
          </cell>
        </row>
        <row r="3231">
          <cell r="A3231" t="str">
            <v>SJ-HMLS42-Pi-L</v>
          </cell>
          <cell r="B3231" t="str">
            <v>SJ-HMLS42</v>
          </cell>
        </row>
        <row r="3232">
          <cell r="A3232" t="str">
            <v>SJ-HMLS42-Pi-XL</v>
          </cell>
          <cell r="B3232" t="str">
            <v>SJ-HMLS42</v>
          </cell>
        </row>
        <row r="3233">
          <cell r="A3233" t="str">
            <v>SJ-HMLS42-Pi-XXL</v>
          </cell>
          <cell r="B3233" t="str">
            <v>SJ-HMLS42</v>
          </cell>
        </row>
        <row r="3234">
          <cell r="A3234" t="str">
            <v>SJ-HMLS42-W0-L</v>
          </cell>
          <cell r="B3234" t="str">
            <v>SJ-HMLS42</v>
          </cell>
        </row>
        <row r="3235">
          <cell r="A3235" t="str">
            <v>SJ-HMLS42-W0-XL</v>
          </cell>
          <cell r="B3235" t="str">
            <v>SJ-HMLS42</v>
          </cell>
        </row>
        <row r="3236">
          <cell r="A3236" t="str">
            <v>SJ-HMLS42-W0-XXL</v>
          </cell>
          <cell r="B3236" t="str">
            <v>SJ-HMLS42</v>
          </cell>
        </row>
        <row r="3237">
          <cell r="A3237" t="str">
            <v>SJ-NA204-G0-L</v>
          </cell>
          <cell r="B3237" t="str">
            <v>SJ-NA204</v>
          </cell>
        </row>
        <row r="3238">
          <cell r="A3238" t="str">
            <v>SJ-NA204-G0-M</v>
          </cell>
          <cell r="B3238" t="str">
            <v>SJ-NA204</v>
          </cell>
        </row>
        <row r="3239">
          <cell r="A3239" t="str">
            <v>SJ-NA204-G0-S</v>
          </cell>
          <cell r="B3239" t="str">
            <v>SJ-NA204</v>
          </cell>
        </row>
        <row r="3240">
          <cell r="A3240" t="str">
            <v>SJ-NA204-G0-XL</v>
          </cell>
          <cell r="B3240" t="str">
            <v>SJ-NA204</v>
          </cell>
        </row>
        <row r="3241">
          <cell r="A3241" t="str">
            <v>SJ-NA204-G0-XS</v>
          </cell>
          <cell r="B3241" t="str">
            <v>SJ-NA204</v>
          </cell>
        </row>
        <row r="3242">
          <cell r="A3242" t="str">
            <v>SJ-NA204-K0-2XL</v>
          </cell>
          <cell r="B3242" t="str">
            <v>SJ-NA204</v>
          </cell>
        </row>
        <row r="3243">
          <cell r="A3243" t="str">
            <v>SJ-NA204-K0-L</v>
          </cell>
          <cell r="B3243" t="str">
            <v>SJ-NA204</v>
          </cell>
        </row>
        <row r="3244">
          <cell r="A3244" t="str">
            <v>SJ-NA204-K0-S</v>
          </cell>
          <cell r="B3244" t="str">
            <v>SJ-NA204</v>
          </cell>
        </row>
        <row r="3245">
          <cell r="A3245" t="str">
            <v>SJ-NA204-K0-XL</v>
          </cell>
          <cell r="B3245" t="str">
            <v>SJ-NA204</v>
          </cell>
        </row>
        <row r="3246">
          <cell r="A3246" t="str">
            <v>SJ-NA204-K0-XS</v>
          </cell>
          <cell r="B3246" t="str">
            <v>SJ-NA204</v>
          </cell>
        </row>
        <row r="3247">
          <cell r="A3247" t="str">
            <v>SJ-NA204-R0-2XL</v>
          </cell>
          <cell r="B3247" t="str">
            <v>SJ-NA204</v>
          </cell>
        </row>
        <row r="3248">
          <cell r="A3248" t="str">
            <v>SJ-NA204-R0-M</v>
          </cell>
          <cell r="B3248" t="str">
            <v>SJ-NA204</v>
          </cell>
        </row>
        <row r="3249">
          <cell r="A3249" t="str">
            <v>SJ-NA204-R0-XL</v>
          </cell>
          <cell r="B3249" t="str">
            <v>SJ-NA204</v>
          </cell>
        </row>
        <row r="3250">
          <cell r="A3250" t="str">
            <v>SJ-NA204-R0-XS</v>
          </cell>
          <cell r="B3250" t="str">
            <v>SJ-NA204</v>
          </cell>
        </row>
        <row r="3251">
          <cell r="A3251" t="str">
            <v>SJ-NA204-W0-2XL</v>
          </cell>
          <cell r="B3251" t="str">
            <v>SJ-NA204</v>
          </cell>
        </row>
        <row r="3252">
          <cell r="A3252" t="str">
            <v>SJ-NA204-W0-S</v>
          </cell>
          <cell r="B3252" t="str">
            <v>SJ-NA204</v>
          </cell>
        </row>
        <row r="3253">
          <cell r="A3253" t="str">
            <v>SJ-NA204-W0-XL</v>
          </cell>
          <cell r="B3253" t="str">
            <v>SJ-NA204</v>
          </cell>
        </row>
        <row r="3254">
          <cell r="A3254" t="str">
            <v>SJ-NA204-ZL-2XL</v>
          </cell>
          <cell r="B3254" t="str">
            <v>SJ-NA204</v>
          </cell>
        </row>
        <row r="3255">
          <cell r="A3255" t="str">
            <v>SJ-NA204-ZL-L</v>
          </cell>
          <cell r="B3255" t="str">
            <v>SJ-NA204</v>
          </cell>
        </row>
        <row r="3256">
          <cell r="A3256" t="str">
            <v>SJ-NA204-ZL-M</v>
          </cell>
          <cell r="B3256" t="str">
            <v>SJ-NA204</v>
          </cell>
        </row>
        <row r="3257">
          <cell r="A3257" t="str">
            <v>SJ-NA204-ZL-S</v>
          </cell>
          <cell r="B3257" t="str">
            <v>SJ-NA204</v>
          </cell>
        </row>
        <row r="3258">
          <cell r="A3258" t="str">
            <v>SJ-NA204-ZL-XL</v>
          </cell>
          <cell r="B3258" t="str">
            <v>SJ-NA204</v>
          </cell>
        </row>
        <row r="3259">
          <cell r="A3259" t="str">
            <v>SJ-NA204-ZL-XS</v>
          </cell>
          <cell r="B3259" t="str">
            <v>SJ-NA204</v>
          </cell>
        </row>
        <row r="3260">
          <cell r="A3260" t="str">
            <v>SJ-ZQZ1701-K0-L</v>
          </cell>
          <cell r="B3260" t="str">
            <v>SJ-ZQZ1701</v>
          </cell>
        </row>
        <row r="3261">
          <cell r="A3261" t="str">
            <v>SJ-ZZN204</v>
          </cell>
          <cell r="B3261" t="str">
            <v>SJ-ZZN204</v>
          </cell>
        </row>
        <row r="3262">
          <cell r="A3262" t="str">
            <v>SJ-ZZN204AX</v>
          </cell>
          <cell r="B3262" t="str">
            <v>SJ-ZZN204</v>
          </cell>
        </row>
        <row r="3263">
          <cell r="A3263" t="str">
            <v>SJ-ZZN204AX-GM</v>
          </cell>
          <cell r="B3263" t="str">
            <v>SJ-ZZN204</v>
          </cell>
        </row>
        <row r="3264">
          <cell r="A3264" t="str">
            <v>SJ-ZZN204B0-2XL</v>
          </cell>
          <cell r="B3264" t="str">
            <v>SJ-ZZN204</v>
          </cell>
        </row>
        <row r="3265">
          <cell r="A3265" t="str">
            <v>SJ-ZZN204B0-L</v>
          </cell>
          <cell r="B3265" t="str">
            <v>SJ-ZZN204</v>
          </cell>
        </row>
        <row r="3266">
          <cell r="A3266" t="str">
            <v>SJ-ZZN204B0-M</v>
          </cell>
          <cell r="B3266" t="str">
            <v>SJ-ZZN204</v>
          </cell>
        </row>
        <row r="3267">
          <cell r="A3267" t="str">
            <v>SJ-ZZN204B0-S</v>
          </cell>
          <cell r="B3267" t="str">
            <v>SJ-ZZN204</v>
          </cell>
        </row>
        <row r="3268">
          <cell r="A3268" t="str">
            <v>SJ-ZZN204B0-XL</v>
          </cell>
          <cell r="B3268" t="str">
            <v>SJ-ZZN204</v>
          </cell>
        </row>
        <row r="3269">
          <cell r="A3269" t="str">
            <v>SJ-ZZN204B0-XS</v>
          </cell>
          <cell r="B3269" t="str">
            <v>SJ-ZZN204</v>
          </cell>
        </row>
        <row r="3270">
          <cell r="A3270" t="str">
            <v>SJ-ZZN204G0</v>
          </cell>
          <cell r="B3270" t="str">
            <v>SJ-ZZN204</v>
          </cell>
        </row>
        <row r="3271">
          <cell r="A3271" t="str">
            <v>SJ-ZZN204G02L</v>
          </cell>
          <cell r="B3271" t="str">
            <v>SJ-ZZN204</v>
          </cell>
        </row>
        <row r="3272">
          <cell r="A3272" t="str">
            <v>SJ-ZZN204G02L-GM</v>
          </cell>
          <cell r="B3272" t="str">
            <v>SJ-ZZN204</v>
          </cell>
        </row>
        <row r="3273">
          <cell r="A3273" t="str">
            <v>SJ-ZZN204G03L</v>
          </cell>
          <cell r="B3273" t="str">
            <v>SJ-ZZN204</v>
          </cell>
        </row>
        <row r="3274">
          <cell r="A3274" t="str">
            <v>SJ-ZZN204G03L-GM</v>
          </cell>
          <cell r="B3274" t="str">
            <v>SJ-ZZN204</v>
          </cell>
        </row>
        <row r="3275">
          <cell r="A3275" t="str">
            <v>SJ-ZZN204G04L</v>
          </cell>
          <cell r="B3275" t="str">
            <v>SJ-ZZN204</v>
          </cell>
        </row>
        <row r="3276">
          <cell r="A3276" t="str">
            <v>SJ-ZZN204G0-GM</v>
          </cell>
          <cell r="B3276" t="str">
            <v>SJ-ZZN204</v>
          </cell>
        </row>
        <row r="3277">
          <cell r="A3277" t="str">
            <v>SJ-ZZN204G0L</v>
          </cell>
          <cell r="B3277" t="str">
            <v>SJ-ZZN204</v>
          </cell>
        </row>
        <row r="3278">
          <cell r="A3278" t="str">
            <v>SJ-ZZN204G0L-GM</v>
          </cell>
          <cell r="B3278" t="str">
            <v>SJ-ZZN204</v>
          </cell>
        </row>
        <row r="3279">
          <cell r="A3279" t="str">
            <v>SJ-ZZN204G0XL</v>
          </cell>
          <cell r="B3279" t="str">
            <v>SJ-ZZN204</v>
          </cell>
        </row>
        <row r="3280">
          <cell r="A3280" t="str">
            <v>SJ-ZZN204G0XL-GM</v>
          </cell>
          <cell r="B3280" t="str">
            <v>SJ-ZZN204</v>
          </cell>
        </row>
        <row r="3281">
          <cell r="A3281" t="str">
            <v>SJ-ZZN204K0</v>
          </cell>
          <cell r="B3281" t="str">
            <v>SJ-ZZN204</v>
          </cell>
        </row>
        <row r="3282">
          <cell r="A3282" t="str">
            <v>SJ-ZZN204K02L</v>
          </cell>
          <cell r="B3282" t="str">
            <v>SJ-ZZN204</v>
          </cell>
        </row>
        <row r="3283">
          <cell r="A3283" t="str">
            <v>SJ-ZZN204K02L-GM</v>
          </cell>
          <cell r="B3283" t="str">
            <v>SJ-ZZN204</v>
          </cell>
        </row>
        <row r="3284">
          <cell r="A3284" t="str">
            <v>SJ-ZZN204K03L</v>
          </cell>
          <cell r="B3284" t="str">
            <v>SJ-ZZN204</v>
          </cell>
        </row>
        <row r="3285">
          <cell r="A3285" t="str">
            <v>SJ-ZZN204K03L-GM</v>
          </cell>
          <cell r="B3285" t="str">
            <v>SJ-ZZN204</v>
          </cell>
        </row>
        <row r="3286">
          <cell r="A3286" t="str">
            <v>SJ-ZZN204K04L</v>
          </cell>
          <cell r="B3286" t="str">
            <v>SJ-ZZN204</v>
          </cell>
        </row>
        <row r="3287">
          <cell r="A3287" t="str">
            <v>SJ-ZZN204K04L-GM</v>
          </cell>
          <cell r="B3287" t="str">
            <v>SJ-ZZN204</v>
          </cell>
        </row>
        <row r="3288">
          <cell r="A3288" t="str">
            <v>SJ-ZZN204K0-GM</v>
          </cell>
          <cell r="B3288" t="str">
            <v>SJ-ZZN204</v>
          </cell>
        </row>
        <row r="3289">
          <cell r="A3289" t="str">
            <v>SJ-ZZN204K0L</v>
          </cell>
          <cell r="B3289" t="str">
            <v>SJ-ZZN204</v>
          </cell>
        </row>
        <row r="3290">
          <cell r="A3290" t="str">
            <v>SJ-ZZN204K0L-GM</v>
          </cell>
          <cell r="B3290" t="str">
            <v>SJ-ZZN204</v>
          </cell>
        </row>
        <row r="3291">
          <cell r="A3291" t="str">
            <v>SJ-ZZN204K0XL</v>
          </cell>
          <cell r="B3291" t="str">
            <v>SJ-ZZN204</v>
          </cell>
        </row>
        <row r="3292">
          <cell r="A3292" t="str">
            <v>SJ-ZZN204K0XL-GM</v>
          </cell>
          <cell r="B3292" t="str">
            <v>SJ-ZZN204</v>
          </cell>
        </row>
        <row r="3293">
          <cell r="A3293" t="str">
            <v>SJ-ZZN204R02L</v>
          </cell>
          <cell r="B3293" t="str">
            <v>SJ-ZZN204</v>
          </cell>
        </row>
        <row r="3294">
          <cell r="A3294" t="str">
            <v>SJ-ZZN204R02L-GM</v>
          </cell>
          <cell r="B3294" t="str">
            <v>SJ-ZZN204</v>
          </cell>
        </row>
        <row r="3295">
          <cell r="A3295" t="str">
            <v>SJ-ZZN204R03L</v>
          </cell>
          <cell r="B3295" t="str">
            <v>SJ-ZZN204</v>
          </cell>
        </row>
        <row r="3296">
          <cell r="A3296" t="str">
            <v>SJ-ZZN204R03L-GM</v>
          </cell>
          <cell r="B3296" t="str">
            <v>SJ-ZZN204</v>
          </cell>
        </row>
        <row r="3297">
          <cell r="A3297" t="str">
            <v>SJ-ZZN204R04L</v>
          </cell>
          <cell r="B3297" t="str">
            <v>SJ-ZZN204</v>
          </cell>
        </row>
        <row r="3298">
          <cell r="A3298" t="str">
            <v>SJ-ZZN204R0L</v>
          </cell>
          <cell r="B3298" t="str">
            <v>SJ-ZZN204</v>
          </cell>
        </row>
        <row r="3299">
          <cell r="A3299" t="str">
            <v>SJ-ZZN204R0L-GM</v>
          </cell>
          <cell r="B3299" t="str">
            <v>SJ-ZZN204</v>
          </cell>
        </row>
        <row r="3300">
          <cell r="A3300" t="str">
            <v>SJ-ZZN204R0XL</v>
          </cell>
          <cell r="B3300" t="str">
            <v>SJ-ZZN204</v>
          </cell>
        </row>
        <row r="3301">
          <cell r="A3301" t="str">
            <v>SJ-ZZN204R0XL-GM</v>
          </cell>
          <cell r="B3301" t="str">
            <v>SJ-ZZN204</v>
          </cell>
        </row>
        <row r="3302">
          <cell r="A3302" t="str">
            <v>SJ-ZZN204W0</v>
          </cell>
          <cell r="B3302" t="str">
            <v>SJ-ZZN204</v>
          </cell>
        </row>
        <row r="3303">
          <cell r="A3303" t="str">
            <v>SJ-ZZN204W02L</v>
          </cell>
          <cell r="B3303" t="str">
            <v>SJ-ZZN204</v>
          </cell>
        </row>
        <row r="3304">
          <cell r="A3304" t="str">
            <v>SJ-ZZN204W02L-GM</v>
          </cell>
          <cell r="B3304" t="str">
            <v>SJ-ZZN204</v>
          </cell>
        </row>
        <row r="3305">
          <cell r="A3305" t="str">
            <v>SJ-ZZN204W03L</v>
          </cell>
          <cell r="B3305" t="str">
            <v>SJ-ZZN204</v>
          </cell>
        </row>
        <row r="3306">
          <cell r="A3306" t="str">
            <v>SJ-ZZN204W03L-GM</v>
          </cell>
          <cell r="B3306" t="str">
            <v>SJ-ZZN204</v>
          </cell>
        </row>
        <row r="3307">
          <cell r="A3307" t="str">
            <v>SJ-ZZN204W04L</v>
          </cell>
          <cell r="B3307" t="str">
            <v>SJ-ZZN204</v>
          </cell>
        </row>
        <row r="3308">
          <cell r="A3308" t="str">
            <v>SJ-ZZN204W0-GM</v>
          </cell>
          <cell r="B3308" t="str">
            <v>SJ-ZZN204</v>
          </cell>
        </row>
        <row r="3309">
          <cell r="A3309" t="str">
            <v>SJ-ZZN204W0L</v>
          </cell>
          <cell r="B3309" t="str">
            <v>SJ-ZZN204</v>
          </cell>
        </row>
        <row r="3310">
          <cell r="A3310" t="str">
            <v>SJ-ZZN204W0L-GM</v>
          </cell>
          <cell r="B3310" t="str">
            <v>SJ-ZZN204</v>
          </cell>
        </row>
        <row r="3311">
          <cell r="A3311" t="str">
            <v>SJ-ZZN204W0XL</v>
          </cell>
          <cell r="B3311" t="str">
            <v>SJ-ZZN204</v>
          </cell>
        </row>
        <row r="3312">
          <cell r="A3312" t="str">
            <v>SJ-ZZN204W0XL-GM</v>
          </cell>
          <cell r="B3312" t="str">
            <v>SJ-ZZN204</v>
          </cell>
        </row>
        <row r="3313">
          <cell r="A3313" t="str">
            <v>SJ-ZZN204ZL-2XL</v>
          </cell>
          <cell r="B3313" t="str">
            <v>SJ-ZZN204</v>
          </cell>
        </row>
        <row r="3314">
          <cell r="A3314" t="str">
            <v>SJ-ZZN204ZL-2XL-GM</v>
          </cell>
          <cell r="B3314" t="str">
            <v>SJ-ZZN204</v>
          </cell>
        </row>
        <row r="3315">
          <cell r="A3315" t="str">
            <v>SJ-ZZN204ZL-L</v>
          </cell>
          <cell r="B3315" t="str">
            <v>SJ-ZZN204</v>
          </cell>
        </row>
        <row r="3316">
          <cell r="A3316" t="str">
            <v>SJ-ZZN204ZL-M</v>
          </cell>
          <cell r="B3316" t="str">
            <v>SJ-ZZN204</v>
          </cell>
        </row>
        <row r="3317">
          <cell r="A3317" t="str">
            <v>SJ-ZZN204ZL-S</v>
          </cell>
          <cell r="B3317" t="str">
            <v>SJ-ZZN204</v>
          </cell>
        </row>
        <row r="3318">
          <cell r="A3318" t="str">
            <v>SJ-ZZN204ZL-S-GM</v>
          </cell>
          <cell r="B3318" t="str">
            <v>SJ-ZZN204</v>
          </cell>
        </row>
        <row r="3319">
          <cell r="A3319" t="str">
            <v>SJ-ZZN204ZL-XL</v>
          </cell>
          <cell r="B3319" t="str">
            <v>SJ-ZZN204</v>
          </cell>
        </row>
        <row r="3320">
          <cell r="A3320" t="str">
            <v>SJ-ZZN204ZL-XS</v>
          </cell>
          <cell r="B3320" t="str">
            <v>SJ-ZZN204</v>
          </cell>
        </row>
        <row r="3321">
          <cell r="A3321" t="str">
            <v>SK-LY168-311-4E-L</v>
          </cell>
          <cell r="B3321" t="str">
            <v>SK-LY168</v>
          </cell>
        </row>
        <row r="3322">
          <cell r="A3322" t="str">
            <v>SK-LY168-311-4E-M</v>
          </cell>
          <cell r="B3322" t="str">
            <v>SK-LY168</v>
          </cell>
        </row>
        <row r="3323">
          <cell r="A3323" t="str">
            <v>SK-LY168-311-4E-XL</v>
          </cell>
          <cell r="B3323" t="str">
            <v>SK-LY168</v>
          </cell>
        </row>
        <row r="3324">
          <cell r="A3324" t="str">
            <v>SK-LY168-311-4F-L</v>
          </cell>
          <cell r="B3324" t="str">
            <v>SK-LY168</v>
          </cell>
        </row>
        <row r="3325">
          <cell r="A3325" t="str">
            <v>SK-LY168-311-4F-M</v>
          </cell>
          <cell r="B3325" t="str">
            <v>SK-LY168</v>
          </cell>
        </row>
        <row r="3326">
          <cell r="A3326" t="str">
            <v>SK-LY168-311-4F-XL</v>
          </cell>
          <cell r="B3326" t="str">
            <v>SK-LY168</v>
          </cell>
        </row>
        <row r="3327">
          <cell r="A3327" t="str">
            <v>SK-LY168-311-4H-L</v>
          </cell>
          <cell r="B3327" t="str">
            <v>SK-LY168</v>
          </cell>
        </row>
        <row r="3328">
          <cell r="A3328" t="str">
            <v>SK-LY168-311-4H-M</v>
          </cell>
          <cell r="B3328" t="str">
            <v>SK-LY168</v>
          </cell>
        </row>
        <row r="3329">
          <cell r="A3329" t="str">
            <v>SK-LY168-311-4H-XL</v>
          </cell>
          <cell r="B3329" t="str">
            <v>SK-LY168</v>
          </cell>
        </row>
        <row r="3330">
          <cell r="A3330" t="str">
            <v>SK-LY168-311-76A-L</v>
          </cell>
          <cell r="B3330" t="str">
            <v>SK-LY168</v>
          </cell>
        </row>
        <row r="3331">
          <cell r="A3331" t="str">
            <v>SK-LY168-311-76A-M</v>
          </cell>
          <cell r="B3331" t="str">
            <v>SK-LY168</v>
          </cell>
        </row>
        <row r="3332">
          <cell r="A3332" t="str">
            <v>SK-LY168-311-76A-XL</v>
          </cell>
          <cell r="B3332" t="str">
            <v>SK-LY168</v>
          </cell>
        </row>
        <row r="3333">
          <cell r="A3333" t="str">
            <v>SK-LY168-311-76C-L</v>
          </cell>
          <cell r="B3333" t="str">
            <v>SK-LY168</v>
          </cell>
        </row>
        <row r="3334">
          <cell r="A3334" t="str">
            <v>SK-LY168-311-76C-XL</v>
          </cell>
          <cell r="B3334" t="str">
            <v>SK-LY168</v>
          </cell>
        </row>
        <row r="3335">
          <cell r="A3335" t="str">
            <v>SK-LY168-311-76D-L</v>
          </cell>
          <cell r="B3335" t="str">
            <v>SK-LY168</v>
          </cell>
        </row>
        <row r="3336">
          <cell r="A3336" t="str">
            <v>SK-LY168-311-76D-M</v>
          </cell>
          <cell r="B3336" t="str">
            <v>SK-LY168</v>
          </cell>
        </row>
        <row r="3337">
          <cell r="A3337" t="str">
            <v>SK-LY168-311-76D-XL</v>
          </cell>
          <cell r="B3337" t="str">
            <v>SK-LY168</v>
          </cell>
        </row>
        <row r="3338">
          <cell r="A3338" t="str">
            <v>SK-LY168-HSJK-168A-L</v>
          </cell>
          <cell r="B3338" t="str">
            <v>SK-LY168</v>
          </cell>
        </row>
        <row r="3339">
          <cell r="A3339" t="str">
            <v>SK-LY168-HSJK-168A-M</v>
          </cell>
          <cell r="B3339" t="str">
            <v>SK-LY168</v>
          </cell>
        </row>
        <row r="3340">
          <cell r="A3340" t="str">
            <v>SK-LY168-HSJK-168A-XL</v>
          </cell>
          <cell r="B3340" t="str">
            <v>SK-LY168</v>
          </cell>
        </row>
        <row r="3341">
          <cell r="A3341" t="str">
            <v>SK-LY168-HSJK-168B-L</v>
          </cell>
          <cell r="B3341" t="str">
            <v>SK-LY168</v>
          </cell>
        </row>
        <row r="3342">
          <cell r="A3342" t="str">
            <v>SK-LY168-HSJK-168B-M</v>
          </cell>
          <cell r="B3342" t="str">
            <v>SK-LY168</v>
          </cell>
        </row>
        <row r="3343">
          <cell r="A3343" t="str">
            <v>SK-LY168-HSJK-168B-XL</v>
          </cell>
          <cell r="B3343" t="str">
            <v>SK-LY168</v>
          </cell>
        </row>
        <row r="3344">
          <cell r="A3344" t="str">
            <v>SK-LY168-HSJK-168C-L</v>
          </cell>
          <cell r="B3344" t="str">
            <v>SK-LY168</v>
          </cell>
        </row>
        <row r="3345">
          <cell r="A3345" t="str">
            <v>SK-LY168-HSJK-168C-M</v>
          </cell>
          <cell r="B3345" t="str">
            <v>SK-LY168</v>
          </cell>
        </row>
        <row r="3346">
          <cell r="A3346" t="str">
            <v>SK-LY168-HSJK-168C-XL</v>
          </cell>
          <cell r="B3346" t="str">
            <v>SK-LY168</v>
          </cell>
        </row>
        <row r="3347">
          <cell r="A3347" t="str">
            <v>SK-LY168-K77-1-M</v>
          </cell>
          <cell r="B3347" t="str">
            <v>SK-LY168</v>
          </cell>
        </row>
        <row r="3348">
          <cell r="A3348" t="str">
            <v>SK-LY168-K77-1-XL</v>
          </cell>
          <cell r="B3348" t="str">
            <v>SK-LY168</v>
          </cell>
        </row>
        <row r="3349">
          <cell r="A3349" t="str">
            <v>SK-LY168-K77-2-L</v>
          </cell>
          <cell r="B3349" t="str">
            <v>SK-LY168</v>
          </cell>
        </row>
        <row r="3350">
          <cell r="A3350" t="str">
            <v>SK-LY168-K77-2-M</v>
          </cell>
          <cell r="B3350" t="str">
            <v>SK-LY168</v>
          </cell>
        </row>
        <row r="3351">
          <cell r="A3351" t="str">
            <v>SK-LY168-K77-2-XL</v>
          </cell>
          <cell r="B3351" t="str">
            <v>SK-LY168</v>
          </cell>
        </row>
        <row r="3352">
          <cell r="A3352" t="str">
            <v>SK-LY168-K77-4-L</v>
          </cell>
          <cell r="B3352" t="str">
            <v>SK-LY168</v>
          </cell>
        </row>
        <row r="3353">
          <cell r="A3353" t="str">
            <v>SK-LY168-K77-4-M</v>
          </cell>
          <cell r="B3353" t="str">
            <v>SK-LY168</v>
          </cell>
        </row>
        <row r="3354">
          <cell r="A3354" t="str">
            <v>SK-LY168-K77-4-XL</v>
          </cell>
          <cell r="B3354" t="str">
            <v>SK-LY168</v>
          </cell>
        </row>
        <row r="3355">
          <cell r="A3355" t="str">
            <v>SK-SB012-GR-L</v>
          </cell>
          <cell r="B3355" t="str">
            <v>SK-SB012</v>
          </cell>
        </row>
        <row r="3356">
          <cell r="A3356" t="str">
            <v>SK-SB012-GR-M</v>
          </cell>
          <cell r="B3356" t="str">
            <v>SK-SB012</v>
          </cell>
        </row>
        <row r="3357">
          <cell r="A3357" t="str">
            <v>SK-SB012-GR-XL</v>
          </cell>
          <cell r="B3357" t="str">
            <v>SK-SB012</v>
          </cell>
        </row>
        <row r="3358">
          <cell r="A3358" t="str">
            <v>SK-SB012-KK-L</v>
          </cell>
          <cell r="B3358" t="str">
            <v>SK-SB012</v>
          </cell>
        </row>
        <row r="3359">
          <cell r="A3359" t="str">
            <v>SK-SB012-KK-M</v>
          </cell>
          <cell r="B3359" t="str">
            <v>SK-SB012</v>
          </cell>
        </row>
        <row r="3360">
          <cell r="A3360" t="str">
            <v>SK-SB012-KK-XL</v>
          </cell>
          <cell r="B3360" t="str">
            <v>SK-SB012</v>
          </cell>
        </row>
        <row r="3361">
          <cell r="A3361" t="str">
            <v>SK-SB012-NY-L</v>
          </cell>
          <cell r="B3361" t="str">
            <v>SK-SB012</v>
          </cell>
        </row>
        <row r="3362">
          <cell r="A3362" t="str">
            <v>SK-SB012-NY-M</v>
          </cell>
          <cell r="B3362" t="str">
            <v>SK-SB012</v>
          </cell>
        </row>
        <row r="3363">
          <cell r="A3363" t="str">
            <v>SK-SB012-NY-XL</v>
          </cell>
          <cell r="B3363" t="str">
            <v>SK-SB012</v>
          </cell>
        </row>
        <row r="3364">
          <cell r="A3364" t="str">
            <v>SK-SB012-WT-L</v>
          </cell>
          <cell r="B3364" t="str">
            <v>SK-SB012</v>
          </cell>
        </row>
        <row r="3365">
          <cell r="A3365" t="str">
            <v>SK-SB012-WT-M</v>
          </cell>
          <cell r="B3365" t="str">
            <v>SK-SB012</v>
          </cell>
        </row>
        <row r="3366">
          <cell r="A3366" t="str">
            <v>SK-SB012-WT-XL</v>
          </cell>
          <cell r="B3366" t="str">
            <v>SK-SB012</v>
          </cell>
        </row>
        <row r="3367">
          <cell r="A3367" t="str">
            <v>SKS-B301</v>
          </cell>
          <cell r="B3367" t="str">
            <v>SKS-B301</v>
          </cell>
        </row>
        <row r="3368">
          <cell r="A3368" t="str">
            <v>SKS-B334</v>
          </cell>
          <cell r="B3368" t="str">
            <v>SKS-B334</v>
          </cell>
        </row>
        <row r="3369">
          <cell r="A3369" t="str">
            <v>ST005-BK-2XL</v>
          </cell>
          <cell r="B3369" t="str">
            <v>ST005</v>
          </cell>
        </row>
        <row r="3370">
          <cell r="A3370" t="str">
            <v>ST005-BK-L</v>
          </cell>
          <cell r="B3370" t="str">
            <v>ST005</v>
          </cell>
        </row>
        <row r="3371">
          <cell r="A3371" t="str">
            <v>ST005-BK-M</v>
          </cell>
          <cell r="B3371" t="str">
            <v>ST005</v>
          </cell>
        </row>
        <row r="3372">
          <cell r="A3372" t="str">
            <v>ST005-BK-S</v>
          </cell>
          <cell r="B3372" t="str">
            <v>ST005</v>
          </cell>
        </row>
        <row r="3373">
          <cell r="A3373" t="str">
            <v>ST005-BK-XL</v>
          </cell>
          <cell r="B3373" t="str">
            <v>ST005</v>
          </cell>
        </row>
        <row r="3374">
          <cell r="A3374" t="str">
            <v>ST005-BL1-2XL</v>
          </cell>
          <cell r="B3374" t="str">
            <v>ST005</v>
          </cell>
        </row>
        <row r="3375">
          <cell r="A3375" t="str">
            <v>ST005-BL1-L</v>
          </cell>
          <cell r="B3375" t="str">
            <v>ST005</v>
          </cell>
        </row>
        <row r="3376">
          <cell r="A3376" t="str">
            <v>ST005-BL1-M</v>
          </cell>
          <cell r="B3376" t="str">
            <v>ST005</v>
          </cell>
        </row>
        <row r="3377">
          <cell r="A3377" t="str">
            <v>ST005-BL1-S</v>
          </cell>
          <cell r="B3377" t="str">
            <v>ST005</v>
          </cell>
        </row>
        <row r="3378">
          <cell r="A3378" t="str">
            <v>ST005-BL1-XL</v>
          </cell>
          <cell r="B3378" t="str">
            <v>ST005</v>
          </cell>
        </row>
        <row r="3379">
          <cell r="A3379" t="str">
            <v>ST005-BL2-2XL</v>
          </cell>
          <cell r="B3379" t="str">
            <v>ST005</v>
          </cell>
        </row>
        <row r="3380">
          <cell r="A3380" t="str">
            <v>ST005-BL2-L</v>
          </cell>
          <cell r="B3380" t="str">
            <v>ST005</v>
          </cell>
        </row>
        <row r="3381">
          <cell r="A3381" t="str">
            <v>ST005-BL2-M</v>
          </cell>
          <cell r="B3381" t="str">
            <v>ST005</v>
          </cell>
        </row>
        <row r="3382">
          <cell r="A3382" t="str">
            <v>ST005-BL2-S</v>
          </cell>
          <cell r="B3382" t="str">
            <v>ST005</v>
          </cell>
        </row>
        <row r="3383">
          <cell r="A3383" t="str">
            <v>ST005-BL2-XL</v>
          </cell>
          <cell r="B3383" t="str">
            <v>ST005</v>
          </cell>
        </row>
        <row r="3384">
          <cell r="A3384" t="str">
            <v>ST005-GN-2XL</v>
          </cell>
          <cell r="B3384" t="str">
            <v>ST005</v>
          </cell>
        </row>
        <row r="3385">
          <cell r="A3385" t="str">
            <v>ST005-GN-L</v>
          </cell>
          <cell r="B3385" t="str">
            <v>ST005</v>
          </cell>
        </row>
        <row r="3386">
          <cell r="A3386" t="str">
            <v>ST005-GN-M</v>
          </cell>
          <cell r="B3386" t="str">
            <v>ST005</v>
          </cell>
        </row>
        <row r="3387">
          <cell r="A3387" t="str">
            <v>ST005-GN-S</v>
          </cell>
          <cell r="B3387" t="str">
            <v>ST005</v>
          </cell>
        </row>
        <row r="3388">
          <cell r="A3388" t="str">
            <v>ST005-GN-XL</v>
          </cell>
          <cell r="B3388" t="str">
            <v>ST005</v>
          </cell>
        </row>
        <row r="3389">
          <cell r="A3389" t="str">
            <v>ST005-RD1-2XL</v>
          </cell>
          <cell r="B3389" t="str">
            <v>ST005</v>
          </cell>
        </row>
        <row r="3390">
          <cell r="A3390" t="str">
            <v>ST005-RD1-L</v>
          </cell>
          <cell r="B3390" t="str">
            <v>ST005</v>
          </cell>
        </row>
        <row r="3391">
          <cell r="A3391" t="str">
            <v>ST005-RD1-M</v>
          </cell>
          <cell r="B3391" t="str">
            <v>ST005</v>
          </cell>
        </row>
        <row r="3392">
          <cell r="A3392" t="str">
            <v>ST005-RD1-S</v>
          </cell>
          <cell r="B3392" t="str">
            <v>ST005</v>
          </cell>
        </row>
        <row r="3393">
          <cell r="A3393" t="str">
            <v>ST005-RD1-XL</v>
          </cell>
          <cell r="B3393" t="str">
            <v>ST005</v>
          </cell>
        </row>
        <row r="3394">
          <cell r="A3394" t="str">
            <v>ST005-RD-2XL</v>
          </cell>
          <cell r="B3394" t="str">
            <v>ST005</v>
          </cell>
        </row>
        <row r="3395">
          <cell r="A3395" t="str">
            <v>ST005-RD-L</v>
          </cell>
          <cell r="B3395" t="str">
            <v>ST005</v>
          </cell>
        </row>
        <row r="3396">
          <cell r="A3396" t="str">
            <v>ST005-RD-M</v>
          </cell>
          <cell r="B3396" t="str">
            <v>ST005</v>
          </cell>
        </row>
        <row r="3397">
          <cell r="A3397" t="str">
            <v>ST005-RD-S</v>
          </cell>
          <cell r="B3397" t="str">
            <v>ST005</v>
          </cell>
        </row>
        <row r="3398">
          <cell r="A3398" t="str">
            <v>ST005-RD-XL</v>
          </cell>
          <cell r="B3398" t="str">
            <v>ST005</v>
          </cell>
        </row>
        <row r="3399">
          <cell r="A3399" t="str">
            <v>ST005-YL-2XL</v>
          </cell>
          <cell r="B3399" t="str">
            <v>ST005</v>
          </cell>
        </row>
        <row r="3400">
          <cell r="A3400" t="str">
            <v>ST005-YL-L</v>
          </cell>
          <cell r="B3400" t="str">
            <v>ST005</v>
          </cell>
        </row>
        <row r="3401">
          <cell r="A3401" t="str">
            <v>ST005-YL-M</v>
          </cell>
          <cell r="B3401" t="str">
            <v>ST005</v>
          </cell>
        </row>
        <row r="3402">
          <cell r="A3402" t="str">
            <v>ST005-YL-S</v>
          </cell>
          <cell r="B3402" t="str">
            <v>ST005</v>
          </cell>
        </row>
        <row r="3403">
          <cell r="A3403" t="str">
            <v>ST005-YL-XL</v>
          </cell>
          <cell r="B3403" t="str">
            <v>ST005</v>
          </cell>
        </row>
        <row r="3404">
          <cell r="A3404" t="str">
            <v>ST006-BK-2XL</v>
          </cell>
          <cell r="B3404" t="str">
            <v>ST006</v>
          </cell>
        </row>
        <row r="3405">
          <cell r="A3405" t="str">
            <v>ST006-BK-L</v>
          </cell>
          <cell r="B3405" t="str">
            <v>ST006</v>
          </cell>
        </row>
        <row r="3406">
          <cell r="A3406" t="str">
            <v>ST006-BK-M</v>
          </cell>
          <cell r="B3406" t="str">
            <v>ST006</v>
          </cell>
        </row>
        <row r="3407">
          <cell r="A3407" t="str">
            <v>ST006-BK-S</v>
          </cell>
          <cell r="B3407" t="str">
            <v>ST006</v>
          </cell>
        </row>
        <row r="3408">
          <cell r="A3408" t="str">
            <v>ST006-BK-XL</v>
          </cell>
          <cell r="B3408" t="str">
            <v>ST006</v>
          </cell>
        </row>
        <row r="3409">
          <cell r="A3409" t="str">
            <v>ST006-BL2-2XL</v>
          </cell>
          <cell r="B3409" t="str">
            <v>ST006</v>
          </cell>
        </row>
        <row r="3410">
          <cell r="A3410" t="str">
            <v>ST006-BL2-L</v>
          </cell>
          <cell r="B3410" t="str">
            <v>ST006</v>
          </cell>
        </row>
        <row r="3411">
          <cell r="A3411" t="str">
            <v>ST006-BL2-M</v>
          </cell>
          <cell r="B3411" t="str">
            <v>ST006</v>
          </cell>
        </row>
        <row r="3412">
          <cell r="A3412" t="str">
            <v>ST006-BL2-S</v>
          </cell>
          <cell r="B3412" t="str">
            <v>ST006</v>
          </cell>
        </row>
        <row r="3413">
          <cell r="A3413" t="str">
            <v>ST006-BL2-XL</v>
          </cell>
          <cell r="B3413" t="str">
            <v>ST006</v>
          </cell>
        </row>
        <row r="3414">
          <cell r="A3414" t="str">
            <v>ST006-BL-2XL</v>
          </cell>
          <cell r="B3414" t="str">
            <v>ST006</v>
          </cell>
        </row>
        <row r="3415">
          <cell r="A3415" t="str">
            <v>ST006-BL-L</v>
          </cell>
          <cell r="B3415" t="str">
            <v>ST006</v>
          </cell>
        </row>
        <row r="3416">
          <cell r="A3416" t="str">
            <v>ST006-BL-M</v>
          </cell>
          <cell r="B3416" t="str">
            <v>ST006</v>
          </cell>
        </row>
        <row r="3417">
          <cell r="A3417" t="str">
            <v>ST006-BL-S</v>
          </cell>
          <cell r="B3417" t="str">
            <v>ST006</v>
          </cell>
        </row>
        <row r="3418">
          <cell r="A3418" t="str">
            <v>ST006-BL-XL</v>
          </cell>
          <cell r="B3418" t="str">
            <v>ST006</v>
          </cell>
        </row>
        <row r="3419">
          <cell r="A3419" t="str">
            <v>ST006-CF-2XL</v>
          </cell>
          <cell r="B3419" t="str">
            <v>ST006</v>
          </cell>
        </row>
        <row r="3420">
          <cell r="A3420" t="str">
            <v>ST006-CF-L</v>
          </cell>
          <cell r="B3420" t="str">
            <v>ST006</v>
          </cell>
        </row>
        <row r="3421">
          <cell r="A3421" t="str">
            <v>ST006-CF-M</v>
          </cell>
          <cell r="B3421" t="str">
            <v>ST006</v>
          </cell>
        </row>
        <row r="3422">
          <cell r="A3422" t="str">
            <v>ST006-CF-S</v>
          </cell>
          <cell r="B3422" t="str">
            <v>ST006</v>
          </cell>
        </row>
        <row r="3423">
          <cell r="A3423" t="str">
            <v>ST006-CF-XL</v>
          </cell>
          <cell r="B3423" t="str">
            <v>ST006</v>
          </cell>
        </row>
        <row r="3424">
          <cell r="A3424" t="str">
            <v>ST006-GN-2XL</v>
          </cell>
          <cell r="B3424" t="str">
            <v>ST006</v>
          </cell>
        </row>
        <row r="3425">
          <cell r="A3425" t="str">
            <v>ST006-GN-L</v>
          </cell>
          <cell r="B3425" t="str">
            <v>ST006</v>
          </cell>
        </row>
        <row r="3426">
          <cell r="A3426" t="str">
            <v>ST006-GN-M</v>
          </cell>
          <cell r="B3426" t="str">
            <v>ST006</v>
          </cell>
        </row>
        <row r="3427">
          <cell r="A3427" t="str">
            <v>ST006-GN-S</v>
          </cell>
          <cell r="B3427" t="str">
            <v>ST006</v>
          </cell>
        </row>
        <row r="3428">
          <cell r="A3428" t="str">
            <v>ST006-GN-XL</v>
          </cell>
          <cell r="B3428" t="str">
            <v>ST006</v>
          </cell>
        </row>
        <row r="3429">
          <cell r="A3429" t="str">
            <v>ST006-RD1-2XL</v>
          </cell>
          <cell r="B3429" t="str">
            <v>ST006</v>
          </cell>
        </row>
        <row r="3430">
          <cell r="A3430" t="str">
            <v>ST006-RD1-L</v>
          </cell>
          <cell r="B3430" t="str">
            <v>ST006</v>
          </cell>
        </row>
        <row r="3431">
          <cell r="A3431" t="str">
            <v>ST006-RD1-M</v>
          </cell>
          <cell r="B3431" t="str">
            <v>ST006</v>
          </cell>
        </row>
        <row r="3432">
          <cell r="A3432" t="str">
            <v>ST006-RD1-S</v>
          </cell>
          <cell r="B3432" t="str">
            <v>ST006</v>
          </cell>
        </row>
        <row r="3433">
          <cell r="A3433" t="str">
            <v>ST006-RD1-XL</v>
          </cell>
          <cell r="B3433" t="str">
            <v>ST006</v>
          </cell>
        </row>
        <row r="3434">
          <cell r="A3434" t="str">
            <v>ST006-RD2-2XL</v>
          </cell>
          <cell r="B3434" t="str">
            <v>ST006</v>
          </cell>
        </row>
        <row r="3435">
          <cell r="A3435" t="str">
            <v>ST006-RD2-L</v>
          </cell>
          <cell r="B3435" t="str">
            <v>ST006</v>
          </cell>
        </row>
        <row r="3436">
          <cell r="A3436" t="str">
            <v>ST006-RD2-M</v>
          </cell>
          <cell r="B3436" t="str">
            <v>ST006</v>
          </cell>
        </row>
        <row r="3437">
          <cell r="A3437" t="str">
            <v>ST006-RD2-S</v>
          </cell>
          <cell r="B3437" t="str">
            <v>ST006</v>
          </cell>
        </row>
        <row r="3438">
          <cell r="A3438" t="str">
            <v>ST006-RD2-XL</v>
          </cell>
          <cell r="B3438" t="str">
            <v>ST006</v>
          </cell>
        </row>
        <row r="3439">
          <cell r="A3439" t="str">
            <v>ST082-G0-L</v>
          </cell>
          <cell r="B3439" t="str">
            <v>ST082</v>
          </cell>
        </row>
        <row r="3440">
          <cell r="A3440" t="str">
            <v>ST082-G0-M</v>
          </cell>
          <cell r="B3440" t="str">
            <v>ST082</v>
          </cell>
        </row>
        <row r="3441">
          <cell r="A3441" t="str">
            <v>ST082-G0-S</v>
          </cell>
          <cell r="B3441" t="str">
            <v>ST082</v>
          </cell>
        </row>
        <row r="3442">
          <cell r="A3442" t="str">
            <v>ST082-G0-XL</v>
          </cell>
          <cell r="B3442" t="str">
            <v>ST082</v>
          </cell>
        </row>
        <row r="3443">
          <cell r="A3443" t="str">
            <v>ST082-G0-XXL</v>
          </cell>
          <cell r="B3443" t="str">
            <v>ST082</v>
          </cell>
        </row>
        <row r="3444">
          <cell r="A3444" t="str">
            <v>ST082-K0-L</v>
          </cell>
          <cell r="B3444" t="str">
            <v>ST082</v>
          </cell>
        </row>
        <row r="3445">
          <cell r="A3445" t="str">
            <v>ST082-K0-M</v>
          </cell>
          <cell r="B3445" t="str">
            <v>ST082</v>
          </cell>
        </row>
        <row r="3446">
          <cell r="A3446" t="str">
            <v>ST082-K0-S</v>
          </cell>
          <cell r="B3446" t="str">
            <v>ST082</v>
          </cell>
        </row>
        <row r="3447">
          <cell r="A3447" t="str">
            <v>ST082-K0-XL</v>
          </cell>
          <cell r="B3447" t="str">
            <v>ST082</v>
          </cell>
        </row>
        <row r="3448">
          <cell r="A3448" t="str">
            <v>ST082-K0-XXL</v>
          </cell>
          <cell r="B3448" t="str">
            <v>ST082</v>
          </cell>
        </row>
        <row r="3449">
          <cell r="A3449" t="str">
            <v>ST082-R0-L</v>
          </cell>
          <cell r="B3449" t="str">
            <v>ST082</v>
          </cell>
        </row>
        <row r="3450">
          <cell r="A3450" t="str">
            <v>ST082-R0-M</v>
          </cell>
          <cell r="B3450" t="str">
            <v>ST082</v>
          </cell>
        </row>
        <row r="3451">
          <cell r="A3451" t="str">
            <v>ST082-R0-S</v>
          </cell>
          <cell r="B3451" t="str">
            <v>ST082</v>
          </cell>
        </row>
        <row r="3452">
          <cell r="A3452" t="str">
            <v>ST082-R0-XL</v>
          </cell>
          <cell r="B3452" t="str">
            <v>ST082</v>
          </cell>
        </row>
        <row r="3453">
          <cell r="A3453" t="str">
            <v>ST082-R0-XXL</v>
          </cell>
          <cell r="B3453" t="str">
            <v>ST082</v>
          </cell>
        </row>
        <row r="3454">
          <cell r="A3454" t="str">
            <v>ST084-H10-L</v>
          </cell>
          <cell r="B3454" t="str">
            <v>ST084</v>
          </cell>
        </row>
        <row r="3455">
          <cell r="A3455" t="str">
            <v>ST084-H10-M</v>
          </cell>
          <cell r="B3455" t="str">
            <v>ST084</v>
          </cell>
        </row>
        <row r="3456">
          <cell r="A3456" t="str">
            <v>ST084-H10-S</v>
          </cell>
          <cell r="B3456" t="str">
            <v>ST084</v>
          </cell>
        </row>
        <row r="3457">
          <cell r="A3457" t="str">
            <v>ST084-H10-XL</v>
          </cell>
          <cell r="B3457" t="str">
            <v>ST084</v>
          </cell>
        </row>
        <row r="3458">
          <cell r="A3458" t="str">
            <v>ST084-H10-XXL</v>
          </cell>
          <cell r="B3458" t="str">
            <v>ST084</v>
          </cell>
        </row>
        <row r="3459">
          <cell r="A3459" t="str">
            <v>ST084-H12-L</v>
          </cell>
          <cell r="B3459" t="str">
            <v>ST084</v>
          </cell>
        </row>
        <row r="3460">
          <cell r="A3460" t="str">
            <v>ST084-H12-M</v>
          </cell>
          <cell r="B3460" t="str">
            <v>ST084</v>
          </cell>
        </row>
        <row r="3461">
          <cell r="A3461" t="str">
            <v>ST084-H12-S</v>
          </cell>
          <cell r="B3461" t="str">
            <v>ST084</v>
          </cell>
        </row>
        <row r="3462">
          <cell r="A3462" t="str">
            <v>ST084-H12-XL</v>
          </cell>
          <cell r="B3462" t="str">
            <v>ST084</v>
          </cell>
        </row>
        <row r="3463">
          <cell r="A3463" t="str">
            <v>ST084-H12-XS</v>
          </cell>
          <cell r="B3463" t="str">
            <v>ST084</v>
          </cell>
        </row>
        <row r="3464">
          <cell r="A3464" t="str">
            <v>ST084-H12-XXL</v>
          </cell>
          <cell r="B3464" t="str">
            <v>ST084</v>
          </cell>
        </row>
        <row r="3465">
          <cell r="A3465" t="str">
            <v>ST084-H15-L</v>
          </cell>
          <cell r="B3465" t="str">
            <v>ST084</v>
          </cell>
        </row>
        <row r="3466">
          <cell r="A3466" t="str">
            <v>ST084-H15-M</v>
          </cell>
          <cell r="B3466" t="str">
            <v>ST084</v>
          </cell>
        </row>
        <row r="3467">
          <cell r="A3467" t="str">
            <v>ST084-H15-S</v>
          </cell>
          <cell r="B3467" t="str">
            <v>ST084</v>
          </cell>
        </row>
        <row r="3468">
          <cell r="A3468" t="str">
            <v>ST084-H15-XL</v>
          </cell>
          <cell r="B3468" t="str">
            <v>ST084</v>
          </cell>
        </row>
        <row r="3469">
          <cell r="A3469" t="str">
            <v>ST084-H15-XS</v>
          </cell>
          <cell r="B3469" t="str">
            <v>ST084</v>
          </cell>
        </row>
        <row r="3470">
          <cell r="A3470" t="str">
            <v>ST084-H15-XXL</v>
          </cell>
          <cell r="B3470" t="str">
            <v>ST084</v>
          </cell>
        </row>
        <row r="3471">
          <cell r="A3471" t="str">
            <v>ST084-H16-L</v>
          </cell>
          <cell r="B3471" t="str">
            <v>ST084</v>
          </cell>
        </row>
        <row r="3472">
          <cell r="A3472" t="str">
            <v>ST084-H16-M</v>
          </cell>
          <cell r="B3472" t="str">
            <v>ST084</v>
          </cell>
        </row>
        <row r="3473">
          <cell r="A3473" t="str">
            <v>ST084-H16-S</v>
          </cell>
          <cell r="B3473" t="str">
            <v>ST084</v>
          </cell>
        </row>
        <row r="3474">
          <cell r="A3474" t="str">
            <v>ST084-H16-XL</v>
          </cell>
          <cell r="B3474" t="str">
            <v>ST084</v>
          </cell>
        </row>
        <row r="3475">
          <cell r="A3475" t="str">
            <v>ST084-H16-XXL</v>
          </cell>
          <cell r="B3475" t="str">
            <v>ST084</v>
          </cell>
        </row>
        <row r="3476">
          <cell r="A3476" t="str">
            <v>ST084-H1-L</v>
          </cell>
          <cell r="B3476" t="str">
            <v>ST084</v>
          </cell>
        </row>
        <row r="3477">
          <cell r="A3477" t="str">
            <v>ST084-H1-M</v>
          </cell>
          <cell r="B3477" t="str">
            <v>ST084</v>
          </cell>
        </row>
        <row r="3478">
          <cell r="A3478" t="str">
            <v>ST084-H1-S</v>
          </cell>
          <cell r="B3478" t="str">
            <v>ST084</v>
          </cell>
        </row>
        <row r="3479">
          <cell r="A3479" t="str">
            <v>ST084-H1-XL</v>
          </cell>
          <cell r="B3479" t="str">
            <v>ST084</v>
          </cell>
        </row>
        <row r="3480">
          <cell r="A3480" t="str">
            <v>ST084-H1-XXL</v>
          </cell>
          <cell r="B3480" t="str">
            <v>ST084</v>
          </cell>
        </row>
        <row r="3481">
          <cell r="A3481" t="str">
            <v>ST084-H2-L</v>
          </cell>
          <cell r="B3481" t="str">
            <v>ST084</v>
          </cell>
        </row>
        <row r="3482">
          <cell r="A3482" t="str">
            <v>ST084-H2-M</v>
          </cell>
          <cell r="B3482" t="str">
            <v>ST084</v>
          </cell>
        </row>
        <row r="3483">
          <cell r="A3483" t="str">
            <v>ST084-H2-S</v>
          </cell>
          <cell r="B3483" t="str">
            <v>ST084</v>
          </cell>
        </row>
        <row r="3484">
          <cell r="A3484" t="str">
            <v>ST084-H2-XL</v>
          </cell>
          <cell r="B3484" t="str">
            <v>ST084</v>
          </cell>
        </row>
        <row r="3485">
          <cell r="A3485" t="str">
            <v>ST084-H2-XXL</v>
          </cell>
          <cell r="B3485" t="str">
            <v>ST084</v>
          </cell>
        </row>
        <row r="3486">
          <cell r="A3486" t="str">
            <v>ST084-H3-L</v>
          </cell>
          <cell r="B3486" t="str">
            <v>ST084</v>
          </cell>
        </row>
        <row r="3487">
          <cell r="A3487" t="str">
            <v>ST084-H3-M</v>
          </cell>
          <cell r="B3487" t="str">
            <v>ST084</v>
          </cell>
        </row>
        <row r="3488">
          <cell r="A3488" t="str">
            <v>ST084-H3-S</v>
          </cell>
          <cell r="B3488" t="str">
            <v>ST084</v>
          </cell>
        </row>
        <row r="3489">
          <cell r="A3489" t="str">
            <v>ST084-H3-XL</v>
          </cell>
          <cell r="B3489" t="str">
            <v>ST084</v>
          </cell>
        </row>
        <row r="3490">
          <cell r="A3490" t="str">
            <v>ST084-H3-XS</v>
          </cell>
          <cell r="B3490" t="str">
            <v>ST084</v>
          </cell>
        </row>
        <row r="3491">
          <cell r="A3491" t="str">
            <v>ST084-H3-XXL</v>
          </cell>
          <cell r="B3491" t="str">
            <v>ST084</v>
          </cell>
        </row>
        <row r="3492">
          <cell r="A3492" t="str">
            <v>ST084-H4-L</v>
          </cell>
          <cell r="B3492" t="str">
            <v>ST084</v>
          </cell>
        </row>
        <row r="3493">
          <cell r="A3493" t="str">
            <v>ST084-H4-M</v>
          </cell>
          <cell r="B3493" t="str">
            <v>ST084</v>
          </cell>
        </row>
        <row r="3494">
          <cell r="A3494" t="str">
            <v>ST084-H4-S</v>
          </cell>
          <cell r="B3494" t="str">
            <v>ST084</v>
          </cell>
        </row>
        <row r="3495">
          <cell r="A3495" t="str">
            <v>ST084-H4-XL</v>
          </cell>
          <cell r="B3495" t="str">
            <v>ST084</v>
          </cell>
        </row>
        <row r="3496">
          <cell r="A3496" t="str">
            <v>ST084-H4-XXL</v>
          </cell>
          <cell r="B3496" t="str">
            <v>ST084</v>
          </cell>
        </row>
        <row r="3497">
          <cell r="A3497" t="str">
            <v>ST084-H6-L</v>
          </cell>
          <cell r="B3497" t="str">
            <v>ST084</v>
          </cell>
        </row>
        <row r="3498">
          <cell r="A3498" t="str">
            <v>ST084-H6-M</v>
          </cell>
          <cell r="B3498" t="str">
            <v>ST084</v>
          </cell>
        </row>
        <row r="3499">
          <cell r="A3499" t="str">
            <v>ST084-H6-S</v>
          </cell>
          <cell r="B3499" t="str">
            <v>ST084</v>
          </cell>
        </row>
        <row r="3500">
          <cell r="A3500" t="str">
            <v>ST084-H6-XL</v>
          </cell>
          <cell r="B3500" t="str">
            <v>ST084</v>
          </cell>
        </row>
        <row r="3501">
          <cell r="A3501" t="str">
            <v>ST084-H6-XXL</v>
          </cell>
          <cell r="B3501" t="str">
            <v>ST084</v>
          </cell>
        </row>
        <row r="3502">
          <cell r="A3502" t="str">
            <v>ST085-G912-L</v>
          </cell>
          <cell r="B3502" t="str">
            <v>ST085</v>
          </cell>
        </row>
        <row r="3503">
          <cell r="A3503" t="str">
            <v>ST085-G912-M</v>
          </cell>
          <cell r="B3503" t="str">
            <v>ST085</v>
          </cell>
        </row>
        <row r="3504">
          <cell r="A3504" t="str">
            <v>ST085-G912-S</v>
          </cell>
          <cell r="B3504" t="str">
            <v>ST085</v>
          </cell>
        </row>
        <row r="3505">
          <cell r="A3505" t="str">
            <v>ST085-G912-XL</v>
          </cell>
          <cell r="B3505" t="str">
            <v>ST085</v>
          </cell>
        </row>
        <row r="3506">
          <cell r="A3506" t="str">
            <v>ST085-G912-XXL</v>
          </cell>
          <cell r="B3506" t="str">
            <v>ST085</v>
          </cell>
        </row>
        <row r="3507">
          <cell r="A3507" t="str">
            <v>ST085-LB916-L</v>
          </cell>
          <cell r="B3507" t="str">
            <v>ST085</v>
          </cell>
        </row>
        <row r="3508">
          <cell r="A3508" t="str">
            <v>ST085-LB916-M</v>
          </cell>
          <cell r="B3508" t="str">
            <v>ST085</v>
          </cell>
        </row>
        <row r="3509">
          <cell r="A3509" t="str">
            <v>ST085-LB916-S</v>
          </cell>
          <cell r="B3509" t="str">
            <v>ST085</v>
          </cell>
        </row>
        <row r="3510">
          <cell r="A3510" t="str">
            <v>ST085-LB916-XL</v>
          </cell>
          <cell r="B3510" t="str">
            <v>ST085</v>
          </cell>
        </row>
        <row r="3511">
          <cell r="A3511" t="str">
            <v>ST085-LB916-XXL</v>
          </cell>
          <cell r="B3511" t="str">
            <v>ST085</v>
          </cell>
        </row>
        <row r="3512">
          <cell r="A3512" t="str">
            <v>ST085-LG907-L</v>
          </cell>
          <cell r="B3512" t="str">
            <v>ST085</v>
          </cell>
        </row>
        <row r="3513">
          <cell r="A3513" t="str">
            <v>ST085-LG907-M</v>
          </cell>
          <cell r="B3513" t="str">
            <v>ST085</v>
          </cell>
        </row>
        <row r="3514">
          <cell r="A3514" t="str">
            <v>ST085-LG907-S</v>
          </cell>
          <cell r="B3514" t="str">
            <v>ST085</v>
          </cell>
        </row>
        <row r="3515">
          <cell r="A3515" t="str">
            <v>ST085-LG907-XL</v>
          </cell>
          <cell r="B3515" t="str">
            <v>ST085</v>
          </cell>
        </row>
        <row r="3516">
          <cell r="A3516" t="str">
            <v>ST085-LG907-XXL</v>
          </cell>
          <cell r="B3516" t="str">
            <v>ST085</v>
          </cell>
        </row>
        <row r="3517">
          <cell r="A3517" t="str">
            <v>ST085-PI908-L</v>
          </cell>
          <cell r="B3517" t="str">
            <v>ST085</v>
          </cell>
        </row>
        <row r="3518">
          <cell r="A3518" t="str">
            <v>ST085-PI908-M</v>
          </cell>
          <cell r="B3518" t="str">
            <v>ST085</v>
          </cell>
        </row>
        <row r="3519">
          <cell r="A3519" t="str">
            <v>ST085-PI908-S</v>
          </cell>
          <cell r="B3519" t="str">
            <v>ST085</v>
          </cell>
        </row>
        <row r="3520">
          <cell r="A3520" t="str">
            <v>ST085-PI908-XL</v>
          </cell>
          <cell r="B3520" t="str">
            <v>ST085</v>
          </cell>
        </row>
        <row r="3521">
          <cell r="A3521" t="str">
            <v>ST085-PI908-XS</v>
          </cell>
          <cell r="B3521" t="str">
            <v>ST085</v>
          </cell>
        </row>
        <row r="3522">
          <cell r="A3522" t="str">
            <v>ST085-PI908-XXL</v>
          </cell>
          <cell r="B3522" t="str">
            <v>ST085</v>
          </cell>
        </row>
        <row r="3523">
          <cell r="A3523" t="str">
            <v>ST085-R901-L</v>
          </cell>
          <cell r="B3523" t="str">
            <v>ST085</v>
          </cell>
        </row>
        <row r="3524">
          <cell r="A3524" t="str">
            <v>ST085-R901-M</v>
          </cell>
          <cell r="B3524" t="str">
            <v>ST085</v>
          </cell>
        </row>
        <row r="3525">
          <cell r="A3525" t="str">
            <v>ST085-R901-S</v>
          </cell>
          <cell r="B3525" t="str">
            <v>ST085</v>
          </cell>
        </row>
        <row r="3526">
          <cell r="A3526" t="str">
            <v>ST085-R901-XL</v>
          </cell>
          <cell r="B3526" t="str">
            <v>ST085</v>
          </cell>
        </row>
        <row r="3527">
          <cell r="A3527" t="str">
            <v>ST085-R901-XXL</v>
          </cell>
          <cell r="B3527" t="str">
            <v>ST085</v>
          </cell>
        </row>
        <row r="3528">
          <cell r="A3528" t="str">
            <v>ST085-Sa911-L</v>
          </cell>
          <cell r="B3528" t="str">
            <v>ST085</v>
          </cell>
        </row>
        <row r="3529">
          <cell r="A3529" t="str">
            <v>ST085-Sa911-M</v>
          </cell>
          <cell r="B3529" t="str">
            <v>ST085</v>
          </cell>
        </row>
        <row r="3530">
          <cell r="A3530" t="str">
            <v>ST085-Sa911-S</v>
          </cell>
          <cell r="B3530" t="str">
            <v>ST085</v>
          </cell>
        </row>
        <row r="3531">
          <cell r="A3531" t="str">
            <v>ST085-Sa911-XL</v>
          </cell>
          <cell r="B3531" t="str">
            <v>ST085</v>
          </cell>
        </row>
        <row r="3532">
          <cell r="A3532" t="str">
            <v>ST085-Sa911-XXL</v>
          </cell>
          <cell r="B3532" t="str">
            <v>ST085</v>
          </cell>
        </row>
        <row r="3533">
          <cell r="A3533" t="str">
            <v>ST085-W902-L</v>
          </cell>
          <cell r="B3533" t="str">
            <v>ST085</v>
          </cell>
        </row>
        <row r="3534">
          <cell r="A3534" t="str">
            <v>ST085-W902-M</v>
          </cell>
          <cell r="B3534" t="str">
            <v>ST085</v>
          </cell>
        </row>
        <row r="3535">
          <cell r="A3535" t="str">
            <v>ST085-W902-S</v>
          </cell>
          <cell r="B3535" t="str">
            <v>ST085</v>
          </cell>
        </row>
        <row r="3536">
          <cell r="A3536" t="str">
            <v>ST085-W902-XL</v>
          </cell>
          <cell r="B3536" t="str">
            <v>ST085</v>
          </cell>
        </row>
        <row r="3537">
          <cell r="A3537" t="str">
            <v>ST085-W902-XXL</v>
          </cell>
          <cell r="B3537" t="str">
            <v>ST085</v>
          </cell>
        </row>
        <row r="3538">
          <cell r="A3538" t="str">
            <v>ST085-WR917-L</v>
          </cell>
          <cell r="B3538" t="str">
            <v>ST085</v>
          </cell>
        </row>
        <row r="3539">
          <cell r="A3539" t="str">
            <v>ST085-WR917-M</v>
          </cell>
          <cell r="B3539" t="str">
            <v>ST085</v>
          </cell>
        </row>
        <row r="3540">
          <cell r="A3540" t="str">
            <v>ST085-WR917-S</v>
          </cell>
          <cell r="B3540" t="str">
            <v>ST085</v>
          </cell>
        </row>
        <row r="3541">
          <cell r="A3541" t="str">
            <v>ST085-WR917-XL</v>
          </cell>
          <cell r="B3541" t="str">
            <v>ST085</v>
          </cell>
        </row>
        <row r="3542">
          <cell r="A3542" t="str">
            <v>ST085-WR917-XS</v>
          </cell>
          <cell r="B3542" t="str">
            <v>ST085</v>
          </cell>
        </row>
        <row r="3543">
          <cell r="A3543" t="str">
            <v>ST085-WR917-XXL</v>
          </cell>
          <cell r="B3543" t="str">
            <v>ST085</v>
          </cell>
        </row>
        <row r="3544">
          <cell r="A3544" t="str">
            <v>ST085-ZL918-L</v>
          </cell>
          <cell r="B3544" t="str">
            <v>ST085</v>
          </cell>
        </row>
        <row r="3545">
          <cell r="A3545" t="str">
            <v>ST085-ZL918-M</v>
          </cell>
          <cell r="B3545" t="str">
            <v>ST085</v>
          </cell>
        </row>
        <row r="3546">
          <cell r="A3546" t="str">
            <v>ST085-ZL918-S</v>
          </cell>
          <cell r="B3546" t="str">
            <v>ST085</v>
          </cell>
        </row>
        <row r="3547">
          <cell r="A3547" t="str">
            <v>ST085-ZL918-XL</v>
          </cell>
          <cell r="B3547" t="str">
            <v>ST085</v>
          </cell>
        </row>
        <row r="3548">
          <cell r="A3548" t="str">
            <v>ST085-ZL918-XS</v>
          </cell>
          <cell r="B3548" t="str">
            <v>ST085</v>
          </cell>
        </row>
        <row r="3549">
          <cell r="A3549" t="str">
            <v>ST085-ZL918-XXL</v>
          </cell>
          <cell r="B3549" t="str">
            <v>ST085</v>
          </cell>
        </row>
        <row r="3550">
          <cell r="A3550" t="str">
            <v>ST086-B0-L</v>
          </cell>
          <cell r="B3550" t="str">
            <v>ST086</v>
          </cell>
        </row>
        <row r="3551">
          <cell r="A3551" t="str">
            <v>ST086-B0-M</v>
          </cell>
          <cell r="B3551" t="str">
            <v>ST086</v>
          </cell>
        </row>
        <row r="3552">
          <cell r="A3552" t="str">
            <v>ST086-B0-S</v>
          </cell>
          <cell r="B3552" t="str">
            <v>ST086</v>
          </cell>
        </row>
        <row r="3553">
          <cell r="A3553" t="str">
            <v>ST086-B0-XL</v>
          </cell>
          <cell r="B3553" t="str">
            <v>ST086</v>
          </cell>
        </row>
        <row r="3554">
          <cell r="A3554" t="str">
            <v>ST086-B0-XXL</v>
          </cell>
          <cell r="B3554" t="str">
            <v>ST086</v>
          </cell>
        </row>
        <row r="3555">
          <cell r="A3555" t="str">
            <v>ST086-LB-L</v>
          </cell>
          <cell r="B3555" t="str">
            <v>ST086</v>
          </cell>
        </row>
        <row r="3556">
          <cell r="A3556" t="str">
            <v>ST086-LB-M</v>
          </cell>
          <cell r="B3556" t="str">
            <v>ST086</v>
          </cell>
        </row>
        <row r="3557">
          <cell r="A3557" t="str">
            <v>ST086-LB-S</v>
          </cell>
          <cell r="B3557" t="str">
            <v>ST086</v>
          </cell>
        </row>
        <row r="3558">
          <cell r="A3558" t="str">
            <v>ST086-LB-XL</v>
          </cell>
          <cell r="B3558" t="str">
            <v>ST086</v>
          </cell>
        </row>
        <row r="3559">
          <cell r="A3559" t="str">
            <v>ST086-LB-XXL</v>
          </cell>
          <cell r="B3559" t="str">
            <v>ST086</v>
          </cell>
        </row>
        <row r="3560">
          <cell r="A3560" t="str">
            <v>ST086-N0-L</v>
          </cell>
          <cell r="B3560" t="str">
            <v>ST086</v>
          </cell>
        </row>
        <row r="3561">
          <cell r="A3561" t="str">
            <v>ST086-N0-M</v>
          </cell>
          <cell r="B3561" t="str">
            <v>ST086</v>
          </cell>
        </row>
        <row r="3562">
          <cell r="A3562" t="str">
            <v>ST086-N0-S</v>
          </cell>
          <cell r="B3562" t="str">
            <v>ST086</v>
          </cell>
        </row>
        <row r="3563">
          <cell r="A3563" t="str">
            <v>ST086-N0-XL</v>
          </cell>
          <cell r="B3563" t="str">
            <v>ST086</v>
          </cell>
        </row>
        <row r="3564">
          <cell r="A3564" t="str">
            <v>ST086-N0-XXL</v>
          </cell>
          <cell r="B3564" t="str">
            <v>ST086</v>
          </cell>
        </row>
        <row r="3565">
          <cell r="A3565" t="str">
            <v>ST122-B0-2XL</v>
          </cell>
          <cell r="B3565" t="str">
            <v>ST122</v>
          </cell>
        </row>
        <row r="3566">
          <cell r="A3566" t="str">
            <v>ST122-B0-L</v>
          </cell>
          <cell r="B3566" t="str">
            <v>ST122</v>
          </cell>
        </row>
        <row r="3567">
          <cell r="A3567" t="str">
            <v>ST122-B0-M</v>
          </cell>
          <cell r="B3567" t="str">
            <v>ST122</v>
          </cell>
        </row>
        <row r="3568">
          <cell r="A3568" t="str">
            <v>ST122-B0-S</v>
          </cell>
          <cell r="B3568" t="str">
            <v>ST122</v>
          </cell>
        </row>
        <row r="3569">
          <cell r="A3569" t="str">
            <v>ST122-B0-XL</v>
          </cell>
          <cell r="B3569" t="str">
            <v>ST122</v>
          </cell>
        </row>
        <row r="3570">
          <cell r="A3570" t="str">
            <v>ST122-B0-XS</v>
          </cell>
          <cell r="B3570" t="str">
            <v>ST122</v>
          </cell>
        </row>
        <row r="3571">
          <cell r="A3571" t="str">
            <v>ST122-N0-2XL</v>
          </cell>
          <cell r="B3571" t="str">
            <v>ST122</v>
          </cell>
        </row>
        <row r="3572">
          <cell r="A3572" t="str">
            <v>ST122-N0-L</v>
          </cell>
          <cell r="B3572" t="str">
            <v>ST122</v>
          </cell>
        </row>
        <row r="3573">
          <cell r="A3573" t="str">
            <v>ST122-N0-M</v>
          </cell>
          <cell r="B3573" t="str">
            <v>ST122</v>
          </cell>
        </row>
        <row r="3574">
          <cell r="A3574" t="str">
            <v>ST122-N0-S</v>
          </cell>
          <cell r="B3574" t="str">
            <v>ST122</v>
          </cell>
        </row>
        <row r="3575">
          <cell r="A3575" t="str">
            <v>ST122-N0-XL</v>
          </cell>
          <cell r="B3575" t="str">
            <v>ST122</v>
          </cell>
        </row>
        <row r="3576">
          <cell r="A3576" t="str">
            <v>ST122-N0-XS</v>
          </cell>
          <cell r="B3576" t="str">
            <v>ST122</v>
          </cell>
        </row>
        <row r="3577">
          <cell r="A3577" t="str">
            <v>ST122-WR-2XL</v>
          </cell>
          <cell r="B3577" t="str">
            <v>ST122</v>
          </cell>
        </row>
        <row r="3578">
          <cell r="A3578" t="str">
            <v>ST122-WR-L</v>
          </cell>
          <cell r="B3578" t="str">
            <v>ST122</v>
          </cell>
        </row>
        <row r="3579">
          <cell r="A3579" t="str">
            <v>ST122-WR-M</v>
          </cell>
          <cell r="B3579" t="str">
            <v>ST122</v>
          </cell>
        </row>
        <row r="3580">
          <cell r="A3580" t="str">
            <v>ST122-WR-S</v>
          </cell>
          <cell r="B3580" t="str">
            <v>ST122</v>
          </cell>
        </row>
        <row r="3581">
          <cell r="A3581" t="str">
            <v>ST122-WR-XL</v>
          </cell>
          <cell r="B3581" t="str">
            <v>ST122</v>
          </cell>
        </row>
        <row r="3582">
          <cell r="A3582" t="str">
            <v>ST122-WR-XS</v>
          </cell>
          <cell r="B3582" t="str">
            <v>ST122</v>
          </cell>
        </row>
        <row r="3583">
          <cell r="A3583" t="str">
            <v>ST155-AG-30</v>
          </cell>
          <cell r="B3583" t="str">
            <v>ST155</v>
          </cell>
        </row>
        <row r="3584">
          <cell r="A3584" t="str">
            <v>ST155-AG-32</v>
          </cell>
          <cell r="B3584" t="str">
            <v>ST155</v>
          </cell>
        </row>
        <row r="3585">
          <cell r="A3585" t="str">
            <v>ST155-AG-34</v>
          </cell>
          <cell r="B3585" t="str">
            <v>ST155</v>
          </cell>
        </row>
        <row r="3586">
          <cell r="A3586" t="str">
            <v>ST155-AG-36</v>
          </cell>
          <cell r="B3586" t="str">
            <v>ST155</v>
          </cell>
        </row>
        <row r="3587">
          <cell r="A3587" t="str">
            <v>ST155-AG-38</v>
          </cell>
          <cell r="B3587" t="str">
            <v>ST155</v>
          </cell>
        </row>
        <row r="3588">
          <cell r="A3588" t="str">
            <v>ST155-AG-40</v>
          </cell>
          <cell r="B3588" t="str">
            <v>ST155</v>
          </cell>
        </row>
        <row r="3589">
          <cell r="A3589" t="str">
            <v>ST155-AG-42</v>
          </cell>
          <cell r="B3589" t="str">
            <v>ST155</v>
          </cell>
        </row>
        <row r="3590">
          <cell r="A3590" t="str">
            <v>ST155-C34-Ca-30</v>
          </cell>
          <cell r="B3590" t="str">
            <v>ST155</v>
          </cell>
        </row>
        <row r="3591">
          <cell r="A3591" t="str">
            <v>ST155-C34-Ca-32</v>
          </cell>
          <cell r="B3591" t="str">
            <v>ST155</v>
          </cell>
        </row>
        <row r="3592">
          <cell r="A3592" t="str">
            <v>ST155-C34-Ca-34</v>
          </cell>
          <cell r="B3592" t="str">
            <v>ST155</v>
          </cell>
        </row>
        <row r="3593">
          <cell r="A3593" t="str">
            <v>ST155-C34-Ca-36</v>
          </cell>
          <cell r="B3593" t="str">
            <v>ST155</v>
          </cell>
        </row>
        <row r="3594">
          <cell r="A3594" t="str">
            <v>ST155-C34-Ca-38</v>
          </cell>
          <cell r="B3594" t="str">
            <v>ST155</v>
          </cell>
        </row>
        <row r="3595">
          <cell r="A3595" t="str">
            <v>ST155-C34-Ca-40</v>
          </cell>
          <cell r="B3595" t="str">
            <v>ST155</v>
          </cell>
        </row>
        <row r="3596">
          <cell r="A3596" t="str">
            <v>ST155-C34-Ca-42</v>
          </cell>
          <cell r="B3596" t="str">
            <v>ST155</v>
          </cell>
        </row>
        <row r="3597">
          <cell r="A3597" t="str">
            <v>ST155-K0-30</v>
          </cell>
          <cell r="B3597" t="str">
            <v>ST155</v>
          </cell>
        </row>
        <row r="3598">
          <cell r="A3598" t="str">
            <v>ST155-K0-32</v>
          </cell>
          <cell r="B3598" t="str">
            <v>ST155</v>
          </cell>
        </row>
        <row r="3599">
          <cell r="A3599" t="str">
            <v>ST155-K0-34</v>
          </cell>
          <cell r="B3599" t="str">
            <v>ST155</v>
          </cell>
        </row>
        <row r="3600">
          <cell r="A3600" t="str">
            <v>ST155-K0-36</v>
          </cell>
          <cell r="B3600" t="str">
            <v>ST155</v>
          </cell>
        </row>
        <row r="3601">
          <cell r="A3601" t="str">
            <v>ST155-K0-38</v>
          </cell>
          <cell r="B3601" t="str">
            <v>ST155</v>
          </cell>
        </row>
        <row r="3602">
          <cell r="A3602" t="str">
            <v>ST155-K0-40</v>
          </cell>
          <cell r="B3602" t="str">
            <v>ST155</v>
          </cell>
        </row>
        <row r="3603">
          <cell r="A3603" t="str">
            <v>ST155-K0-42</v>
          </cell>
          <cell r="B3603" t="str">
            <v>ST155</v>
          </cell>
        </row>
        <row r="3604">
          <cell r="A3604" t="str">
            <v>ST155-KQ-30</v>
          </cell>
          <cell r="B3604" t="str">
            <v>ST155</v>
          </cell>
        </row>
        <row r="3605">
          <cell r="A3605" t="str">
            <v>ST155-KQ-32</v>
          </cell>
          <cell r="B3605" t="str">
            <v>ST155</v>
          </cell>
        </row>
        <row r="3606">
          <cell r="A3606" t="str">
            <v>ST155-KQ-34</v>
          </cell>
          <cell r="B3606" t="str">
            <v>ST155</v>
          </cell>
        </row>
        <row r="3607">
          <cell r="A3607" t="str">
            <v>ST155-KQ-36</v>
          </cell>
          <cell r="B3607" t="str">
            <v>ST155</v>
          </cell>
        </row>
        <row r="3608">
          <cell r="A3608" t="str">
            <v>ST155-KQ-38</v>
          </cell>
          <cell r="B3608" t="str">
            <v>ST155</v>
          </cell>
        </row>
        <row r="3609">
          <cell r="A3609" t="str">
            <v>ST155-KQ-40</v>
          </cell>
          <cell r="B3609" t="str">
            <v>ST155</v>
          </cell>
        </row>
        <row r="3610">
          <cell r="A3610" t="str">
            <v>ST155-KQ-42</v>
          </cell>
          <cell r="B3610" t="str">
            <v>ST155</v>
          </cell>
        </row>
        <row r="3611">
          <cell r="A3611" t="str">
            <v>ST155-N0-30</v>
          </cell>
          <cell r="B3611" t="str">
            <v>ST155</v>
          </cell>
        </row>
        <row r="3612">
          <cell r="A3612" t="str">
            <v>ST155-N0-32</v>
          </cell>
          <cell r="B3612" t="str">
            <v>ST155</v>
          </cell>
        </row>
        <row r="3613">
          <cell r="A3613" t="str">
            <v>ST155-N0-34</v>
          </cell>
          <cell r="B3613" t="str">
            <v>ST155</v>
          </cell>
        </row>
        <row r="3614">
          <cell r="A3614" t="str">
            <v>ST155-N0-36</v>
          </cell>
          <cell r="B3614" t="str">
            <v>ST155</v>
          </cell>
        </row>
        <row r="3615">
          <cell r="A3615" t="str">
            <v>ST155-N0-38</v>
          </cell>
          <cell r="B3615" t="str">
            <v>ST155</v>
          </cell>
        </row>
        <row r="3616">
          <cell r="A3616" t="str">
            <v>ST155-N0-40</v>
          </cell>
          <cell r="B3616" t="str">
            <v>ST155</v>
          </cell>
        </row>
        <row r="3617">
          <cell r="A3617" t="str">
            <v>ST155-N0-42</v>
          </cell>
          <cell r="B3617" t="str">
            <v>ST155</v>
          </cell>
        </row>
        <row r="3618">
          <cell r="A3618" t="str">
            <v>ST166-B28-1-L</v>
          </cell>
          <cell r="B3618" t="str">
            <v>ST166</v>
          </cell>
        </row>
        <row r="3619">
          <cell r="A3619" t="str">
            <v>ST166-B28-1-M</v>
          </cell>
          <cell r="B3619" t="str">
            <v>ST166</v>
          </cell>
        </row>
        <row r="3620">
          <cell r="A3620" t="str">
            <v>ST166-B28-1-S</v>
          </cell>
          <cell r="B3620" t="str">
            <v>ST166</v>
          </cell>
        </row>
        <row r="3621">
          <cell r="A3621" t="str">
            <v>ST166-B28-1-XL</v>
          </cell>
          <cell r="B3621" t="str">
            <v>ST166</v>
          </cell>
        </row>
        <row r="3622">
          <cell r="A3622" t="str">
            <v>ST166-B28-1-XXL</v>
          </cell>
          <cell r="B3622" t="str">
            <v>ST166</v>
          </cell>
        </row>
        <row r="3623">
          <cell r="A3623" t="str">
            <v>ST166-B28-3-L</v>
          </cell>
          <cell r="B3623" t="str">
            <v>ST166</v>
          </cell>
        </row>
        <row r="3624">
          <cell r="A3624" t="str">
            <v>ST166-B28-3-M</v>
          </cell>
          <cell r="B3624" t="str">
            <v>ST166</v>
          </cell>
        </row>
        <row r="3625">
          <cell r="A3625" t="str">
            <v>ST166-B28-3-S</v>
          </cell>
          <cell r="B3625" t="str">
            <v>ST166</v>
          </cell>
        </row>
        <row r="3626">
          <cell r="A3626" t="str">
            <v>ST166-B28-3-XL</v>
          </cell>
          <cell r="B3626" t="str">
            <v>ST166</v>
          </cell>
        </row>
        <row r="3627">
          <cell r="A3627" t="str">
            <v>ST166-B28-3-XXL</v>
          </cell>
          <cell r="B3627" t="str">
            <v>ST166</v>
          </cell>
        </row>
        <row r="3628">
          <cell r="A3628" t="str">
            <v>ST166-B28-4-L</v>
          </cell>
          <cell r="B3628" t="str">
            <v>ST166</v>
          </cell>
        </row>
        <row r="3629">
          <cell r="A3629" t="str">
            <v>ST166-B28-4-M</v>
          </cell>
          <cell r="B3629" t="str">
            <v>ST166</v>
          </cell>
        </row>
        <row r="3630">
          <cell r="A3630" t="str">
            <v>ST166-B28-4-S</v>
          </cell>
          <cell r="B3630" t="str">
            <v>ST166</v>
          </cell>
        </row>
        <row r="3631">
          <cell r="A3631" t="str">
            <v>ST166-B28-4-XL</v>
          </cell>
          <cell r="B3631" t="str">
            <v>ST166</v>
          </cell>
        </row>
        <row r="3632">
          <cell r="A3632" t="str">
            <v>ST166-B28-4-XXL</v>
          </cell>
          <cell r="B3632" t="str">
            <v>ST166</v>
          </cell>
        </row>
        <row r="3633">
          <cell r="A3633" t="str">
            <v>ST166-B28-5-L</v>
          </cell>
          <cell r="B3633" t="str">
            <v>ST166</v>
          </cell>
        </row>
        <row r="3634">
          <cell r="A3634" t="str">
            <v>ST166-B28-5-M</v>
          </cell>
          <cell r="B3634" t="str">
            <v>ST166</v>
          </cell>
        </row>
        <row r="3635">
          <cell r="A3635" t="str">
            <v>ST166-B28-5-S</v>
          </cell>
          <cell r="B3635" t="str">
            <v>ST166</v>
          </cell>
        </row>
        <row r="3636">
          <cell r="A3636" t="str">
            <v>ST166-B28-5-XL</v>
          </cell>
          <cell r="B3636" t="str">
            <v>ST166</v>
          </cell>
        </row>
        <row r="3637">
          <cell r="A3637" t="str">
            <v>ST166-B28-5-XXL</v>
          </cell>
          <cell r="B3637" t="str">
            <v>ST166</v>
          </cell>
        </row>
        <row r="3638">
          <cell r="A3638" t="str">
            <v>ST166-K33-1-L</v>
          </cell>
          <cell r="B3638" t="str">
            <v>ST166</v>
          </cell>
        </row>
        <row r="3639">
          <cell r="A3639" t="str">
            <v>ST166-K33-1-M</v>
          </cell>
          <cell r="B3639" t="str">
            <v>ST166</v>
          </cell>
        </row>
        <row r="3640">
          <cell r="A3640" t="str">
            <v>ST166-K33-1-S</v>
          </cell>
          <cell r="B3640" t="str">
            <v>ST166</v>
          </cell>
        </row>
        <row r="3641">
          <cell r="A3641" t="str">
            <v>ST166-K33-1-XL</v>
          </cell>
          <cell r="B3641" t="str">
            <v>ST166</v>
          </cell>
        </row>
        <row r="3642">
          <cell r="A3642" t="str">
            <v>ST166-K33-1-XXL</v>
          </cell>
          <cell r="B3642" t="str">
            <v>ST166</v>
          </cell>
        </row>
        <row r="3643">
          <cell r="A3643" t="str">
            <v>ST166-K33-2-L</v>
          </cell>
          <cell r="B3643" t="str">
            <v>ST166</v>
          </cell>
        </row>
        <row r="3644">
          <cell r="A3644" t="str">
            <v>ST166-K33-2-M</v>
          </cell>
          <cell r="B3644" t="str">
            <v>ST166</v>
          </cell>
        </row>
        <row r="3645">
          <cell r="A3645" t="str">
            <v>ST166-K33-2-S</v>
          </cell>
          <cell r="B3645" t="str">
            <v>ST166</v>
          </cell>
        </row>
        <row r="3646">
          <cell r="A3646" t="str">
            <v>ST166-K33-2-XL</v>
          </cell>
          <cell r="B3646" t="str">
            <v>ST166</v>
          </cell>
        </row>
        <row r="3647">
          <cell r="A3647" t="str">
            <v>ST166-K33-2-XXL</v>
          </cell>
          <cell r="B3647" t="str">
            <v>ST166</v>
          </cell>
        </row>
        <row r="3648">
          <cell r="A3648" t="str">
            <v>ST166-K33-4-L</v>
          </cell>
          <cell r="B3648" t="str">
            <v>ST166</v>
          </cell>
        </row>
        <row r="3649">
          <cell r="A3649" t="str">
            <v>ST166-K33-4-M</v>
          </cell>
          <cell r="B3649" t="str">
            <v>ST166</v>
          </cell>
        </row>
        <row r="3650">
          <cell r="A3650" t="str">
            <v>ST166-K33-4-S</v>
          </cell>
          <cell r="B3650" t="str">
            <v>ST166</v>
          </cell>
        </row>
        <row r="3651">
          <cell r="A3651" t="str">
            <v>ST166-K33-4-XL</v>
          </cell>
          <cell r="B3651" t="str">
            <v>ST166</v>
          </cell>
        </row>
        <row r="3652">
          <cell r="A3652" t="str">
            <v>ST166-K33-4-XXL</v>
          </cell>
          <cell r="B3652" t="str">
            <v>ST166</v>
          </cell>
        </row>
        <row r="3653">
          <cell r="A3653" t="str">
            <v>ST166-K73-1-L</v>
          </cell>
          <cell r="B3653" t="str">
            <v>ST166</v>
          </cell>
        </row>
        <row r="3654">
          <cell r="A3654" t="str">
            <v>ST166-K73-1-M</v>
          </cell>
          <cell r="B3654" t="str">
            <v>ST166</v>
          </cell>
        </row>
        <row r="3655">
          <cell r="A3655" t="str">
            <v>ST166-K73-1-S</v>
          </cell>
          <cell r="B3655" t="str">
            <v>ST166</v>
          </cell>
        </row>
        <row r="3656">
          <cell r="A3656" t="str">
            <v>ST166-K73-1-XL</v>
          </cell>
          <cell r="B3656" t="str">
            <v>ST166</v>
          </cell>
        </row>
        <row r="3657">
          <cell r="A3657" t="str">
            <v>ST166-K73-1-XXL</v>
          </cell>
          <cell r="B3657" t="str">
            <v>ST166</v>
          </cell>
        </row>
        <row r="3658">
          <cell r="A3658" t="str">
            <v>ST166-K73-2-L</v>
          </cell>
          <cell r="B3658" t="str">
            <v>ST166</v>
          </cell>
        </row>
        <row r="3659">
          <cell r="A3659" t="str">
            <v>ST166-K73-2-M</v>
          </cell>
          <cell r="B3659" t="str">
            <v>ST166</v>
          </cell>
        </row>
        <row r="3660">
          <cell r="A3660" t="str">
            <v>ST166-K73-2-S</v>
          </cell>
          <cell r="B3660" t="str">
            <v>ST166</v>
          </cell>
        </row>
        <row r="3661">
          <cell r="A3661" t="str">
            <v>ST166-K73-2-XL</v>
          </cell>
          <cell r="B3661" t="str">
            <v>ST166</v>
          </cell>
        </row>
        <row r="3662">
          <cell r="A3662" t="str">
            <v>ST166-K73-2-XXL</v>
          </cell>
          <cell r="B3662" t="str">
            <v>ST166</v>
          </cell>
        </row>
        <row r="3663">
          <cell r="A3663" t="str">
            <v>ST167-BK-L</v>
          </cell>
          <cell r="B3663" t="str">
            <v>ST167</v>
          </cell>
        </row>
        <row r="3664">
          <cell r="A3664" t="str">
            <v>ST167-BK-M</v>
          </cell>
          <cell r="B3664" t="str">
            <v>ST167</v>
          </cell>
        </row>
        <row r="3665">
          <cell r="A3665" t="str">
            <v>ST167-BK-S</v>
          </cell>
          <cell r="B3665" t="str">
            <v>ST167</v>
          </cell>
        </row>
        <row r="3666">
          <cell r="A3666" t="str">
            <v>ST167-BK-XL</v>
          </cell>
          <cell r="B3666" t="str">
            <v>ST167</v>
          </cell>
        </row>
        <row r="3667">
          <cell r="A3667" t="str">
            <v>ST167-BK-XXL</v>
          </cell>
          <cell r="B3667" t="str">
            <v>ST167</v>
          </cell>
        </row>
        <row r="3668">
          <cell r="A3668" t="str">
            <v>ST167-K0-L</v>
          </cell>
          <cell r="B3668" t="str">
            <v>ST167</v>
          </cell>
        </row>
        <row r="3669">
          <cell r="A3669" t="str">
            <v>ST167-K0-M</v>
          </cell>
          <cell r="B3669" t="str">
            <v>ST167</v>
          </cell>
        </row>
        <row r="3670">
          <cell r="A3670" t="str">
            <v>ST167-K0-S</v>
          </cell>
          <cell r="B3670" t="str">
            <v>ST167</v>
          </cell>
        </row>
        <row r="3671">
          <cell r="A3671" t="str">
            <v>ST167-K0-XL</v>
          </cell>
          <cell r="B3671" t="str">
            <v>ST167</v>
          </cell>
        </row>
        <row r="3672">
          <cell r="A3672" t="str">
            <v>ST167-K0-XXL</v>
          </cell>
          <cell r="B3672" t="str">
            <v>ST167</v>
          </cell>
        </row>
        <row r="3673">
          <cell r="A3673" t="str">
            <v>ST167-N0-L</v>
          </cell>
          <cell r="B3673" t="str">
            <v>ST167</v>
          </cell>
        </row>
        <row r="3674">
          <cell r="A3674" t="str">
            <v>ST167-N0-M</v>
          </cell>
          <cell r="B3674" t="str">
            <v>ST167</v>
          </cell>
        </row>
        <row r="3675">
          <cell r="A3675" t="str">
            <v>ST167-N0-S</v>
          </cell>
          <cell r="B3675" t="str">
            <v>ST167</v>
          </cell>
        </row>
        <row r="3676">
          <cell r="A3676" t="str">
            <v>ST167-N0-XL</v>
          </cell>
          <cell r="B3676" t="str">
            <v>ST167</v>
          </cell>
        </row>
        <row r="3677">
          <cell r="A3677" t="str">
            <v>ST167-N0-XXL</v>
          </cell>
          <cell r="B3677" t="str">
            <v>ST167</v>
          </cell>
        </row>
        <row r="3678">
          <cell r="A3678" t="str">
            <v>ST167-R0-L</v>
          </cell>
          <cell r="B3678" t="str">
            <v>ST167</v>
          </cell>
        </row>
        <row r="3679">
          <cell r="A3679" t="str">
            <v>ST167-R0-M</v>
          </cell>
          <cell r="B3679" t="str">
            <v>ST167</v>
          </cell>
        </row>
        <row r="3680">
          <cell r="A3680" t="str">
            <v>ST167-R0-S</v>
          </cell>
          <cell r="B3680" t="str">
            <v>ST167</v>
          </cell>
        </row>
        <row r="3681">
          <cell r="A3681" t="str">
            <v>ST167-R0-XL</v>
          </cell>
          <cell r="B3681" t="str">
            <v>ST167</v>
          </cell>
        </row>
        <row r="3682">
          <cell r="A3682" t="str">
            <v>ST167-R0-XXL</v>
          </cell>
          <cell r="B3682" t="str">
            <v>ST167</v>
          </cell>
        </row>
        <row r="3683">
          <cell r="A3683" t="str">
            <v>ST167-W0-L</v>
          </cell>
          <cell r="B3683" t="str">
            <v>ST167</v>
          </cell>
        </row>
        <row r="3684">
          <cell r="A3684" t="str">
            <v>ST167-W0-M</v>
          </cell>
          <cell r="B3684" t="str">
            <v>ST167</v>
          </cell>
        </row>
        <row r="3685">
          <cell r="A3685" t="str">
            <v>ST167-W0-S</v>
          </cell>
          <cell r="B3685" t="str">
            <v>ST167</v>
          </cell>
        </row>
        <row r="3686">
          <cell r="A3686" t="str">
            <v>ST167-W0-XL</v>
          </cell>
          <cell r="B3686" t="str">
            <v>ST167</v>
          </cell>
        </row>
        <row r="3687">
          <cell r="A3687" t="str">
            <v>ST167-W0-XXL</v>
          </cell>
          <cell r="B3687" t="str">
            <v>ST167</v>
          </cell>
        </row>
        <row r="3688">
          <cell r="A3688" t="str">
            <v>ST168-311-4E-L</v>
          </cell>
          <cell r="B3688" t="str">
            <v>ST168</v>
          </cell>
        </row>
        <row r="3689">
          <cell r="A3689" t="str">
            <v>ST168-311-4E-M</v>
          </cell>
          <cell r="B3689" t="str">
            <v>ST168</v>
          </cell>
        </row>
        <row r="3690">
          <cell r="A3690" t="str">
            <v>ST168-311-4E-XL</v>
          </cell>
          <cell r="B3690" t="str">
            <v>ST168</v>
          </cell>
        </row>
        <row r="3691">
          <cell r="A3691" t="str">
            <v>ST168-311-4F-L</v>
          </cell>
          <cell r="B3691" t="str">
            <v>ST168</v>
          </cell>
        </row>
        <row r="3692">
          <cell r="A3692" t="str">
            <v>ST168-311-4F-M</v>
          </cell>
          <cell r="B3692" t="str">
            <v>ST168</v>
          </cell>
        </row>
        <row r="3693">
          <cell r="A3693" t="str">
            <v>ST168-311-4F-XL</v>
          </cell>
          <cell r="B3693" t="str">
            <v>ST168</v>
          </cell>
        </row>
        <row r="3694">
          <cell r="A3694" t="str">
            <v>ST168-311-4H-L</v>
          </cell>
          <cell r="B3694" t="str">
            <v>ST168</v>
          </cell>
        </row>
        <row r="3695">
          <cell r="A3695" t="str">
            <v>ST168-311-4H-M</v>
          </cell>
          <cell r="B3695" t="str">
            <v>ST168</v>
          </cell>
        </row>
        <row r="3696">
          <cell r="A3696" t="str">
            <v>ST168-311-4H-XL</v>
          </cell>
          <cell r="B3696" t="str">
            <v>ST168</v>
          </cell>
        </row>
        <row r="3697">
          <cell r="A3697" t="str">
            <v>ST168-311-76A-L</v>
          </cell>
          <cell r="B3697" t="str">
            <v>ST168</v>
          </cell>
        </row>
        <row r="3698">
          <cell r="A3698" t="str">
            <v>ST168-311-76A-M</v>
          </cell>
          <cell r="B3698" t="str">
            <v>ST168</v>
          </cell>
        </row>
        <row r="3699">
          <cell r="A3699" t="str">
            <v>ST168-311-76A-XL</v>
          </cell>
          <cell r="B3699" t="str">
            <v>ST168</v>
          </cell>
        </row>
        <row r="3700">
          <cell r="A3700" t="str">
            <v>ST168-311-76C-L</v>
          </cell>
          <cell r="B3700" t="str">
            <v>ST168</v>
          </cell>
        </row>
        <row r="3701">
          <cell r="A3701" t="str">
            <v>ST168-311-76C-M</v>
          </cell>
          <cell r="B3701" t="str">
            <v>ST168</v>
          </cell>
        </row>
        <row r="3702">
          <cell r="A3702" t="str">
            <v>ST168-311-76C-XL</v>
          </cell>
          <cell r="B3702" t="str">
            <v>ST168</v>
          </cell>
        </row>
        <row r="3703">
          <cell r="A3703" t="str">
            <v>ST168-311-76D-L</v>
          </cell>
          <cell r="B3703" t="str">
            <v>ST168</v>
          </cell>
        </row>
        <row r="3704">
          <cell r="A3704" t="str">
            <v>ST168-311-76D-M</v>
          </cell>
          <cell r="B3704" t="str">
            <v>ST168</v>
          </cell>
        </row>
        <row r="3705">
          <cell r="A3705" t="str">
            <v>ST168-311-76D-XL</v>
          </cell>
          <cell r="B3705" t="str">
            <v>ST168</v>
          </cell>
        </row>
        <row r="3706">
          <cell r="A3706" t="str">
            <v>ST168-HSJK-168A-L</v>
          </cell>
          <cell r="B3706" t="str">
            <v>ST168</v>
          </cell>
        </row>
        <row r="3707">
          <cell r="A3707" t="str">
            <v>ST168-HSJK-168A-M</v>
          </cell>
          <cell r="B3707" t="str">
            <v>ST168</v>
          </cell>
        </row>
        <row r="3708">
          <cell r="A3708" t="str">
            <v>ST168-HSJK-168A-XL</v>
          </cell>
          <cell r="B3708" t="str">
            <v>ST168</v>
          </cell>
        </row>
        <row r="3709">
          <cell r="A3709" t="str">
            <v>ST168-HSJK-168B-L</v>
          </cell>
          <cell r="B3709" t="str">
            <v>ST168</v>
          </cell>
        </row>
        <row r="3710">
          <cell r="A3710" t="str">
            <v>ST168-HSJK-168B-M</v>
          </cell>
          <cell r="B3710" t="str">
            <v>ST168</v>
          </cell>
        </row>
        <row r="3711">
          <cell r="A3711" t="str">
            <v>ST168-HSJK-168B-XL</v>
          </cell>
          <cell r="B3711" t="str">
            <v>ST168</v>
          </cell>
        </row>
        <row r="3712">
          <cell r="A3712" t="str">
            <v>ST168-HSJK-168C-L</v>
          </cell>
          <cell r="B3712" t="str">
            <v>ST168</v>
          </cell>
        </row>
        <row r="3713">
          <cell r="A3713" t="str">
            <v>ST168-HSJK-168C-M</v>
          </cell>
          <cell r="B3713" t="str">
            <v>ST168</v>
          </cell>
        </row>
        <row r="3714">
          <cell r="A3714" t="str">
            <v>ST168-HSJK-168C-XL</v>
          </cell>
          <cell r="B3714" t="str">
            <v>ST168</v>
          </cell>
        </row>
        <row r="3715">
          <cell r="A3715" t="str">
            <v>ST168-K77-1-L</v>
          </cell>
          <cell r="B3715" t="str">
            <v>ST168</v>
          </cell>
        </row>
        <row r="3716">
          <cell r="A3716" t="str">
            <v>ST168-K77-1-M</v>
          </cell>
          <cell r="B3716" t="str">
            <v>ST168</v>
          </cell>
        </row>
        <row r="3717">
          <cell r="A3717" t="str">
            <v>ST168-K77-1-XL</v>
          </cell>
          <cell r="B3717" t="str">
            <v>ST168</v>
          </cell>
        </row>
        <row r="3718">
          <cell r="A3718" t="str">
            <v>ST168-K77-2-L</v>
          </cell>
          <cell r="B3718" t="str">
            <v>ST168</v>
          </cell>
        </row>
        <row r="3719">
          <cell r="A3719" t="str">
            <v>ST168-K77-2-M</v>
          </cell>
          <cell r="B3719" t="str">
            <v>ST168</v>
          </cell>
        </row>
        <row r="3720">
          <cell r="A3720" t="str">
            <v>ST168-K77-2-XL</v>
          </cell>
          <cell r="B3720" t="str">
            <v>ST168</v>
          </cell>
        </row>
        <row r="3721">
          <cell r="A3721" t="str">
            <v>ST168-K77-4-L</v>
          </cell>
          <cell r="B3721" t="str">
            <v>ST168</v>
          </cell>
        </row>
        <row r="3722">
          <cell r="A3722" t="str">
            <v>ST168-K77-4-M</v>
          </cell>
          <cell r="B3722" t="str">
            <v>ST168</v>
          </cell>
        </row>
        <row r="3723">
          <cell r="A3723" t="str">
            <v>ST168-K77-4-XL</v>
          </cell>
          <cell r="B3723" t="str">
            <v>ST168</v>
          </cell>
        </row>
        <row r="3724">
          <cell r="A3724" t="str">
            <v>ST170-GN-L</v>
          </cell>
          <cell r="B3724" t="str">
            <v>ST170</v>
          </cell>
        </row>
        <row r="3725">
          <cell r="A3725" t="str">
            <v>ST170-GN-M</v>
          </cell>
          <cell r="B3725" t="str">
            <v>ST170</v>
          </cell>
        </row>
        <row r="3726">
          <cell r="A3726" t="str">
            <v>ST170-GN-S</v>
          </cell>
          <cell r="B3726" t="str">
            <v>ST170</v>
          </cell>
        </row>
        <row r="3727">
          <cell r="A3727" t="str">
            <v>ST170-GN-XL</v>
          </cell>
          <cell r="B3727" t="str">
            <v>ST170</v>
          </cell>
        </row>
        <row r="3728">
          <cell r="A3728" t="str">
            <v>ST170-GN-XXL</v>
          </cell>
          <cell r="B3728" t="str">
            <v>ST170</v>
          </cell>
        </row>
        <row r="3729">
          <cell r="A3729" t="str">
            <v>ST170-LB-L</v>
          </cell>
          <cell r="B3729" t="str">
            <v>ST170</v>
          </cell>
        </row>
        <row r="3730">
          <cell r="A3730" t="str">
            <v>ST170-LB-M</v>
          </cell>
          <cell r="B3730" t="str">
            <v>ST170</v>
          </cell>
        </row>
        <row r="3731">
          <cell r="A3731" t="str">
            <v>ST170-LB-S</v>
          </cell>
          <cell r="B3731" t="str">
            <v>ST170</v>
          </cell>
        </row>
        <row r="3732">
          <cell r="A3732" t="str">
            <v>ST170-LB-XL</v>
          </cell>
          <cell r="B3732" t="str">
            <v>ST170</v>
          </cell>
        </row>
        <row r="3733">
          <cell r="A3733" t="str">
            <v>ST170-LB-XXL</v>
          </cell>
          <cell r="B3733" t="str">
            <v>ST170</v>
          </cell>
        </row>
        <row r="3734">
          <cell r="A3734" t="str">
            <v>ST170-LG-L</v>
          </cell>
          <cell r="B3734" t="str">
            <v>ST170</v>
          </cell>
        </row>
        <row r="3735">
          <cell r="A3735" t="str">
            <v>ST170-LG-M</v>
          </cell>
          <cell r="B3735" t="str">
            <v>ST170</v>
          </cell>
        </row>
        <row r="3736">
          <cell r="A3736" t="str">
            <v>ST170-LG-S</v>
          </cell>
          <cell r="B3736" t="str">
            <v>ST170</v>
          </cell>
        </row>
        <row r="3737">
          <cell r="A3737" t="str">
            <v>ST170-LG-XL</v>
          </cell>
          <cell r="B3737" t="str">
            <v>ST170</v>
          </cell>
        </row>
        <row r="3738">
          <cell r="A3738" t="str">
            <v>ST170-LG-XXL</v>
          </cell>
          <cell r="B3738" t="str">
            <v>ST170</v>
          </cell>
        </row>
        <row r="3739">
          <cell r="A3739" t="str">
            <v>ST170-PK-L</v>
          </cell>
          <cell r="B3739" t="str">
            <v>ST170</v>
          </cell>
        </row>
        <row r="3740">
          <cell r="A3740" t="str">
            <v>ST170-PK-M</v>
          </cell>
          <cell r="B3740" t="str">
            <v>ST170</v>
          </cell>
        </row>
        <row r="3741">
          <cell r="A3741" t="str">
            <v>ST170-PK-S</v>
          </cell>
          <cell r="B3741" t="str">
            <v>ST170</v>
          </cell>
        </row>
        <row r="3742">
          <cell r="A3742" t="str">
            <v>ST170-PK-XL</v>
          </cell>
          <cell r="B3742" t="str">
            <v>ST170</v>
          </cell>
        </row>
        <row r="3743">
          <cell r="A3743" t="str">
            <v>ST170-PK-XXL</v>
          </cell>
          <cell r="B3743" t="str">
            <v>ST170</v>
          </cell>
        </row>
        <row r="3744">
          <cell r="A3744" t="str">
            <v>ST170-SA-L</v>
          </cell>
          <cell r="B3744" t="str">
            <v>ST170</v>
          </cell>
        </row>
        <row r="3745">
          <cell r="A3745" t="str">
            <v>ST170-SA-M</v>
          </cell>
          <cell r="B3745" t="str">
            <v>ST170</v>
          </cell>
        </row>
        <row r="3746">
          <cell r="A3746" t="str">
            <v>ST170-SA-S</v>
          </cell>
          <cell r="B3746" t="str">
            <v>ST170</v>
          </cell>
        </row>
        <row r="3747">
          <cell r="A3747" t="str">
            <v>ST170-SA-XL</v>
          </cell>
          <cell r="B3747" t="str">
            <v>ST170</v>
          </cell>
        </row>
        <row r="3748">
          <cell r="A3748" t="str">
            <v>ST170-SA-XXL</v>
          </cell>
          <cell r="B3748" t="str">
            <v>ST170</v>
          </cell>
        </row>
        <row r="3749">
          <cell r="A3749" t="str">
            <v>ST170-WR-L</v>
          </cell>
          <cell r="B3749" t="str">
            <v>ST170</v>
          </cell>
        </row>
        <row r="3750">
          <cell r="A3750" t="str">
            <v>ST170-WR-M</v>
          </cell>
          <cell r="B3750" t="str">
            <v>ST170</v>
          </cell>
        </row>
        <row r="3751">
          <cell r="A3751" t="str">
            <v>ST170-WR-S</v>
          </cell>
          <cell r="B3751" t="str">
            <v>ST170</v>
          </cell>
        </row>
        <row r="3752">
          <cell r="A3752" t="str">
            <v>ST170-WR-XL</v>
          </cell>
          <cell r="B3752" t="str">
            <v>ST170</v>
          </cell>
        </row>
        <row r="3753">
          <cell r="A3753" t="str">
            <v>ST170-WR-XXL</v>
          </cell>
          <cell r="B3753" t="str">
            <v>ST170</v>
          </cell>
        </row>
        <row r="3754">
          <cell r="A3754" t="str">
            <v>ST170-WT-L</v>
          </cell>
          <cell r="B3754" t="str">
            <v>ST170</v>
          </cell>
        </row>
        <row r="3755">
          <cell r="A3755" t="str">
            <v>ST170-WT-M</v>
          </cell>
          <cell r="B3755" t="str">
            <v>ST170</v>
          </cell>
        </row>
        <row r="3756">
          <cell r="A3756" t="str">
            <v>ST170-WT-S</v>
          </cell>
          <cell r="B3756" t="str">
            <v>ST170</v>
          </cell>
        </row>
        <row r="3757">
          <cell r="A3757" t="str">
            <v>ST170-WT-XL</v>
          </cell>
          <cell r="B3757" t="str">
            <v>ST170</v>
          </cell>
        </row>
        <row r="3758">
          <cell r="A3758" t="str">
            <v>ST170-WT-XXL</v>
          </cell>
          <cell r="B3758" t="str">
            <v>ST170</v>
          </cell>
        </row>
        <row r="3759">
          <cell r="A3759" t="str">
            <v>ST170-ZL-L</v>
          </cell>
          <cell r="B3759" t="str">
            <v>ST170</v>
          </cell>
        </row>
        <row r="3760">
          <cell r="A3760" t="str">
            <v>ST170-ZL-M</v>
          </cell>
          <cell r="B3760" t="str">
            <v>ST170</v>
          </cell>
        </row>
        <row r="3761">
          <cell r="A3761" t="str">
            <v>ST170-ZL-S</v>
          </cell>
          <cell r="B3761" t="str">
            <v>ST170</v>
          </cell>
        </row>
        <row r="3762">
          <cell r="A3762" t="str">
            <v>ST170-ZL-XL</v>
          </cell>
          <cell r="B3762" t="str">
            <v>ST170</v>
          </cell>
        </row>
        <row r="3763">
          <cell r="A3763" t="str">
            <v>ST170-ZL-XXL</v>
          </cell>
          <cell r="B3763" t="str">
            <v>ST170</v>
          </cell>
        </row>
        <row r="3764">
          <cell r="A3764" t="str">
            <v>ST171-G912-L</v>
          </cell>
          <cell r="B3764" t="str">
            <v>ST171</v>
          </cell>
        </row>
        <row r="3765">
          <cell r="A3765" t="str">
            <v>ST171-G912-M</v>
          </cell>
          <cell r="B3765" t="str">
            <v>ST171</v>
          </cell>
        </row>
        <row r="3766">
          <cell r="A3766" t="str">
            <v>ST171-G912-S</v>
          </cell>
          <cell r="B3766" t="str">
            <v>ST171</v>
          </cell>
        </row>
        <row r="3767">
          <cell r="A3767" t="str">
            <v>ST171-G912-XL</v>
          </cell>
          <cell r="B3767" t="str">
            <v>ST171</v>
          </cell>
        </row>
        <row r="3768">
          <cell r="A3768" t="str">
            <v>ST171-G912-XXL</v>
          </cell>
          <cell r="B3768" t="str">
            <v>ST171</v>
          </cell>
        </row>
        <row r="3769">
          <cell r="A3769" t="str">
            <v>ST171-LB916-L</v>
          </cell>
          <cell r="B3769" t="str">
            <v>ST171</v>
          </cell>
        </row>
        <row r="3770">
          <cell r="A3770" t="str">
            <v>ST171-LB916-M</v>
          </cell>
          <cell r="B3770" t="str">
            <v>ST171</v>
          </cell>
        </row>
        <row r="3771">
          <cell r="A3771" t="str">
            <v>ST171-LB916-S</v>
          </cell>
          <cell r="B3771" t="str">
            <v>ST171</v>
          </cell>
        </row>
        <row r="3772">
          <cell r="A3772" t="str">
            <v>ST171-LB916-XL</v>
          </cell>
          <cell r="B3772" t="str">
            <v>ST171</v>
          </cell>
        </row>
        <row r="3773">
          <cell r="A3773" t="str">
            <v>ST171-LB916-XXL</v>
          </cell>
          <cell r="B3773" t="str">
            <v>ST171</v>
          </cell>
        </row>
        <row r="3774">
          <cell r="A3774" t="str">
            <v>ST171-LG907-L</v>
          </cell>
          <cell r="B3774" t="str">
            <v>ST171</v>
          </cell>
        </row>
        <row r="3775">
          <cell r="A3775" t="str">
            <v>ST171-LG907-M</v>
          </cell>
          <cell r="B3775" t="str">
            <v>ST171</v>
          </cell>
        </row>
        <row r="3776">
          <cell r="A3776" t="str">
            <v>ST171-LG907-S</v>
          </cell>
          <cell r="B3776" t="str">
            <v>ST171</v>
          </cell>
        </row>
        <row r="3777">
          <cell r="A3777" t="str">
            <v>ST171-LG907-XL</v>
          </cell>
          <cell r="B3777" t="str">
            <v>ST171</v>
          </cell>
        </row>
        <row r="3778">
          <cell r="A3778" t="str">
            <v>ST171-LG907-XXL</v>
          </cell>
          <cell r="B3778" t="str">
            <v>ST171</v>
          </cell>
        </row>
        <row r="3779">
          <cell r="A3779" t="str">
            <v>ST171-PI908-L</v>
          </cell>
          <cell r="B3779" t="str">
            <v>ST171</v>
          </cell>
        </row>
        <row r="3780">
          <cell r="A3780" t="str">
            <v>ST171-PI908-M</v>
          </cell>
          <cell r="B3780" t="str">
            <v>ST171</v>
          </cell>
        </row>
        <row r="3781">
          <cell r="A3781" t="str">
            <v>ST171-PI908-S</v>
          </cell>
          <cell r="B3781" t="str">
            <v>ST171</v>
          </cell>
        </row>
        <row r="3782">
          <cell r="A3782" t="str">
            <v>ST171-PI908-XL</v>
          </cell>
          <cell r="B3782" t="str">
            <v>ST171</v>
          </cell>
        </row>
        <row r="3783">
          <cell r="A3783" t="str">
            <v>ST171-PI908-XXL</v>
          </cell>
          <cell r="B3783" t="str">
            <v>ST171</v>
          </cell>
        </row>
        <row r="3784">
          <cell r="A3784" t="str">
            <v>ST171-Sa911-L</v>
          </cell>
          <cell r="B3784" t="str">
            <v>ST171</v>
          </cell>
        </row>
        <row r="3785">
          <cell r="A3785" t="str">
            <v>ST171-Sa911-M</v>
          </cell>
          <cell r="B3785" t="str">
            <v>ST171</v>
          </cell>
        </row>
        <row r="3786">
          <cell r="A3786" t="str">
            <v>ST171-Sa911-S</v>
          </cell>
          <cell r="B3786" t="str">
            <v>ST171</v>
          </cell>
        </row>
        <row r="3787">
          <cell r="A3787" t="str">
            <v>ST171-Sa911-XL</v>
          </cell>
          <cell r="B3787" t="str">
            <v>ST171</v>
          </cell>
        </row>
        <row r="3788">
          <cell r="A3788" t="str">
            <v>ST171-Sa911-XXL</v>
          </cell>
          <cell r="B3788" t="str">
            <v>ST171</v>
          </cell>
        </row>
        <row r="3789">
          <cell r="A3789" t="str">
            <v>ST171-W902-L</v>
          </cell>
          <cell r="B3789" t="str">
            <v>ST171</v>
          </cell>
        </row>
        <row r="3790">
          <cell r="A3790" t="str">
            <v>ST171-W902-M</v>
          </cell>
          <cell r="B3790" t="str">
            <v>ST171</v>
          </cell>
        </row>
        <row r="3791">
          <cell r="A3791" t="str">
            <v>ST171-W902-S</v>
          </cell>
          <cell r="B3791" t="str">
            <v>ST171</v>
          </cell>
        </row>
        <row r="3792">
          <cell r="A3792" t="str">
            <v>ST171-W902-XL</v>
          </cell>
          <cell r="B3792" t="str">
            <v>ST171</v>
          </cell>
        </row>
        <row r="3793">
          <cell r="A3793" t="str">
            <v>ST171-W902-XXL</v>
          </cell>
          <cell r="B3793" t="str">
            <v>ST171</v>
          </cell>
        </row>
        <row r="3794">
          <cell r="A3794" t="str">
            <v>ST171-WR917-L</v>
          </cell>
          <cell r="B3794" t="str">
            <v>ST171</v>
          </cell>
        </row>
        <row r="3795">
          <cell r="A3795" t="str">
            <v>ST171-WR917-M</v>
          </cell>
          <cell r="B3795" t="str">
            <v>ST171</v>
          </cell>
        </row>
        <row r="3796">
          <cell r="A3796" t="str">
            <v>ST171-WR917-S</v>
          </cell>
          <cell r="B3796" t="str">
            <v>ST171</v>
          </cell>
        </row>
        <row r="3797">
          <cell r="A3797" t="str">
            <v>ST171-WR917-XL</v>
          </cell>
          <cell r="B3797" t="str">
            <v>ST171</v>
          </cell>
        </row>
        <row r="3798">
          <cell r="A3798" t="str">
            <v>ST171-WR917-XXL</v>
          </cell>
          <cell r="B3798" t="str">
            <v>ST171</v>
          </cell>
        </row>
        <row r="3799">
          <cell r="A3799" t="str">
            <v>ST171-ZL918-L</v>
          </cell>
          <cell r="B3799" t="str">
            <v>ST171</v>
          </cell>
        </row>
        <row r="3800">
          <cell r="A3800" t="str">
            <v>ST171-ZL918-M</v>
          </cell>
          <cell r="B3800" t="str">
            <v>ST171</v>
          </cell>
        </row>
        <row r="3801">
          <cell r="A3801" t="str">
            <v>ST171-ZL918-S</v>
          </cell>
          <cell r="B3801" t="str">
            <v>ST171</v>
          </cell>
        </row>
        <row r="3802">
          <cell r="A3802" t="str">
            <v>ST171-ZL918-XL</v>
          </cell>
          <cell r="B3802" t="str">
            <v>ST171</v>
          </cell>
        </row>
        <row r="3803">
          <cell r="A3803" t="str">
            <v>ST171-ZL918-XXL</v>
          </cell>
          <cell r="B3803" t="str">
            <v>ST171</v>
          </cell>
        </row>
        <row r="3804">
          <cell r="A3804" t="str">
            <v>ST172-BK-L</v>
          </cell>
          <cell r="B3804" t="str">
            <v>ST172</v>
          </cell>
        </row>
        <row r="3805">
          <cell r="A3805" t="str">
            <v>ST172-BK-M</v>
          </cell>
          <cell r="B3805" t="str">
            <v>ST172</v>
          </cell>
        </row>
        <row r="3806">
          <cell r="A3806" t="str">
            <v>ST172-BK-S</v>
          </cell>
          <cell r="B3806" t="str">
            <v>ST172</v>
          </cell>
        </row>
        <row r="3807">
          <cell r="A3807" t="str">
            <v>ST172-BK-XL</v>
          </cell>
          <cell r="B3807" t="str">
            <v>ST172</v>
          </cell>
        </row>
        <row r="3808">
          <cell r="A3808" t="str">
            <v>ST172-BK-XXL</v>
          </cell>
          <cell r="B3808" t="str">
            <v>ST172</v>
          </cell>
        </row>
        <row r="3809">
          <cell r="A3809" t="str">
            <v>ST172-BL-L</v>
          </cell>
          <cell r="B3809" t="str">
            <v>ST172</v>
          </cell>
        </row>
        <row r="3810">
          <cell r="A3810" t="str">
            <v>ST172-BL-M</v>
          </cell>
          <cell r="B3810" t="str">
            <v>ST172</v>
          </cell>
        </row>
        <row r="3811">
          <cell r="A3811" t="str">
            <v>ST172-BL-S</v>
          </cell>
          <cell r="B3811" t="str">
            <v>ST172</v>
          </cell>
        </row>
        <row r="3812">
          <cell r="A3812" t="str">
            <v>ST172-BL-XL</v>
          </cell>
          <cell r="B3812" t="str">
            <v>ST172</v>
          </cell>
        </row>
        <row r="3813">
          <cell r="A3813" t="str">
            <v>ST172-BL-XXL</v>
          </cell>
          <cell r="B3813" t="str">
            <v>ST172</v>
          </cell>
        </row>
        <row r="3814">
          <cell r="A3814" t="str">
            <v>ST172-GR-L</v>
          </cell>
          <cell r="B3814" t="str">
            <v>ST172</v>
          </cell>
        </row>
        <row r="3815">
          <cell r="A3815" t="str">
            <v>ST172-GR-M</v>
          </cell>
          <cell r="B3815" t="str">
            <v>ST172</v>
          </cell>
        </row>
        <row r="3816">
          <cell r="A3816" t="str">
            <v>ST172-GR-S</v>
          </cell>
          <cell r="B3816" t="str">
            <v>ST172</v>
          </cell>
        </row>
        <row r="3817">
          <cell r="A3817" t="str">
            <v>ST172-GR-XL</v>
          </cell>
          <cell r="B3817" t="str">
            <v>ST172</v>
          </cell>
        </row>
        <row r="3818">
          <cell r="A3818" t="str">
            <v>ST172-GR-XXL</v>
          </cell>
          <cell r="B3818" t="str">
            <v>ST172</v>
          </cell>
        </row>
        <row r="3819">
          <cell r="A3819" t="str">
            <v>ST172-NY-L</v>
          </cell>
          <cell r="B3819" t="str">
            <v>ST172</v>
          </cell>
        </row>
        <row r="3820">
          <cell r="A3820" t="str">
            <v>ST172-NY-M</v>
          </cell>
          <cell r="B3820" t="str">
            <v>ST172</v>
          </cell>
        </row>
        <row r="3821">
          <cell r="A3821" t="str">
            <v>ST172-NY-S</v>
          </cell>
          <cell r="B3821" t="str">
            <v>ST172</v>
          </cell>
        </row>
        <row r="3822">
          <cell r="A3822" t="str">
            <v>ST172-NY-XL</v>
          </cell>
          <cell r="B3822" t="str">
            <v>ST172</v>
          </cell>
        </row>
        <row r="3823">
          <cell r="A3823" t="str">
            <v>ST172-NY-XXL</v>
          </cell>
          <cell r="B3823" t="str">
            <v>ST172</v>
          </cell>
        </row>
        <row r="3824">
          <cell r="A3824" t="str">
            <v>ST172-PK-L</v>
          </cell>
          <cell r="B3824" t="str">
            <v>ST172</v>
          </cell>
        </row>
        <row r="3825">
          <cell r="A3825" t="str">
            <v>ST172-PK-M</v>
          </cell>
          <cell r="B3825" t="str">
            <v>ST172</v>
          </cell>
        </row>
        <row r="3826">
          <cell r="A3826" t="str">
            <v>ST172-PK-S</v>
          </cell>
          <cell r="B3826" t="str">
            <v>ST172</v>
          </cell>
        </row>
        <row r="3827">
          <cell r="A3827" t="str">
            <v>ST172-PK-XL</v>
          </cell>
          <cell r="B3827" t="str">
            <v>ST172</v>
          </cell>
        </row>
        <row r="3828">
          <cell r="A3828" t="str">
            <v>ST172-PK-XXL</v>
          </cell>
          <cell r="B3828" t="str">
            <v>ST172</v>
          </cell>
        </row>
        <row r="3829">
          <cell r="A3829" t="str">
            <v>ST172-PP-L</v>
          </cell>
          <cell r="B3829" t="str">
            <v>ST172</v>
          </cell>
        </row>
        <row r="3830">
          <cell r="A3830" t="str">
            <v>ST172-PP-M</v>
          </cell>
          <cell r="B3830" t="str">
            <v>ST172</v>
          </cell>
        </row>
        <row r="3831">
          <cell r="A3831" t="str">
            <v>ST172-PP-S</v>
          </cell>
          <cell r="B3831" t="str">
            <v>ST172</v>
          </cell>
        </row>
        <row r="3832">
          <cell r="A3832" t="str">
            <v>ST172-PP-XL</v>
          </cell>
          <cell r="B3832" t="str">
            <v>ST172</v>
          </cell>
        </row>
        <row r="3833">
          <cell r="A3833" t="str">
            <v>ST172-PP-XXL</v>
          </cell>
          <cell r="B3833" t="str">
            <v>ST172</v>
          </cell>
        </row>
        <row r="3834">
          <cell r="A3834" t="str">
            <v>ST172-WR-L</v>
          </cell>
          <cell r="B3834" t="str">
            <v>ST172</v>
          </cell>
        </row>
        <row r="3835">
          <cell r="A3835" t="str">
            <v>ST172-WR-M</v>
          </cell>
          <cell r="B3835" t="str">
            <v>ST172</v>
          </cell>
        </row>
        <row r="3836">
          <cell r="A3836" t="str">
            <v>ST172-WR-S</v>
          </cell>
          <cell r="B3836" t="str">
            <v>ST172</v>
          </cell>
        </row>
        <row r="3837">
          <cell r="A3837" t="str">
            <v>ST172-WR-XL</v>
          </cell>
          <cell r="B3837" t="str">
            <v>ST172</v>
          </cell>
        </row>
        <row r="3838">
          <cell r="A3838" t="str">
            <v>ST172-WR-XXL</v>
          </cell>
          <cell r="B3838" t="str">
            <v>ST172</v>
          </cell>
        </row>
        <row r="3839">
          <cell r="A3839" t="str">
            <v>ST172-WT1-L</v>
          </cell>
          <cell r="B3839" t="str">
            <v>ST172</v>
          </cell>
        </row>
        <row r="3840">
          <cell r="A3840" t="str">
            <v>ST172-WT1-M</v>
          </cell>
          <cell r="B3840" t="str">
            <v>ST172</v>
          </cell>
        </row>
        <row r="3841">
          <cell r="A3841" t="str">
            <v>ST172-WT1-S</v>
          </cell>
          <cell r="B3841" t="str">
            <v>ST172</v>
          </cell>
        </row>
        <row r="3842">
          <cell r="A3842" t="str">
            <v>ST172-WT1-XL</v>
          </cell>
          <cell r="B3842" t="str">
            <v>ST172</v>
          </cell>
        </row>
        <row r="3843">
          <cell r="A3843" t="str">
            <v>ST172-WT1-XXL</v>
          </cell>
          <cell r="B3843" t="str">
            <v>ST172</v>
          </cell>
        </row>
        <row r="3844">
          <cell r="A3844" t="str">
            <v>ST172-WT2-L</v>
          </cell>
          <cell r="B3844" t="str">
            <v>ST172</v>
          </cell>
        </row>
        <row r="3845">
          <cell r="A3845" t="str">
            <v>ST172-WT2-M</v>
          </cell>
          <cell r="B3845" t="str">
            <v>ST172</v>
          </cell>
        </row>
        <row r="3846">
          <cell r="A3846" t="str">
            <v>ST172-WT2-S</v>
          </cell>
          <cell r="B3846" t="str">
            <v>ST172</v>
          </cell>
        </row>
        <row r="3847">
          <cell r="A3847" t="str">
            <v>ST172-WT2-XL</v>
          </cell>
          <cell r="B3847" t="str">
            <v>ST172</v>
          </cell>
        </row>
        <row r="3848">
          <cell r="A3848" t="str">
            <v>ST172-WT2-XXL</v>
          </cell>
          <cell r="B3848" t="str">
            <v>ST172</v>
          </cell>
        </row>
        <row r="3849">
          <cell r="A3849" t="str">
            <v>ST173-BK-L</v>
          </cell>
          <cell r="B3849" t="str">
            <v>ST173</v>
          </cell>
        </row>
        <row r="3850">
          <cell r="A3850" t="str">
            <v>ST173-BK-M</v>
          </cell>
          <cell r="B3850" t="str">
            <v>ST173</v>
          </cell>
        </row>
        <row r="3851">
          <cell r="A3851" t="str">
            <v>ST173-BK-S</v>
          </cell>
          <cell r="B3851" t="str">
            <v>ST173</v>
          </cell>
        </row>
        <row r="3852">
          <cell r="A3852" t="str">
            <v>ST173-BK-XL</v>
          </cell>
          <cell r="B3852" t="str">
            <v>ST173</v>
          </cell>
        </row>
        <row r="3853">
          <cell r="A3853" t="str">
            <v>ST173-BK-XXL</v>
          </cell>
          <cell r="B3853" t="str">
            <v>ST173</v>
          </cell>
        </row>
        <row r="3854">
          <cell r="A3854" t="str">
            <v>ST173-BL-L</v>
          </cell>
          <cell r="B3854" t="str">
            <v>ST173</v>
          </cell>
        </row>
        <row r="3855">
          <cell r="A3855" t="str">
            <v>ST173-BL-M</v>
          </cell>
          <cell r="B3855" t="str">
            <v>ST173</v>
          </cell>
        </row>
        <row r="3856">
          <cell r="A3856" t="str">
            <v>ST173-BL-S</v>
          </cell>
          <cell r="B3856" t="str">
            <v>ST173</v>
          </cell>
        </row>
        <row r="3857">
          <cell r="A3857" t="str">
            <v>ST173-BL-XL</v>
          </cell>
          <cell r="B3857" t="str">
            <v>ST173</v>
          </cell>
        </row>
        <row r="3858">
          <cell r="A3858" t="str">
            <v>ST173-BL-XXL</v>
          </cell>
          <cell r="B3858" t="str">
            <v>ST173</v>
          </cell>
        </row>
        <row r="3859">
          <cell r="A3859" t="str">
            <v>ST173-GR-L</v>
          </cell>
          <cell r="B3859" t="str">
            <v>ST173</v>
          </cell>
        </row>
        <row r="3860">
          <cell r="A3860" t="str">
            <v>ST173-GR-M</v>
          </cell>
          <cell r="B3860" t="str">
            <v>ST173</v>
          </cell>
        </row>
        <row r="3861">
          <cell r="A3861" t="str">
            <v>ST173-GR-S</v>
          </cell>
          <cell r="B3861" t="str">
            <v>ST173</v>
          </cell>
        </row>
        <row r="3862">
          <cell r="A3862" t="str">
            <v>ST173-GR-XL</v>
          </cell>
          <cell r="B3862" t="str">
            <v>ST173</v>
          </cell>
        </row>
        <row r="3863">
          <cell r="A3863" t="str">
            <v>ST173-GR-XXL</v>
          </cell>
          <cell r="B3863" t="str">
            <v>ST173</v>
          </cell>
        </row>
        <row r="3864">
          <cell r="A3864" t="str">
            <v>ST173-NY-L</v>
          </cell>
          <cell r="B3864" t="str">
            <v>ST173</v>
          </cell>
        </row>
        <row r="3865">
          <cell r="A3865" t="str">
            <v>ST173-NY-M</v>
          </cell>
          <cell r="B3865" t="str">
            <v>ST173</v>
          </cell>
        </row>
        <row r="3866">
          <cell r="A3866" t="str">
            <v>ST173-NY-S</v>
          </cell>
          <cell r="B3866" t="str">
            <v>ST173</v>
          </cell>
        </row>
        <row r="3867">
          <cell r="A3867" t="str">
            <v>ST173-NY-XL</v>
          </cell>
          <cell r="B3867" t="str">
            <v>ST173</v>
          </cell>
        </row>
        <row r="3868">
          <cell r="A3868" t="str">
            <v>ST173-NY-XXL</v>
          </cell>
          <cell r="B3868" t="str">
            <v>ST173</v>
          </cell>
        </row>
        <row r="3869">
          <cell r="A3869" t="str">
            <v>ST173-PK-L</v>
          </cell>
          <cell r="B3869" t="str">
            <v>ST173</v>
          </cell>
        </row>
        <row r="3870">
          <cell r="A3870" t="str">
            <v>ST173-PK-M</v>
          </cell>
          <cell r="B3870" t="str">
            <v>ST173</v>
          </cell>
        </row>
        <row r="3871">
          <cell r="A3871" t="str">
            <v>ST173-PK-S</v>
          </cell>
          <cell r="B3871" t="str">
            <v>ST173</v>
          </cell>
        </row>
        <row r="3872">
          <cell r="A3872" t="str">
            <v>ST173-PK-XL</v>
          </cell>
          <cell r="B3872" t="str">
            <v>ST173</v>
          </cell>
        </row>
        <row r="3873">
          <cell r="A3873" t="str">
            <v>ST173-PK-XXL</v>
          </cell>
          <cell r="B3873" t="str">
            <v>ST173</v>
          </cell>
        </row>
        <row r="3874">
          <cell r="A3874" t="str">
            <v>ST173-PP-L</v>
          </cell>
          <cell r="B3874" t="str">
            <v>ST173</v>
          </cell>
        </row>
        <row r="3875">
          <cell r="A3875" t="str">
            <v>ST173-PP-M</v>
          </cell>
          <cell r="B3875" t="str">
            <v>ST173</v>
          </cell>
        </row>
        <row r="3876">
          <cell r="A3876" t="str">
            <v>ST173-PP-S</v>
          </cell>
          <cell r="B3876" t="str">
            <v>ST173</v>
          </cell>
        </row>
        <row r="3877">
          <cell r="A3877" t="str">
            <v>ST173-PP-XL</v>
          </cell>
          <cell r="B3877" t="str">
            <v>ST173</v>
          </cell>
        </row>
        <row r="3878">
          <cell r="A3878" t="str">
            <v>ST173-PP-XXL</v>
          </cell>
          <cell r="B3878" t="str">
            <v>ST173</v>
          </cell>
        </row>
        <row r="3879">
          <cell r="A3879" t="str">
            <v>ST173-WR-L</v>
          </cell>
          <cell r="B3879" t="str">
            <v>ST173</v>
          </cell>
        </row>
        <row r="3880">
          <cell r="A3880" t="str">
            <v>ST173-WR-M</v>
          </cell>
          <cell r="B3880" t="str">
            <v>ST173</v>
          </cell>
        </row>
        <row r="3881">
          <cell r="A3881" t="str">
            <v>ST173-WR-S</v>
          </cell>
          <cell r="B3881" t="str">
            <v>ST173</v>
          </cell>
        </row>
        <row r="3882">
          <cell r="A3882" t="str">
            <v>ST173-WR-XL</v>
          </cell>
          <cell r="B3882" t="str">
            <v>ST173</v>
          </cell>
        </row>
        <row r="3883">
          <cell r="A3883" t="str">
            <v>ST173-WR-XXL</v>
          </cell>
          <cell r="B3883" t="str">
            <v>ST173</v>
          </cell>
        </row>
        <row r="3884">
          <cell r="A3884" t="str">
            <v>ST173-WT1-L</v>
          </cell>
          <cell r="B3884" t="str">
            <v>ST173</v>
          </cell>
        </row>
        <row r="3885">
          <cell r="A3885" t="str">
            <v>ST173-WT1-M</v>
          </cell>
          <cell r="B3885" t="str">
            <v>ST173</v>
          </cell>
        </row>
        <row r="3886">
          <cell r="A3886" t="str">
            <v>ST173-WT1-S</v>
          </cell>
          <cell r="B3886" t="str">
            <v>ST173</v>
          </cell>
        </row>
        <row r="3887">
          <cell r="A3887" t="str">
            <v>ST173-WT1-XL</v>
          </cell>
          <cell r="B3887" t="str">
            <v>ST173</v>
          </cell>
        </row>
        <row r="3888">
          <cell r="A3888" t="str">
            <v>ST173-WT1-XXL</v>
          </cell>
          <cell r="B3888" t="str">
            <v>ST173</v>
          </cell>
        </row>
        <row r="3889">
          <cell r="A3889" t="str">
            <v>ST173-WT2-L</v>
          </cell>
          <cell r="B3889" t="str">
            <v>ST173</v>
          </cell>
        </row>
        <row r="3890">
          <cell r="A3890" t="str">
            <v>ST173-WT2-M</v>
          </cell>
          <cell r="B3890" t="str">
            <v>ST173</v>
          </cell>
        </row>
        <row r="3891">
          <cell r="A3891" t="str">
            <v>ST173-WT2-S</v>
          </cell>
          <cell r="B3891" t="str">
            <v>ST173</v>
          </cell>
        </row>
        <row r="3892">
          <cell r="A3892" t="str">
            <v>ST173-WT2-XL</v>
          </cell>
          <cell r="B3892" t="str">
            <v>ST173</v>
          </cell>
        </row>
        <row r="3893">
          <cell r="A3893" t="str">
            <v>ST173-WT2-XXL</v>
          </cell>
          <cell r="B3893" t="str">
            <v>ST173</v>
          </cell>
        </row>
        <row r="3894">
          <cell r="A3894" t="str">
            <v>ST181-G912-L</v>
          </cell>
          <cell r="B3894" t="str">
            <v>ST181</v>
          </cell>
        </row>
        <row r="3895">
          <cell r="A3895" t="str">
            <v>ST181-G912-M</v>
          </cell>
          <cell r="B3895" t="str">
            <v>ST181</v>
          </cell>
        </row>
        <row r="3896">
          <cell r="A3896" t="str">
            <v>ST181-G912-S</v>
          </cell>
          <cell r="B3896" t="str">
            <v>ST181</v>
          </cell>
        </row>
        <row r="3897">
          <cell r="A3897" t="str">
            <v>ST181-G912-XL</v>
          </cell>
          <cell r="B3897" t="str">
            <v>ST181</v>
          </cell>
        </row>
        <row r="3898">
          <cell r="A3898" t="str">
            <v>ST181-G912-XXL</v>
          </cell>
          <cell r="B3898" t="str">
            <v>ST181</v>
          </cell>
        </row>
        <row r="3899">
          <cell r="A3899" t="str">
            <v>ST181-LB916-L</v>
          </cell>
          <cell r="B3899" t="str">
            <v>ST181</v>
          </cell>
        </row>
        <row r="3900">
          <cell r="A3900" t="str">
            <v>ST181-LB916-M</v>
          </cell>
          <cell r="B3900" t="str">
            <v>ST181</v>
          </cell>
        </row>
        <row r="3901">
          <cell r="A3901" t="str">
            <v>ST181-LB916-S</v>
          </cell>
          <cell r="B3901" t="str">
            <v>ST181</v>
          </cell>
        </row>
        <row r="3902">
          <cell r="A3902" t="str">
            <v>ST181-LB916-XL</v>
          </cell>
          <cell r="B3902" t="str">
            <v>ST181</v>
          </cell>
        </row>
        <row r="3903">
          <cell r="A3903" t="str">
            <v>ST181-LB916-XXL</v>
          </cell>
          <cell r="B3903" t="str">
            <v>ST181</v>
          </cell>
        </row>
        <row r="3904">
          <cell r="A3904" t="str">
            <v>ST181-LG907-L</v>
          </cell>
          <cell r="B3904" t="str">
            <v>ST181</v>
          </cell>
        </row>
        <row r="3905">
          <cell r="A3905" t="str">
            <v>ST181-LG907-M</v>
          </cell>
          <cell r="B3905" t="str">
            <v>ST181</v>
          </cell>
        </row>
        <row r="3906">
          <cell r="A3906" t="str">
            <v>ST181-LG907-S</v>
          </cell>
          <cell r="B3906" t="str">
            <v>ST181</v>
          </cell>
        </row>
        <row r="3907">
          <cell r="A3907" t="str">
            <v>ST181-LG907-XL</v>
          </cell>
          <cell r="B3907" t="str">
            <v>ST181</v>
          </cell>
        </row>
        <row r="3908">
          <cell r="A3908" t="str">
            <v>ST181-LG907-XXL</v>
          </cell>
          <cell r="B3908" t="str">
            <v>ST181</v>
          </cell>
        </row>
        <row r="3909">
          <cell r="A3909" t="str">
            <v>ST181-PI908-L</v>
          </cell>
          <cell r="B3909" t="str">
            <v>ST181</v>
          </cell>
        </row>
        <row r="3910">
          <cell r="A3910" t="str">
            <v>ST181-PI908-M</v>
          </cell>
          <cell r="B3910" t="str">
            <v>ST181</v>
          </cell>
        </row>
        <row r="3911">
          <cell r="A3911" t="str">
            <v>ST181-PI908-S</v>
          </cell>
          <cell r="B3911" t="str">
            <v>ST181</v>
          </cell>
        </row>
        <row r="3912">
          <cell r="A3912" t="str">
            <v>ST181-PI908-XL</v>
          </cell>
          <cell r="B3912" t="str">
            <v>ST181</v>
          </cell>
        </row>
        <row r="3913">
          <cell r="A3913" t="str">
            <v>ST181-PI908-XXL</v>
          </cell>
          <cell r="B3913" t="str">
            <v>ST181</v>
          </cell>
        </row>
        <row r="3914">
          <cell r="A3914" t="str">
            <v>ST181-Sa911-L</v>
          </cell>
          <cell r="B3914" t="str">
            <v>ST181</v>
          </cell>
        </row>
        <row r="3915">
          <cell r="A3915" t="str">
            <v>ST181-Sa911-M</v>
          </cell>
          <cell r="B3915" t="str">
            <v>ST181</v>
          </cell>
        </row>
        <row r="3916">
          <cell r="A3916" t="str">
            <v>ST181-Sa911-S</v>
          </cell>
          <cell r="B3916" t="str">
            <v>ST181</v>
          </cell>
        </row>
        <row r="3917">
          <cell r="A3917" t="str">
            <v>ST181-Sa911-XL</v>
          </cell>
          <cell r="B3917" t="str">
            <v>ST181</v>
          </cell>
        </row>
        <row r="3918">
          <cell r="A3918" t="str">
            <v>ST181-Sa911-XXL</v>
          </cell>
          <cell r="B3918" t="str">
            <v>ST181</v>
          </cell>
        </row>
        <row r="3919">
          <cell r="A3919" t="str">
            <v>ST181-W902-L</v>
          </cell>
          <cell r="B3919" t="str">
            <v>ST181</v>
          </cell>
        </row>
        <row r="3920">
          <cell r="A3920" t="str">
            <v>ST181-W902-M</v>
          </cell>
          <cell r="B3920" t="str">
            <v>ST181</v>
          </cell>
        </row>
        <row r="3921">
          <cell r="A3921" t="str">
            <v>ST181-W902-S</v>
          </cell>
          <cell r="B3921" t="str">
            <v>ST181</v>
          </cell>
        </row>
        <row r="3922">
          <cell r="A3922" t="str">
            <v>ST181-W902-XL</v>
          </cell>
          <cell r="B3922" t="str">
            <v>ST181</v>
          </cell>
        </row>
        <row r="3923">
          <cell r="A3923" t="str">
            <v>ST181-W902-XXL</v>
          </cell>
          <cell r="B3923" t="str">
            <v>ST181</v>
          </cell>
        </row>
        <row r="3924">
          <cell r="A3924" t="str">
            <v>ST181-WR917-L</v>
          </cell>
          <cell r="B3924" t="str">
            <v>ST181</v>
          </cell>
        </row>
        <row r="3925">
          <cell r="A3925" t="str">
            <v>ST181-WR917-M</v>
          </cell>
          <cell r="B3925" t="str">
            <v>ST181</v>
          </cell>
        </row>
        <row r="3926">
          <cell r="A3926" t="str">
            <v>ST181-WR917-S</v>
          </cell>
          <cell r="B3926" t="str">
            <v>ST181</v>
          </cell>
        </row>
        <row r="3927">
          <cell r="A3927" t="str">
            <v>ST181-WR917-XL</v>
          </cell>
          <cell r="B3927" t="str">
            <v>ST181</v>
          </cell>
        </row>
        <row r="3928">
          <cell r="A3928" t="str">
            <v>ST181-WR917-XXL</v>
          </cell>
          <cell r="B3928" t="str">
            <v>ST181</v>
          </cell>
        </row>
        <row r="3929">
          <cell r="A3929" t="str">
            <v>ST181-ZL918-L</v>
          </cell>
          <cell r="B3929" t="str">
            <v>ST181</v>
          </cell>
        </row>
        <row r="3930">
          <cell r="A3930" t="str">
            <v>ST181-ZL918-M</v>
          </cell>
          <cell r="B3930" t="str">
            <v>ST181</v>
          </cell>
        </row>
        <row r="3931">
          <cell r="A3931" t="str">
            <v>ST181-ZL918-S</v>
          </cell>
          <cell r="B3931" t="str">
            <v>ST181</v>
          </cell>
        </row>
        <row r="3932">
          <cell r="A3932" t="str">
            <v>ST181-ZL918-XL</v>
          </cell>
          <cell r="B3932" t="str">
            <v>ST181</v>
          </cell>
        </row>
        <row r="3933">
          <cell r="A3933" t="str">
            <v>ST181-ZL918-XXL</v>
          </cell>
          <cell r="B3933" t="str">
            <v>ST181</v>
          </cell>
        </row>
        <row r="3934">
          <cell r="A3934" t="str">
            <v>STJ-1235</v>
          </cell>
          <cell r="B3934" t="str">
            <v>STJ-1235</v>
          </cell>
        </row>
        <row r="3935">
          <cell r="A3935" t="str">
            <v>STJ-1235W0</v>
          </cell>
          <cell r="B3935" t="str">
            <v>STJ-1235</v>
          </cell>
        </row>
        <row r="3936">
          <cell r="A3936" t="str">
            <v>STJ-CF1245-BK</v>
          </cell>
          <cell r="B3936" t="str">
            <v>STJ-CF1245</v>
          </cell>
        </row>
        <row r="3937">
          <cell r="A3937" t="str">
            <v>STJ-CF1245-SUMMERTIME-BK</v>
          </cell>
          <cell r="B3937" t="str">
            <v>STJ-CF1245</v>
          </cell>
        </row>
        <row r="3938">
          <cell r="A3938" t="str">
            <v>STJ-CF1245-SUMMERTIME-BUGR</v>
          </cell>
          <cell r="B3938" t="str">
            <v>STJ-CF1245</v>
          </cell>
        </row>
        <row r="3939">
          <cell r="A3939" t="str">
            <v>STJ-CF1245-SUMMERTIME-WH</v>
          </cell>
          <cell r="B3939" t="str">
            <v>STJ-CF1245</v>
          </cell>
        </row>
        <row r="3940">
          <cell r="A3940" t="str">
            <v>STJ-CF1245-WHOSAID-LTBU</v>
          </cell>
          <cell r="B3940" t="str">
            <v>STJ-CF1245</v>
          </cell>
        </row>
        <row r="3941">
          <cell r="A3941" t="str">
            <v>STJ-ZS55016B01X</v>
          </cell>
          <cell r="B3941" t="str">
            <v>STJ-ZS55016</v>
          </cell>
        </row>
        <row r="3942">
          <cell r="A3942" t="str">
            <v>STJ-ZS55016B0L</v>
          </cell>
          <cell r="B3942" t="str">
            <v>STJ-ZS55016</v>
          </cell>
        </row>
        <row r="3943">
          <cell r="A3943" t="str">
            <v>STJ-ZS55016B0M</v>
          </cell>
          <cell r="B3943" t="str">
            <v>STJ-ZS55016</v>
          </cell>
        </row>
        <row r="3944">
          <cell r="A3944" t="str">
            <v>STJ-ZS55016B0XL</v>
          </cell>
          <cell r="B3944" t="str">
            <v>STJ-ZS55016</v>
          </cell>
        </row>
        <row r="3945">
          <cell r="A3945" t="str">
            <v>STJ-ZS55016B31X</v>
          </cell>
          <cell r="B3945" t="str">
            <v>STJ-ZS55016</v>
          </cell>
        </row>
        <row r="3946">
          <cell r="A3946" t="str">
            <v>STJ-ZS55016B3L</v>
          </cell>
          <cell r="B3946" t="str">
            <v>STJ-ZS55016</v>
          </cell>
        </row>
        <row r="3947">
          <cell r="A3947" t="str">
            <v>STJ-ZS55016B3M</v>
          </cell>
          <cell r="B3947" t="str">
            <v>STJ-ZS55016</v>
          </cell>
        </row>
        <row r="3948">
          <cell r="A3948" t="str">
            <v>STJ-ZS55016B3XL</v>
          </cell>
          <cell r="B3948" t="str">
            <v>STJ-ZS55016</v>
          </cell>
        </row>
        <row r="3949">
          <cell r="A3949" t="str">
            <v>STJ-ZS55016G01X</v>
          </cell>
          <cell r="B3949" t="str">
            <v>STJ-ZS55016</v>
          </cell>
        </row>
        <row r="3950">
          <cell r="A3950" t="str">
            <v>STJ-ZS55016G0L</v>
          </cell>
          <cell r="B3950" t="str">
            <v>STJ-ZS55016</v>
          </cell>
        </row>
        <row r="3951">
          <cell r="A3951" t="str">
            <v>STJ-ZS55016G0M</v>
          </cell>
          <cell r="B3951" t="str">
            <v>STJ-ZS55016</v>
          </cell>
        </row>
        <row r="3952">
          <cell r="A3952" t="str">
            <v>STJ-ZS55016G0XL</v>
          </cell>
          <cell r="B3952" t="str">
            <v>STJ-ZS55016</v>
          </cell>
        </row>
        <row r="3953">
          <cell r="A3953" t="str">
            <v>STJ-ZS55016K01X</v>
          </cell>
          <cell r="B3953" t="str">
            <v>STJ-ZS55016</v>
          </cell>
        </row>
        <row r="3954">
          <cell r="A3954" t="str">
            <v>STJ-ZS55016K0L</v>
          </cell>
          <cell r="B3954" t="str">
            <v>STJ-ZS55016</v>
          </cell>
        </row>
        <row r="3955">
          <cell r="A3955" t="str">
            <v>STJ-ZS55016K0M</v>
          </cell>
          <cell r="B3955" t="str">
            <v>STJ-ZS55016</v>
          </cell>
        </row>
        <row r="3956">
          <cell r="A3956" t="str">
            <v>STJ-ZS55016K0XL</v>
          </cell>
          <cell r="B3956" t="str">
            <v>STJ-ZS55016</v>
          </cell>
        </row>
        <row r="3957">
          <cell r="A3957" t="str">
            <v>STJ-ZS55016R21X</v>
          </cell>
          <cell r="B3957" t="str">
            <v>STJ-ZS55016</v>
          </cell>
        </row>
        <row r="3958">
          <cell r="A3958" t="str">
            <v>STJ-ZS55016R2L</v>
          </cell>
          <cell r="B3958" t="str">
            <v>STJ-ZS55016</v>
          </cell>
        </row>
        <row r="3959">
          <cell r="A3959" t="str">
            <v>STJ-ZS55016R2M</v>
          </cell>
          <cell r="B3959" t="str">
            <v>STJ-ZS55016</v>
          </cell>
        </row>
        <row r="3960">
          <cell r="A3960" t="str">
            <v>STJ-ZS55016R2XL</v>
          </cell>
          <cell r="B3960" t="str">
            <v>STJ-ZS55016</v>
          </cell>
        </row>
        <row r="3961">
          <cell r="A3961" t="str">
            <v>STJ-ZS55016W01X</v>
          </cell>
          <cell r="B3961" t="str">
            <v>STJ-ZS55016</v>
          </cell>
        </row>
        <row r="3962">
          <cell r="A3962" t="str">
            <v>STJ-ZS55016W0L</v>
          </cell>
          <cell r="B3962" t="str">
            <v>STJ-ZS55016</v>
          </cell>
        </row>
        <row r="3963">
          <cell r="A3963" t="str">
            <v>STJ-ZS55016W0M</v>
          </cell>
          <cell r="B3963" t="str">
            <v>STJ-ZS55016</v>
          </cell>
        </row>
        <row r="3964">
          <cell r="A3964" t="str">
            <v>STJ-ZS55016W0XL</v>
          </cell>
          <cell r="B3964" t="str">
            <v>STJ-ZS55016</v>
          </cell>
        </row>
        <row r="3965">
          <cell r="A3965" t="str">
            <v>STJ-ZS55016Y01X</v>
          </cell>
          <cell r="B3965" t="str">
            <v>STJ-ZS55016</v>
          </cell>
        </row>
        <row r="3966">
          <cell r="A3966" t="str">
            <v>STJ-ZS55016Y0L</v>
          </cell>
          <cell r="B3966" t="str">
            <v>STJ-ZS55016</v>
          </cell>
        </row>
        <row r="3967">
          <cell r="A3967" t="str">
            <v>STJ-ZS55016Y0M</v>
          </cell>
          <cell r="B3967" t="str">
            <v>STJ-ZS55016</v>
          </cell>
        </row>
        <row r="3968">
          <cell r="A3968" t="str">
            <v>STJ-ZS55016Y0XL</v>
          </cell>
          <cell r="B3968" t="str">
            <v>STJ-ZS55016</v>
          </cell>
        </row>
        <row r="3969">
          <cell r="A3969" t="str">
            <v>ST-K157-AG-32</v>
          </cell>
          <cell r="B3969" t="str">
            <v>ST-K157</v>
          </cell>
        </row>
        <row r="3970">
          <cell r="A3970" t="str">
            <v>ST-K157-AG-34</v>
          </cell>
          <cell r="B3970" t="str">
            <v>ST-K157</v>
          </cell>
        </row>
        <row r="3971">
          <cell r="A3971" t="str">
            <v>ST-K157-AG-36</v>
          </cell>
          <cell r="B3971" t="str">
            <v>ST-K157</v>
          </cell>
        </row>
        <row r="3972">
          <cell r="A3972" t="str">
            <v>ST-K157-AG-38</v>
          </cell>
          <cell r="B3972" t="str">
            <v>ST-K157</v>
          </cell>
        </row>
        <row r="3973">
          <cell r="A3973" t="str">
            <v>ST-K157-AG-40</v>
          </cell>
          <cell r="B3973" t="str">
            <v>ST-K157</v>
          </cell>
        </row>
        <row r="3974">
          <cell r="A3974" t="str">
            <v>ST-K157-AG-42</v>
          </cell>
          <cell r="B3974" t="str">
            <v>ST-K157</v>
          </cell>
        </row>
        <row r="3975">
          <cell r="A3975" t="str">
            <v>ST-K157-AG-44</v>
          </cell>
          <cell r="B3975" t="str">
            <v>ST-K157</v>
          </cell>
        </row>
        <row r="3976">
          <cell r="A3976" t="str">
            <v>ST-K157-B0-32</v>
          </cell>
          <cell r="B3976" t="str">
            <v>ST-K157</v>
          </cell>
        </row>
        <row r="3977">
          <cell r="A3977" t="str">
            <v>ST-K157-B0-34</v>
          </cell>
          <cell r="B3977" t="str">
            <v>ST-K157</v>
          </cell>
        </row>
        <row r="3978">
          <cell r="A3978" t="str">
            <v>ST-K157-B0-36</v>
          </cell>
          <cell r="B3978" t="str">
            <v>ST-K157</v>
          </cell>
        </row>
        <row r="3979">
          <cell r="A3979" t="str">
            <v>ST-K157-B0-38</v>
          </cell>
          <cell r="B3979" t="str">
            <v>ST-K157</v>
          </cell>
        </row>
        <row r="3980">
          <cell r="A3980" t="str">
            <v>ST-K157-B0-40</v>
          </cell>
          <cell r="B3980" t="str">
            <v>ST-K157</v>
          </cell>
        </row>
        <row r="3981">
          <cell r="A3981" t="str">
            <v>ST-K157-B0-42</v>
          </cell>
          <cell r="B3981" t="str">
            <v>ST-K157</v>
          </cell>
        </row>
        <row r="3982">
          <cell r="A3982" t="str">
            <v>ST-K157-B0-44</v>
          </cell>
          <cell r="B3982" t="str">
            <v>ST-K157</v>
          </cell>
        </row>
        <row r="3983">
          <cell r="A3983" t="str">
            <v>ST-K157-K0-32</v>
          </cell>
          <cell r="B3983" t="str">
            <v>ST-K157</v>
          </cell>
        </row>
        <row r="3984">
          <cell r="A3984" t="str">
            <v>ST-K157-K0-34</v>
          </cell>
          <cell r="B3984" t="str">
            <v>ST-K157</v>
          </cell>
        </row>
        <row r="3985">
          <cell r="A3985" t="str">
            <v>ST-K157-K0-36</v>
          </cell>
          <cell r="B3985" t="str">
            <v>ST-K157</v>
          </cell>
        </row>
        <row r="3986">
          <cell r="A3986" t="str">
            <v>ST-K157-K0-38</v>
          </cell>
          <cell r="B3986" t="str">
            <v>ST-K157</v>
          </cell>
        </row>
        <row r="3987">
          <cell r="A3987" t="str">
            <v>ST-K157-K0-40</v>
          </cell>
          <cell r="B3987" t="str">
            <v>ST-K157</v>
          </cell>
        </row>
        <row r="3988">
          <cell r="A3988" t="str">
            <v>ST-K157-K0-42</v>
          </cell>
          <cell r="B3988" t="str">
            <v>ST-K157</v>
          </cell>
        </row>
        <row r="3989">
          <cell r="A3989" t="str">
            <v>ST-K157-K0-44</v>
          </cell>
          <cell r="B3989" t="str">
            <v>ST-K157</v>
          </cell>
        </row>
        <row r="3990">
          <cell r="A3990" t="str">
            <v>ST-K157-KQ-32</v>
          </cell>
          <cell r="B3990" t="str">
            <v>ST-K157</v>
          </cell>
        </row>
        <row r="3991">
          <cell r="A3991" t="str">
            <v>ST-K157-KQ-34</v>
          </cell>
          <cell r="B3991" t="str">
            <v>ST-K157</v>
          </cell>
        </row>
        <row r="3992">
          <cell r="A3992" t="str">
            <v>ST-K157-KQ-36</v>
          </cell>
          <cell r="B3992" t="str">
            <v>ST-K157</v>
          </cell>
        </row>
        <row r="3993">
          <cell r="A3993" t="str">
            <v>ST-K157-KQ-38</v>
          </cell>
          <cell r="B3993" t="str">
            <v>ST-K157</v>
          </cell>
        </row>
        <row r="3994">
          <cell r="A3994" t="str">
            <v>ST-K157-KQ-40</v>
          </cell>
          <cell r="B3994" t="str">
            <v>ST-K157</v>
          </cell>
        </row>
        <row r="3995">
          <cell r="A3995" t="str">
            <v>ST-K157-KQ-42</v>
          </cell>
          <cell r="B3995" t="str">
            <v>ST-K157</v>
          </cell>
        </row>
        <row r="3996">
          <cell r="A3996" t="str">
            <v>ST-K157-KQ-44</v>
          </cell>
          <cell r="B3996" t="str">
            <v>ST-K157</v>
          </cell>
        </row>
        <row r="3997">
          <cell r="A3997" t="str">
            <v>ST-K157-OR-32</v>
          </cell>
          <cell r="B3997" t="str">
            <v>ST-K157</v>
          </cell>
        </row>
        <row r="3998">
          <cell r="A3998" t="str">
            <v>ST-K157-OR-34</v>
          </cell>
          <cell r="B3998" t="str">
            <v>ST-K157</v>
          </cell>
        </row>
        <row r="3999">
          <cell r="A3999" t="str">
            <v>ST-K157-OR-36</v>
          </cell>
          <cell r="B3999" t="str">
            <v>ST-K157</v>
          </cell>
        </row>
        <row r="4000">
          <cell r="A4000" t="str">
            <v>ST-K157-OR-38</v>
          </cell>
          <cell r="B4000" t="str">
            <v>ST-K157</v>
          </cell>
        </row>
        <row r="4001">
          <cell r="A4001" t="str">
            <v>ST-K157-OR-40</v>
          </cell>
          <cell r="B4001" t="str">
            <v>ST-K157</v>
          </cell>
        </row>
        <row r="4002">
          <cell r="A4002" t="str">
            <v>ST-K157-OR-42</v>
          </cell>
          <cell r="B4002" t="str">
            <v>ST-K157</v>
          </cell>
        </row>
        <row r="4003">
          <cell r="A4003" t="str">
            <v>ST-K157-OR-44</v>
          </cell>
          <cell r="B4003" t="str">
            <v>ST-K157</v>
          </cell>
        </row>
        <row r="4004">
          <cell r="A4004" t="str">
            <v>ST-K518-B0-32</v>
          </cell>
          <cell r="B4004" t="str">
            <v>ST-K518</v>
          </cell>
        </row>
        <row r="4005">
          <cell r="A4005" t="str">
            <v>ST-K518-B0-34</v>
          </cell>
          <cell r="B4005" t="str">
            <v>ST-K518</v>
          </cell>
        </row>
        <row r="4006">
          <cell r="A4006" t="str">
            <v>ST-K518-B0-36</v>
          </cell>
          <cell r="B4006" t="str">
            <v>ST-K518</v>
          </cell>
        </row>
        <row r="4007">
          <cell r="A4007" t="str">
            <v>ST-K518-B0-38</v>
          </cell>
          <cell r="B4007" t="str">
            <v>ST-K518</v>
          </cell>
        </row>
        <row r="4008">
          <cell r="A4008" t="str">
            <v>ST-K518-B0-40</v>
          </cell>
          <cell r="B4008" t="str">
            <v>ST-K518</v>
          </cell>
        </row>
        <row r="4009">
          <cell r="A4009" t="str">
            <v>ST-K518-B0-42</v>
          </cell>
          <cell r="B4009" t="str">
            <v>ST-K518</v>
          </cell>
        </row>
        <row r="4010">
          <cell r="A4010" t="str">
            <v>ST-K518-B0-44</v>
          </cell>
          <cell r="B4010" t="str">
            <v>ST-K518</v>
          </cell>
        </row>
        <row r="4011">
          <cell r="A4011" t="str">
            <v>ST-K518-G0-32</v>
          </cell>
          <cell r="B4011" t="str">
            <v>ST-K518</v>
          </cell>
        </row>
        <row r="4012">
          <cell r="A4012" t="str">
            <v>ST-K518-G0-34</v>
          </cell>
          <cell r="B4012" t="str">
            <v>ST-K518</v>
          </cell>
        </row>
        <row r="4013">
          <cell r="A4013" t="str">
            <v>ST-K518-G0-36</v>
          </cell>
          <cell r="B4013" t="str">
            <v>ST-K518</v>
          </cell>
        </row>
        <row r="4014">
          <cell r="A4014" t="str">
            <v>ST-K518-G0-38</v>
          </cell>
          <cell r="B4014" t="str">
            <v>ST-K518</v>
          </cell>
        </row>
        <row r="4015">
          <cell r="A4015" t="str">
            <v>ST-K518-G0-40</v>
          </cell>
          <cell r="B4015" t="str">
            <v>ST-K518</v>
          </cell>
        </row>
        <row r="4016">
          <cell r="A4016" t="str">
            <v>ST-K518-G0-42</v>
          </cell>
          <cell r="B4016" t="str">
            <v>ST-K518</v>
          </cell>
        </row>
        <row r="4017">
          <cell r="A4017" t="str">
            <v>ST-K518-G0-44</v>
          </cell>
          <cell r="B4017" t="str">
            <v>ST-K518</v>
          </cell>
        </row>
        <row r="4018">
          <cell r="A4018" t="str">
            <v>ST-K518-K0-32</v>
          </cell>
          <cell r="B4018" t="str">
            <v>ST-K518</v>
          </cell>
        </row>
        <row r="4019">
          <cell r="A4019" t="str">
            <v>ST-K518-K0-34</v>
          </cell>
          <cell r="B4019" t="str">
            <v>ST-K518</v>
          </cell>
        </row>
        <row r="4020">
          <cell r="A4020" t="str">
            <v>ST-K518-K0-36</v>
          </cell>
          <cell r="B4020" t="str">
            <v>ST-K518</v>
          </cell>
        </row>
        <row r="4021">
          <cell r="A4021" t="str">
            <v>ST-K518-K0-38</v>
          </cell>
          <cell r="B4021" t="str">
            <v>ST-K518</v>
          </cell>
        </row>
        <row r="4022">
          <cell r="A4022" t="str">
            <v>ST-K518-K0-40</v>
          </cell>
          <cell r="B4022" t="str">
            <v>ST-K518</v>
          </cell>
        </row>
        <row r="4023">
          <cell r="A4023" t="str">
            <v>ST-K518-K0-42</v>
          </cell>
          <cell r="B4023" t="str">
            <v>ST-K518</v>
          </cell>
        </row>
        <row r="4024">
          <cell r="A4024" t="str">
            <v>ST-K518-K0-44</v>
          </cell>
          <cell r="B4024" t="str">
            <v>ST-K518</v>
          </cell>
        </row>
        <row r="4025">
          <cell r="A4025" t="str">
            <v>ST-K518-KQ-32</v>
          </cell>
          <cell r="B4025" t="str">
            <v>ST-K518</v>
          </cell>
        </row>
        <row r="4026">
          <cell r="A4026" t="str">
            <v>ST-K518-KQ-34</v>
          </cell>
          <cell r="B4026" t="str">
            <v>ST-K518</v>
          </cell>
        </row>
        <row r="4027">
          <cell r="A4027" t="str">
            <v>ST-K518-KQ-36</v>
          </cell>
          <cell r="B4027" t="str">
            <v>ST-K518</v>
          </cell>
        </row>
        <row r="4028">
          <cell r="A4028" t="str">
            <v>ST-K518-KQ-38</v>
          </cell>
          <cell r="B4028" t="str">
            <v>ST-K518</v>
          </cell>
        </row>
        <row r="4029">
          <cell r="A4029" t="str">
            <v>ST-K518-KQ-40</v>
          </cell>
          <cell r="B4029" t="str">
            <v>ST-K518</v>
          </cell>
        </row>
        <row r="4030">
          <cell r="A4030" t="str">
            <v>ST-K518-KQ-42</v>
          </cell>
          <cell r="B4030" t="str">
            <v>ST-K518</v>
          </cell>
        </row>
        <row r="4031">
          <cell r="A4031" t="str">
            <v>ST-K518-KQ-44</v>
          </cell>
          <cell r="B4031" t="str">
            <v>ST-K518</v>
          </cell>
        </row>
        <row r="4032">
          <cell r="A4032" t="str">
            <v>ST-K518-OR-32</v>
          </cell>
          <cell r="B4032" t="str">
            <v>ST-K518</v>
          </cell>
        </row>
        <row r="4033">
          <cell r="A4033" t="str">
            <v>ST-K518-OR-34</v>
          </cell>
          <cell r="B4033" t="str">
            <v>ST-K518</v>
          </cell>
        </row>
        <row r="4034">
          <cell r="A4034" t="str">
            <v>ST-K518-OR-36</v>
          </cell>
          <cell r="B4034" t="str">
            <v>ST-K518</v>
          </cell>
        </row>
        <row r="4035">
          <cell r="A4035" t="str">
            <v>ST-K518-OR-38</v>
          </cell>
          <cell r="B4035" t="str">
            <v>ST-K518</v>
          </cell>
        </row>
        <row r="4036">
          <cell r="A4036" t="str">
            <v>ST-K518-OR-40</v>
          </cell>
          <cell r="B4036" t="str">
            <v>ST-K518</v>
          </cell>
        </row>
        <row r="4037">
          <cell r="A4037" t="str">
            <v>ST-K518-OR-42</v>
          </cell>
          <cell r="B4037" t="str">
            <v>ST-K518</v>
          </cell>
        </row>
        <row r="4038">
          <cell r="A4038" t="str">
            <v>ST-K518-OR-44</v>
          </cell>
          <cell r="B4038" t="str">
            <v>ST-K518</v>
          </cell>
        </row>
        <row r="4039">
          <cell r="A4039" t="str">
            <v>ST-K559-K0-32</v>
          </cell>
          <cell r="B4039" t="str">
            <v>ST-K559</v>
          </cell>
        </row>
        <row r="4040">
          <cell r="A4040" t="str">
            <v>ST-K559-K0-34</v>
          </cell>
          <cell r="B4040" t="str">
            <v>ST-K559</v>
          </cell>
        </row>
        <row r="4041">
          <cell r="A4041" t="str">
            <v>ST-K559-K0-36</v>
          </cell>
          <cell r="B4041" t="str">
            <v>ST-K559</v>
          </cell>
        </row>
        <row r="4042">
          <cell r="A4042" t="str">
            <v>ST-K559-K0-38</v>
          </cell>
          <cell r="B4042" t="str">
            <v>ST-K559</v>
          </cell>
        </row>
        <row r="4043">
          <cell r="A4043" t="str">
            <v>ST-K559-K0-40</v>
          </cell>
          <cell r="B4043" t="str">
            <v>ST-K559</v>
          </cell>
        </row>
        <row r="4044">
          <cell r="A4044" t="str">
            <v>ST-K559-K0-42</v>
          </cell>
          <cell r="B4044" t="str">
            <v>ST-K559</v>
          </cell>
        </row>
        <row r="4045">
          <cell r="A4045" t="str">
            <v>ST-K559-K0-44</v>
          </cell>
          <cell r="B4045" t="str">
            <v>ST-K559</v>
          </cell>
        </row>
        <row r="4046">
          <cell r="A4046" t="str">
            <v>ST-K559-KQ-32</v>
          </cell>
          <cell r="B4046" t="str">
            <v>ST-K559</v>
          </cell>
        </row>
        <row r="4047">
          <cell r="A4047" t="str">
            <v>ST-K559-KQ-34</v>
          </cell>
          <cell r="B4047" t="str">
            <v>ST-K559</v>
          </cell>
        </row>
        <row r="4048">
          <cell r="A4048" t="str">
            <v>ST-K559-KQ-36</v>
          </cell>
          <cell r="B4048" t="str">
            <v>ST-K559</v>
          </cell>
        </row>
        <row r="4049">
          <cell r="A4049" t="str">
            <v>ST-K559-KQ-38</v>
          </cell>
          <cell r="B4049" t="str">
            <v>ST-K559</v>
          </cell>
        </row>
        <row r="4050">
          <cell r="A4050" t="str">
            <v>ST-K559-KQ-40</v>
          </cell>
          <cell r="B4050" t="str">
            <v>ST-K559</v>
          </cell>
        </row>
        <row r="4051">
          <cell r="A4051" t="str">
            <v>ST-K559-KQ-42</v>
          </cell>
          <cell r="B4051" t="str">
            <v>ST-K559</v>
          </cell>
        </row>
        <row r="4052">
          <cell r="A4052" t="str">
            <v>ST-K559-KQ-44</v>
          </cell>
          <cell r="B4052" t="str">
            <v>ST-K559</v>
          </cell>
        </row>
        <row r="4053">
          <cell r="A4053" t="str">
            <v>ST-K559-LB-32</v>
          </cell>
          <cell r="B4053" t="str">
            <v>ST-K559</v>
          </cell>
        </row>
        <row r="4054">
          <cell r="A4054" t="str">
            <v>ST-K559-LB-34</v>
          </cell>
          <cell r="B4054" t="str">
            <v>ST-K559</v>
          </cell>
        </row>
        <row r="4055">
          <cell r="A4055" t="str">
            <v>ST-K559-LB-36</v>
          </cell>
          <cell r="B4055" t="str">
            <v>ST-K559</v>
          </cell>
        </row>
        <row r="4056">
          <cell r="A4056" t="str">
            <v>ST-K559-LB-38</v>
          </cell>
          <cell r="B4056" t="str">
            <v>ST-K559</v>
          </cell>
        </row>
        <row r="4057">
          <cell r="A4057" t="str">
            <v>ST-K559-LB-40</v>
          </cell>
          <cell r="B4057" t="str">
            <v>ST-K559</v>
          </cell>
        </row>
        <row r="4058">
          <cell r="A4058" t="str">
            <v>ST-K559-LB-42</v>
          </cell>
          <cell r="B4058" t="str">
            <v>ST-K559</v>
          </cell>
        </row>
        <row r="4059">
          <cell r="A4059" t="str">
            <v>ST-K559-LB-44</v>
          </cell>
          <cell r="B4059" t="str">
            <v>ST-K559</v>
          </cell>
        </row>
        <row r="4060">
          <cell r="A4060" t="str">
            <v>ST-K559-OR-32</v>
          </cell>
          <cell r="B4060" t="str">
            <v>ST-K559</v>
          </cell>
        </row>
        <row r="4061">
          <cell r="A4061" t="str">
            <v>ST-K559-OR-34</v>
          </cell>
          <cell r="B4061" t="str">
            <v>ST-K559</v>
          </cell>
        </row>
        <row r="4062">
          <cell r="A4062" t="str">
            <v>ST-K559-OR-36</v>
          </cell>
          <cell r="B4062" t="str">
            <v>ST-K559</v>
          </cell>
        </row>
        <row r="4063">
          <cell r="A4063" t="str">
            <v>ST-K559-OR-38</v>
          </cell>
          <cell r="B4063" t="str">
            <v>ST-K559</v>
          </cell>
        </row>
        <row r="4064">
          <cell r="A4064" t="str">
            <v>ST-K559-OR-40</v>
          </cell>
          <cell r="B4064" t="str">
            <v>ST-K559</v>
          </cell>
        </row>
        <row r="4065">
          <cell r="A4065" t="str">
            <v>ST-K559-OR-42</v>
          </cell>
          <cell r="B4065" t="str">
            <v>ST-K559</v>
          </cell>
        </row>
        <row r="4066">
          <cell r="A4066" t="str">
            <v>ST-K559-OR-44</v>
          </cell>
          <cell r="B4066" t="str">
            <v>ST-K559</v>
          </cell>
        </row>
        <row r="4067">
          <cell r="A4067" t="str">
            <v>ST-K559-R0-32</v>
          </cell>
          <cell r="B4067" t="str">
            <v>ST-K559</v>
          </cell>
        </row>
        <row r="4068">
          <cell r="A4068" t="str">
            <v>ST-K559-R0-34</v>
          </cell>
          <cell r="B4068" t="str">
            <v>ST-K559</v>
          </cell>
        </row>
        <row r="4069">
          <cell r="A4069" t="str">
            <v>ST-K559-R0-36</v>
          </cell>
          <cell r="B4069" t="str">
            <v>ST-K559</v>
          </cell>
        </row>
        <row r="4070">
          <cell r="A4070" t="str">
            <v>ST-K559-R0-38</v>
          </cell>
          <cell r="B4070" t="str">
            <v>ST-K559</v>
          </cell>
        </row>
        <row r="4071">
          <cell r="A4071" t="str">
            <v>ST-K559-R0-40</v>
          </cell>
          <cell r="B4071" t="str">
            <v>ST-K559</v>
          </cell>
        </row>
        <row r="4072">
          <cell r="A4072" t="str">
            <v>ST-K559-R0-42</v>
          </cell>
          <cell r="B4072" t="str">
            <v>ST-K559</v>
          </cell>
        </row>
        <row r="4073">
          <cell r="A4073" t="str">
            <v>ST-K559-R0-44</v>
          </cell>
          <cell r="B4073" t="str">
            <v>ST-K559</v>
          </cell>
        </row>
        <row r="4074">
          <cell r="A4074" t="str">
            <v>SZ-IUYL002</v>
          </cell>
          <cell r="B4074" t="str">
            <v>SZ-IUYL002</v>
          </cell>
        </row>
        <row r="4075">
          <cell r="A4075" t="str">
            <v>Tee-MRG-VneckgreyXXL</v>
          </cell>
          <cell r="B4075" t="str">
            <v>Tee-MRG-Vneck</v>
          </cell>
        </row>
        <row r="4076">
          <cell r="A4076" t="str">
            <v>Tee-MRG-VneckHeiSXL</v>
          </cell>
          <cell r="B4076" t="str">
            <v>Tee-MRG-Vneck</v>
          </cell>
        </row>
        <row r="4077">
          <cell r="A4077" t="str">
            <v>Tee-MRG-VneckJHXL</v>
          </cell>
          <cell r="B4077" t="str">
            <v>Tee-MRG-Vneck</v>
          </cell>
        </row>
        <row r="4078">
          <cell r="A4078" t="str">
            <v>Tee-MRG-VneckJHXXL</v>
          </cell>
          <cell r="B4078" t="str">
            <v>Tee-MRG-Vneck</v>
          </cell>
        </row>
        <row r="4079">
          <cell r="A4079" t="str">
            <v>Tee-MRG-VneckZQXL</v>
          </cell>
          <cell r="B4079" t="str">
            <v>Tee-MRG-Vneck</v>
          </cell>
        </row>
        <row r="4080">
          <cell r="A4080" t="str">
            <v>Tee-MRG-VneckZQXXL</v>
          </cell>
          <cell r="B4080" t="str">
            <v>Tee-MRG-Vneck</v>
          </cell>
        </row>
        <row r="4081">
          <cell r="A4081" t="str">
            <v>TK-Ad413-GR-2XL</v>
          </cell>
          <cell r="B4081" t="str">
            <v>TK-Ad413</v>
          </cell>
        </row>
        <row r="4082">
          <cell r="A4082" t="str">
            <v>TK-Ad413-GR-L</v>
          </cell>
          <cell r="B4082" t="str">
            <v>TK-Ad413</v>
          </cell>
        </row>
        <row r="4083">
          <cell r="A4083" t="str">
            <v>TK-Ad413-GR-M</v>
          </cell>
          <cell r="B4083" t="str">
            <v>TK-Ad413</v>
          </cell>
        </row>
        <row r="4084">
          <cell r="A4084" t="str">
            <v>TK-Ad413-GR-XL</v>
          </cell>
          <cell r="B4084" t="str">
            <v>TK-Ad413</v>
          </cell>
        </row>
        <row r="4085">
          <cell r="A4085" t="str">
            <v>TK-Ad413-K0-2XL</v>
          </cell>
          <cell r="B4085" t="str">
            <v>TK-Ad413</v>
          </cell>
        </row>
        <row r="4086">
          <cell r="A4086" t="str">
            <v>TK-Ad413-K0-L</v>
          </cell>
          <cell r="B4086" t="str">
            <v>TK-Ad413</v>
          </cell>
        </row>
        <row r="4087">
          <cell r="A4087" t="str">
            <v>TK-Ad413-K0-M</v>
          </cell>
          <cell r="B4087" t="str">
            <v>TK-Ad413</v>
          </cell>
        </row>
        <row r="4088">
          <cell r="A4088" t="str">
            <v>TK-Ad413-K0-XL</v>
          </cell>
          <cell r="B4088" t="str">
            <v>TK-Ad413</v>
          </cell>
        </row>
        <row r="4089">
          <cell r="A4089" t="str">
            <v>TK-Ad413SH-2XL</v>
          </cell>
          <cell r="B4089" t="str">
            <v>TK-Ad413</v>
          </cell>
        </row>
        <row r="4090">
          <cell r="A4090" t="str">
            <v>TK-Ad413-SH-L</v>
          </cell>
          <cell r="B4090" t="str">
            <v>TK-Ad413</v>
          </cell>
        </row>
        <row r="4091">
          <cell r="A4091" t="str">
            <v>TK-Ad413-SH-M</v>
          </cell>
          <cell r="B4091" t="str">
            <v>TK-Ad413</v>
          </cell>
        </row>
        <row r="4092">
          <cell r="A4092" t="str">
            <v>TK-Ad413-SH-XL</v>
          </cell>
          <cell r="B4092" t="str">
            <v>TK-Ad413</v>
          </cell>
        </row>
        <row r="4093">
          <cell r="A4093" t="str">
            <v>TK-C412H</v>
          </cell>
          <cell r="B4093" t="str">
            <v>TK-C412H</v>
          </cell>
        </row>
        <row r="4094">
          <cell r="A4094" t="str">
            <v>TK-C412H-GR-2XL</v>
          </cell>
          <cell r="B4094" t="str">
            <v>TK-C412H</v>
          </cell>
        </row>
        <row r="4095">
          <cell r="A4095" t="str">
            <v>TK-C412H-GR-L</v>
          </cell>
          <cell r="B4095" t="str">
            <v>TK-C412H</v>
          </cell>
        </row>
        <row r="4096">
          <cell r="A4096" t="str">
            <v>TK-C412H-GR-M</v>
          </cell>
          <cell r="B4096" t="str">
            <v>TK-C412H</v>
          </cell>
        </row>
        <row r="4097">
          <cell r="A4097" t="str">
            <v>TK-C412H-GR-XL</v>
          </cell>
          <cell r="B4097" t="str">
            <v>TK-C412H</v>
          </cell>
        </row>
        <row r="4098">
          <cell r="A4098" t="str">
            <v>TK-C412H-K0-2XL</v>
          </cell>
          <cell r="B4098" t="str">
            <v>TK-C412H</v>
          </cell>
        </row>
        <row r="4099">
          <cell r="A4099" t="str">
            <v>TK-C412H-K0-L</v>
          </cell>
          <cell r="B4099" t="str">
            <v>TK-C412H</v>
          </cell>
        </row>
        <row r="4100">
          <cell r="A4100" t="str">
            <v>TK-C412H-K0-M</v>
          </cell>
          <cell r="B4100" t="str">
            <v>TK-C412H</v>
          </cell>
        </row>
        <row r="4101">
          <cell r="A4101" t="str">
            <v>TK-C412H-K0-XL</v>
          </cell>
          <cell r="B4101" t="str">
            <v>TK-C412H</v>
          </cell>
        </row>
        <row r="4102">
          <cell r="A4102" t="str">
            <v>TK-C412H-SH-2XL</v>
          </cell>
          <cell r="B4102" t="str">
            <v>TK-C412H</v>
          </cell>
        </row>
        <row r="4103">
          <cell r="A4103" t="str">
            <v>TK-C412H-SH-L</v>
          </cell>
          <cell r="B4103" t="str">
            <v>TK-C412H</v>
          </cell>
        </row>
        <row r="4104">
          <cell r="A4104" t="str">
            <v>TK-C412H-SH-M</v>
          </cell>
          <cell r="B4104" t="str">
            <v>TK-C412H</v>
          </cell>
        </row>
        <row r="4105">
          <cell r="A4105" t="str">
            <v>TK-C412H-SH-XL</v>
          </cell>
          <cell r="B4105" t="str">
            <v>TK-C412H</v>
          </cell>
        </row>
        <row r="4106">
          <cell r="A4106" t="str">
            <v>TK-J0102</v>
          </cell>
          <cell r="B4106" t="str">
            <v>TK-J0102</v>
          </cell>
        </row>
        <row r="4107">
          <cell r="A4107" t="str">
            <v>TK-J01H-GR-10/12</v>
          </cell>
          <cell r="B4107" t="str">
            <v>TK-J0102</v>
          </cell>
        </row>
        <row r="4108">
          <cell r="A4108" t="str">
            <v>TK-J01H-GR-14/16</v>
          </cell>
          <cell r="B4108" t="str">
            <v>TK-J0102</v>
          </cell>
        </row>
        <row r="4109">
          <cell r="A4109" t="str">
            <v>TK-J01H-GR-18/20</v>
          </cell>
          <cell r="B4109" t="str">
            <v>TK-J0102</v>
          </cell>
        </row>
        <row r="4110">
          <cell r="A4110" t="str">
            <v>TK-J01H-GR-2T</v>
          </cell>
          <cell r="B4110" t="str">
            <v>TK-J0102</v>
          </cell>
        </row>
        <row r="4111">
          <cell r="A4111" t="str">
            <v>TK-J01H-GR-3T</v>
          </cell>
          <cell r="B4111" t="str">
            <v>TK-J0102</v>
          </cell>
        </row>
        <row r="4112">
          <cell r="A4112" t="str">
            <v>TK-J01H-GR-4</v>
          </cell>
          <cell r="B4112" t="str">
            <v>TK-J0102</v>
          </cell>
        </row>
        <row r="4113">
          <cell r="A4113" t="str">
            <v>TK-J01H-GR-4T</v>
          </cell>
          <cell r="B4113" t="str">
            <v>TK-J0102</v>
          </cell>
        </row>
        <row r="4114">
          <cell r="A4114" t="str">
            <v>TK-J01H-GR-5/6</v>
          </cell>
          <cell r="B4114" t="str">
            <v>TK-J0102</v>
          </cell>
        </row>
        <row r="4115">
          <cell r="A4115" t="str">
            <v>TK-J01H-GR-7</v>
          </cell>
          <cell r="B4115" t="str">
            <v>TK-J0102</v>
          </cell>
        </row>
        <row r="4116">
          <cell r="A4116" t="str">
            <v>TK-J01H-GR-8</v>
          </cell>
          <cell r="B4116" t="str">
            <v>TK-J0102</v>
          </cell>
        </row>
        <row r="4117">
          <cell r="A4117" t="str">
            <v>TK-J01H-K0-10/12</v>
          </cell>
          <cell r="B4117" t="str">
            <v>TK-J0102</v>
          </cell>
        </row>
        <row r="4118">
          <cell r="A4118" t="str">
            <v>TK-J01H-K0-14/16</v>
          </cell>
          <cell r="B4118" t="str">
            <v>TK-J0102</v>
          </cell>
        </row>
        <row r="4119">
          <cell r="A4119" t="str">
            <v>TK-J01H-K0-18/20</v>
          </cell>
          <cell r="B4119" t="str">
            <v>TK-J0102</v>
          </cell>
        </row>
        <row r="4120">
          <cell r="A4120" t="str">
            <v>TK-J01H-K0-2T</v>
          </cell>
          <cell r="B4120" t="str">
            <v>TK-J0102</v>
          </cell>
        </row>
        <row r="4121">
          <cell r="A4121" t="str">
            <v>TK-J01H-K0-3T</v>
          </cell>
          <cell r="B4121" t="str">
            <v>TK-J0102</v>
          </cell>
        </row>
        <row r="4122">
          <cell r="A4122" t="str">
            <v>TK-J01H-K0-4</v>
          </cell>
          <cell r="B4122" t="str">
            <v>TK-J0102</v>
          </cell>
        </row>
        <row r="4123">
          <cell r="A4123" t="str">
            <v>TK-J01H-K0-4T</v>
          </cell>
          <cell r="B4123" t="str">
            <v>TK-J0102</v>
          </cell>
        </row>
        <row r="4124">
          <cell r="A4124" t="str">
            <v>TK-J01H-K0-5/6</v>
          </cell>
          <cell r="B4124" t="str">
            <v>TK-J0102</v>
          </cell>
        </row>
        <row r="4125">
          <cell r="A4125" t="str">
            <v>TK-J01H-K0-7</v>
          </cell>
          <cell r="B4125" t="str">
            <v>TK-J0102</v>
          </cell>
        </row>
        <row r="4126">
          <cell r="A4126" t="str">
            <v>TK-J01H-K0-8</v>
          </cell>
          <cell r="B4126" t="str">
            <v>TK-J0102</v>
          </cell>
        </row>
        <row r="4127">
          <cell r="A4127" t="str">
            <v>TK-J01H-SH-10/12</v>
          </cell>
          <cell r="B4127" t="str">
            <v>TK-J0102</v>
          </cell>
        </row>
        <row r="4128">
          <cell r="A4128" t="str">
            <v>TK-J01H-SH-14/16</v>
          </cell>
          <cell r="B4128" t="str">
            <v>TK-J0102</v>
          </cell>
        </row>
        <row r="4129">
          <cell r="A4129" t="str">
            <v>TK-J01H-SH-18/20</v>
          </cell>
          <cell r="B4129" t="str">
            <v>TK-J0102</v>
          </cell>
        </row>
        <row r="4130">
          <cell r="A4130" t="str">
            <v>TK-J01H-SH-2T</v>
          </cell>
          <cell r="B4130" t="str">
            <v>TK-J0102</v>
          </cell>
        </row>
        <row r="4131">
          <cell r="A4131" t="str">
            <v>TK-J01H-SH-3T</v>
          </cell>
          <cell r="B4131" t="str">
            <v>TK-J0102</v>
          </cell>
        </row>
        <row r="4132">
          <cell r="A4132" t="str">
            <v>TK-J01H-SH-4</v>
          </cell>
          <cell r="B4132" t="str">
            <v>TK-J0102</v>
          </cell>
        </row>
        <row r="4133">
          <cell r="A4133" t="str">
            <v>TK-J01H-SH-4T</v>
          </cell>
          <cell r="B4133" t="str">
            <v>TK-J0102</v>
          </cell>
        </row>
        <row r="4134">
          <cell r="A4134" t="str">
            <v>TK-J01H-SH-5/6</v>
          </cell>
          <cell r="B4134" t="str">
            <v>TK-J0102</v>
          </cell>
        </row>
        <row r="4135">
          <cell r="A4135" t="str">
            <v>TK-J01H-SH-7</v>
          </cell>
          <cell r="B4135" t="str">
            <v>TK-J0102</v>
          </cell>
        </row>
        <row r="4136">
          <cell r="A4136" t="str">
            <v>TK-J01H-SH-8</v>
          </cell>
          <cell r="B4136" t="str">
            <v>TK-J0102</v>
          </cell>
        </row>
        <row r="4137">
          <cell r="A4137" t="str">
            <v>TK-J02H-GR-10/12</v>
          </cell>
          <cell r="B4137" t="str">
            <v>TK-J0102</v>
          </cell>
        </row>
        <row r="4138">
          <cell r="A4138" t="str">
            <v>TK-J02H-GR-14/16</v>
          </cell>
          <cell r="B4138" t="str">
            <v>TK-J0102</v>
          </cell>
        </row>
        <row r="4139">
          <cell r="A4139" t="str">
            <v>TK-J02H-GR-18/20</v>
          </cell>
          <cell r="B4139" t="str">
            <v>TK-J0102</v>
          </cell>
        </row>
        <row r="4140">
          <cell r="A4140" t="str">
            <v>TK-J02H-GR-2T</v>
          </cell>
          <cell r="B4140" t="str">
            <v>TK-J0102</v>
          </cell>
        </row>
        <row r="4141">
          <cell r="A4141" t="str">
            <v>TK-J02H-GR-3T</v>
          </cell>
          <cell r="B4141" t="str">
            <v>TK-J0102</v>
          </cell>
        </row>
        <row r="4142">
          <cell r="A4142" t="str">
            <v>TK-J02H-GR-4</v>
          </cell>
          <cell r="B4142" t="str">
            <v>TK-J0102</v>
          </cell>
        </row>
        <row r="4143">
          <cell r="A4143" t="str">
            <v>TK-J02H-GR-4T</v>
          </cell>
          <cell r="B4143" t="str">
            <v>TK-J0102</v>
          </cell>
        </row>
        <row r="4144">
          <cell r="A4144" t="str">
            <v>TK-J02H-GR-5/6</v>
          </cell>
          <cell r="B4144" t="str">
            <v>TK-J0102</v>
          </cell>
        </row>
        <row r="4145">
          <cell r="A4145" t="str">
            <v>TK-J02H-GR-7</v>
          </cell>
          <cell r="B4145" t="str">
            <v>TK-J0102</v>
          </cell>
        </row>
        <row r="4146">
          <cell r="A4146" t="str">
            <v>TK-J02H-GR-8</v>
          </cell>
          <cell r="B4146" t="str">
            <v>TK-J0102</v>
          </cell>
        </row>
        <row r="4147">
          <cell r="A4147" t="str">
            <v>TK-J02H-K0-10/12</v>
          </cell>
          <cell r="B4147" t="str">
            <v>TK-J0102</v>
          </cell>
        </row>
        <row r="4148">
          <cell r="A4148" t="str">
            <v>TK-J02H-K0-14/16</v>
          </cell>
          <cell r="B4148" t="str">
            <v>TK-J0102</v>
          </cell>
        </row>
        <row r="4149">
          <cell r="A4149" t="str">
            <v>TK-J02H-K0-18/20</v>
          </cell>
          <cell r="B4149" t="str">
            <v>TK-J0102</v>
          </cell>
        </row>
        <row r="4150">
          <cell r="A4150" t="str">
            <v>TK-J02H-K0-2T</v>
          </cell>
          <cell r="B4150" t="str">
            <v>TK-J0102</v>
          </cell>
        </row>
        <row r="4151">
          <cell r="A4151" t="str">
            <v>TK-J02H-K0-3T</v>
          </cell>
          <cell r="B4151" t="str">
            <v>TK-J0102</v>
          </cell>
        </row>
        <row r="4152">
          <cell r="A4152" t="str">
            <v>TK-J02H-K0-4</v>
          </cell>
          <cell r="B4152" t="str">
            <v>TK-J0102</v>
          </cell>
        </row>
        <row r="4153">
          <cell r="A4153" t="str">
            <v>TK-J02H-K0-4T</v>
          </cell>
          <cell r="B4153" t="str">
            <v>TK-J0102</v>
          </cell>
        </row>
        <row r="4154">
          <cell r="A4154" t="str">
            <v>TK-J02H-K0-5/6</v>
          </cell>
          <cell r="B4154" t="str">
            <v>TK-J0102</v>
          </cell>
        </row>
        <row r="4155">
          <cell r="A4155" t="str">
            <v>TK-J02H-K0-7</v>
          </cell>
          <cell r="B4155" t="str">
            <v>TK-J0102</v>
          </cell>
        </row>
        <row r="4156">
          <cell r="A4156" t="str">
            <v>TK-J02H-K0-8</v>
          </cell>
          <cell r="B4156" t="str">
            <v>TK-J0102</v>
          </cell>
        </row>
        <row r="4157">
          <cell r="A4157" t="str">
            <v>TK-J02H-SH-10/12</v>
          </cell>
          <cell r="B4157" t="str">
            <v>TK-J0102</v>
          </cell>
        </row>
        <row r="4158">
          <cell r="A4158" t="str">
            <v>TK-J02H-SH-14/16</v>
          </cell>
          <cell r="B4158" t="str">
            <v>TK-J0102</v>
          </cell>
        </row>
        <row r="4159">
          <cell r="A4159" t="str">
            <v>TK-J02H-SH-18/20</v>
          </cell>
          <cell r="B4159" t="str">
            <v>TK-J0102</v>
          </cell>
        </row>
        <row r="4160">
          <cell r="A4160" t="str">
            <v>TK-J02H-SH-2T</v>
          </cell>
          <cell r="B4160" t="str">
            <v>TK-J0102</v>
          </cell>
        </row>
        <row r="4161">
          <cell r="A4161" t="str">
            <v>TK-J02H-SH-3T</v>
          </cell>
          <cell r="B4161" t="str">
            <v>TK-J0102</v>
          </cell>
        </row>
        <row r="4162">
          <cell r="A4162" t="str">
            <v>TK-J02H-SH-4</v>
          </cell>
          <cell r="B4162" t="str">
            <v>TK-J0102</v>
          </cell>
        </row>
        <row r="4163">
          <cell r="A4163" t="str">
            <v>TK-J02H-SH-4T</v>
          </cell>
          <cell r="B4163" t="str">
            <v>TK-J0102</v>
          </cell>
        </row>
        <row r="4164">
          <cell r="A4164" t="str">
            <v>TK-J02H-SH-5/6</v>
          </cell>
          <cell r="B4164" t="str">
            <v>TK-J0102</v>
          </cell>
        </row>
        <row r="4165">
          <cell r="A4165" t="str">
            <v>TK-J02H-SH-7</v>
          </cell>
          <cell r="B4165" t="str">
            <v>TK-J0102</v>
          </cell>
        </row>
        <row r="4166">
          <cell r="A4166" t="str">
            <v>TK-J02H-SH-8</v>
          </cell>
          <cell r="B4166" t="str">
            <v>TK-J0102</v>
          </cell>
        </row>
        <row r="4167">
          <cell r="A4167" t="str">
            <v>Top-5505LB-2XL</v>
          </cell>
          <cell r="B4167" t="str">
            <v>FT5505</v>
          </cell>
        </row>
        <row r="4168">
          <cell r="A4168" t="str">
            <v>Top-5505LB-L</v>
          </cell>
          <cell r="B4168" t="str">
            <v>FT5505</v>
          </cell>
        </row>
        <row r="4169">
          <cell r="A4169" t="str">
            <v>Top-5505LB-M</v>
          </cell>
          <cell r="B4169" t="str">
            <v>FT5505</v>
          </cell>
        </row>
        <row r="4170">
          <cell r="A4170" t="str">
            <v>Top-5505LB-S</v>
          </cell>
          <cell r="B4170" t="str">
            <v>FT5505</v>
          </cell>
        </row>
        <row r="4171">
          <cell r="A4171" t="str">
            <v>Top-5505LB-XL</v>
          </cell>
          <cell r="B4171" t="str">
            <v>FT5505</v>
          </cell>
        </row>
        <row r="4172">
          <cell r="A4172" t="str">
            <v>Top-5505LB-XS</v>
          </cell>
          <cell r="B4172" t="str">
            <v>FT5505</v>
          </cell>
        </row>
        <row r="4173">
          <cell r="A4173" t="str">
            <v>Top-5505PI-2XL</v>
          </cell>
          <cell r="B4173" t="str">
            <v>FT5505</v>
          </cell>
        </row>
        <row r="4174">
          <cell r="A4174" t="str">
            <v>Top-5505PI-L</v>
          </cell>
          <cell r="B4174" t="str">
            <v>FT5505</v>
          </cell>
        </row>
        <row r="4175">
          <cell r="A4175" t="str">
            <v>Top-5505PI-M</v>
          </cell>
          <cell r="B4175" t="str">
            <v>FT5505</v>
          </cell>
        </row>
        <row r="4176">
          <cell r="A4176" t="str">
            <v>Top-5505PI-S</v>
          </cell>
          <cell r="B4176" t="str">
            <v>FT5505</v>
          </cell>
        </row>
        <row r="4177">
          <cell r="A4177" t="str">
            <v>Top-5505PI-XL</v>
          </cell>
          <cell r="B4177" t="str">
            <v>FT5505</v>
          </cell>
        </row>
        <row r="4178">
          <cell r="A4178" t="str">
            <v>Top-5505PI-XS</v>
          </cell>
          <cell r="B4178" t="str">
            <v>FT5505</v>
          </cell>
        </row>
        <row r="4179">
          <cell r="A4179" t="str">
            <v>Top-5505ZL-2XL</v>
          </cell>
          <cell r="B4179" t="str">
            <v>FT5505</v>
          </cell>
        </row>
        <row r="4180">
          <cell r="A4180" t="str">
            <v>Top-5505ZL-L</v>
          </cell>
          <cell r="B4180" t="str">
            <v>FT5505</v>
          </cell>
        </row>
        <row r="4181">
          <cell r="A4181" t="str">
            <v>Top-5505ZL-M</v>
          </cell>
          <cell r="B4181" t="str">
            <v>FT5505</v>
          </cell>
        </row>
        <row r="4182">
          <cell r="A4182" t="str">
            <v>Top-5505ZL-S</v>
          </cell>
          <cell r="B4182" t="str">
            <v>FT5505</v>
          </cell>
        </row>
        <row r="4183">
          <cell r="A4183" t="str">
            <v>Top-5505ZL-XL</v>
          </cell>
          <cell r="B4183" t="str">
            <v>FT5505</v>
          </cell>
        </row>
        <row r="4184">
          <cell r="A4184" t="str">
            <v>Top-5505ZL-XS</v>
          </cell>
          <cell r="B4184" t="str">
            <v>FT5505</v>
          </cell>
        </row>
        <row r="4185">
          <cell r="A4185" t="str">
            <v>Top-HM7702</v>
          </cell>
          <cell r="B4185" t="str">
            <v>Top-HM7702</v>
          </cell>
        </row>
        <row r="4186">
          <cell r="A4186" t="str">
            <v>Top-HM7702-GZK0-2XL</v>
          </cell>
          <cell r="B4186" t="str">
            <v>Top-HM7702</v>
          </cell>
        </row>
        <row r="4187">
          <cell r="A4187" t="str">
            <v>Top-HM7702-GZK0-3XL</v>
          </cell>
          <cell r="B4187" t="str">
            <v>Top-HM7702</v>
          </cell>
        </row>
        <row r="4188">
          <cell r="A4188" t="str">
            <v>Top-HM7702-GZK0-L</v>
          </cell>
          <cell r="B4188" t="str">
            <v>Top-HM7702</v>
          </cell>
        </row>
        <row r="4189">
          <cell r="A4189" t="str">
            <v>Top-HM7702-GZK0-M</v>
          </cell>
          <cell r="B4189" t="str">
            <v>Top-HM7702</v>
          </cell>
        </row>
        <row r="4190">
          <cell r="A4190" t="str">
            <v>Top-HM7702-GZK0-S</v>
          </cell>
          <cell r="B4190" t="str">
            <v>Top-HM7702</v>
          </cell>
        </row>
        <row r="4191">
          <cell r="A4191" t="str">
            <v>Top-HM7702-GZK0-XL</v>
          </cell>
          <cell r="B4191" t="str">
            <v>Top-HM7702</v>
          </cell>
        </row>
        <row r="4192">
          <cell r="A4192" t="str">
            <v>Top-HM7702-GZR0-2XL</v>
          </cell>
          <cell r="B4192" t="str">
            <v>Top-HM7702</v>
          </cell>
        </row>
        <row r="4193">
          <cell r="A4193" t="str">
            <v>Top-HM7702-GZR0-3XL</v>
          </cell>
          <cell r="B4193" t="str">
            <v>Top-HM7702</v>
          </cell>
        </row>
        <row r="4194">
          <cell r="A4194" t="str">
            <v>Top-HM7702-GZR0-L</v>
          </cell>
          <cell r="B4194" t="str">
            <v>Top-HM7702</v>
          </cell>
        </row>
        <row r="4195">
          <cell r="A4195" t="str">
            <v>Top-HM7702-GZR0-M</v>
          </cell>
          <cell r="B4195" t="str">
            <v>Top-HM7702</v>
          </cell>
        </row>
        <row r="4196">
          <cell r="A4196" t="str">
            <v>Top-HM7702-GZR0-S</v>
          </cell>
          <cell r="B4196" t="str">
            <v>Top-HM7702</v>
          </cell>
        </row>
        <row r="4197">
          <cell r="A4197" t="str">
            <v>Top-HM7702-GZR0-XL</v>
          </cell>
          <cell r="B4197" t="str">
            <v>Top-HM7702</v>
          </cell>
        </row>
        <row r="4198">
          <cell r="A4198" t="str">
            <v>Top-HM7702-K0-2XL</v>
          </cell>
          <cell r="B4198" t="str">
            <v>Top-HM7702</v>
          </cell>
        </row>
        <row r="4199">
          <cell r="A4199" t="str">
            <v>Top-HM7702-K0-3XL</v>
          </cell>
          <cell r="B4199" t="str">
            <v>Top-HM7702</v>
          </cell>
        </row>
        <row r="4200">
          <cell r="A4200" t="str">
            <v>Top-HM7702-K0-L</v>
          </cell>
          <cell r="B4200" t="str">
            <v>Top-HM7702</v>
          </cell>
        </row>
        <row r="4201">
          <cell r="A4201" t="str">
            <v>Top-HM7702-K0-M</v>
          </cell>
          <cell r="B4201" t="str">
            <v>Top-HM7702</v>
          </cell>
        </row>
        <row r="4202">
          <cell r="A4202" t="str">
            <v>Top-HM7702-K0-S</v>
          </cell>
          <cell r="B4202" t="str">
            <v>Top-HM7702</v>
          </cell>
        </row>
        <row r="4203">
          <cell r="A4203" t="str">
            <v>Top-HM7702-K0-XL</v>
          </cell>
          <cell r="B4203" t="str">
            <v>Top-HM7702</v>
          </cell>
        </row>
        <row r="4204">
          <cell r="A4204" t="str">
            <v>Top-HM7702-W0-2XL</v>
          </cell>
          <cell r="B4204" t="str">
            <v>Top-HM7702</v>
          </cell>
        </row>
        <row r="4205">
          <cell r="A4205" t="str">
            <v>Top-HM7702-W0-3XL</v>
          </cell>
          <cell r="B4205" t="str">
            <v>Top-HM7702</v>
          </cell>
        </row>
        <row r="4206">
          <cell r="A4206" t="str">
            <v>Top-HM7702-W0-L</v>
          </cell>
          <cell r="B4206" t="str">
            <v>Top-HM7702</v>
          </cell>
        </row>
        <row r="4207">
          <cell r="A4207" t="str">
            <v>Top-HM7702-W0-M</v>
          </cell>
          <cell r="B4207" t="str">
            <v>Top-HM7702</v>
          </cell>
        </row>
        <row r="4208">
          <cell r="A4208" t="str">
            <v>Top-HM7702-W0-S</v>
          </cell>
          <cell r="B4208" t="str">
            <v>Top-HM7702</v>
          </cell>
        </row>
        <row r="4209">
          <cell r="A4209" t="str">
            <v>Top-HM7702-W0-XL</v>
          </cell>
          <cell r="B4209" t="str">
            <v>Top-HM7702</v>
          </cell>
        </row>
        <row r="4210">
          <cell r="A4210" t="str">
            <v>Top-HM7702-Y0-2XL</v>
          </cell>
          <cell r="B4210" t="str">
            <v>Top-HM7702</v>
          </cell>
        </row>
        <row r="4211">
          <cell r="A4211" t="str">
            <v>Top-HM7702-Y0-3XL</v>
          </cell>
          <cell r="B4211" t="str">
            <v>Top-HM7702</v>
          </cell>
        </row>
        <row r="4212">
          <cell r="A4212" t="str">
            <v>Top-HM7702-Y0-L</v>
          </cell>
          <cell r="B4212" t="str">
            <v>Top-HM7702</v>
          </cell>
        </row>
        <row r="4213">
          <cell r="A4213" t="str">
            <v>Top-HM7702-Y0-M</v>
          </cell>
          <cell r="B4213" t="str">
            <v>Top-HM7702</v>
          </cell>
        </row>
        <row r="4214">
          <cell r="A4214" t="str">
            <v>Top-HM7702-Y0-S</v>
          </cell>
          <cell r="B4214" t="str">
            <v>Top-HM7702</v>
          </cell>
        </row>
        <row r="4215">
          <cell r="A4215" t="str">
            <v>Top-HM7702-Y0-XL</v>
          </cell>
          <cell r="B4215" t="str">
            <v>Top-HM7702</v>
          </cell>
        </row>
        <row r="4216">
          <cell r="A4216" t="str">
            <v>TX-7223-CO-4041</v>
          </cell>
          <cell r="B4216" t="str">
            <v>XZ-YG7223-GM</v>
          </cell>
        </row>
        <row r="4217">
          <cell r="A4217" t="str">
            <v>TX-7223-CO-4243</v>
          </cell>
          <cell r="B4217" t="str">
            <v>XZ-YG7223-GM</v>
          </cell>
        </row>
        <row r="4218">
          <cell r="A4218" t="str">
            <v>TX-7223-CO-4445</v>
          </cell>
          <cell r="B4218" t="str">
            <v>XZ-YG7223-GM</v>
          </cell>
        </row>
        <row r="4219">
          <cell r="A4219" t="str">
            <v>TX-7223-Da-4041</v>
          </cell>
          <cell r="B4219" t="str">
            <v>XZ-YG7223-GM</v>
          </cell>
        </row>
        <row r="4220">
          <cell r="A4220" t="str">
            <v>TX-7223-Da-4243</v>
          </cell>
          <cell r="B4220" t="str">
            <v>XZ-YG7223-GM</v>
          </cell>
        </row>
        <row r="4221">
          <cell r="A4221" t="str">
            <v>TX-7223-Da-4445</v>
          </cell>
          <cell r="B4221" t="str">
            <v>XZ-YG7223-GM</v>
          </cell>
        </row>
        <row r="4222">
          <cell r="A4222" t="str">
            <v>TX-7223-Gr-3637</v>
          </cell>
          <cell r="B4222" t="str">
            <v>XZ-YG7223-GM</v>
          </cell>
        </row>
        <row r="4223">
          <cell r="A4223" t="str">
            <v>TX-7223-PI-3637</v>
          </cell>
          <cell r="B4223" t="str">
            <v>XZ-YG7223-GM</v>
          </cell>
        </row>
        <row r="4224">
          <cell r="A4224" t="str">
            <v>TX-7223-PI-3839</v>
          </cell>
          <cell r="B4224" t="str">
            <v>XZ-YG7223-GM</v>
          </cell>
        </row>
        <row r="4225">
          <cell r="A4225" t="str">
            <v>TX-7223-PI-4041</v>
          </cell>
          <cell r="B4225" t="str">
            <v>XZ-YG7223-GM</v>
          </cell>
        </row>
        <row r="4226">
          <cell r="A4226" t="str">
            <v>TX-7223-RB-3637</v>
          </cell>
          <cell r="B4226" t="str">
            <v>XZ-YG7223-GM</v>
          </cell>
        </row>
        <row r="4227">
          <cell r="A4227" t="str">
            <v>TX-7223-RB-3839</v>
          </cell>
          <cell r="B4227" t="str">
            <v>XZ-YG7223-GM</v>
          </cell>
        </row>
        <row r="4228">
          <cell r="A4228" t="str">
            <v>TX-7223-RB-4041</v>
          </cell>
          <cell r="B4228" t="str">
            <v>XZ-YG7223-GM</v>
          </cell>
        </row>
        <row r="4229">
          <cell r="A4229" t="str">
            <v>TX-SM-7223-Gr-3637</v>
          </cell>
          <cell r="B4229" t="str">
            <v>TX-SM-7223</v>
          </cell>
        </row>
        <row r="4230">
          <cell r="A4230" t="str">
            <v>TX-SM-7223-PI-3637</v>
          </cell>
          <cell r="B4230" t="str">
            <v>TX-SM-7223</v>
          </cell>
        </row>
        <row r="4231">
          <cell r="A4231" t="str">
            <v>TZ-IUYL240-BEAR-L</v>
          </cell>
          <cell r="B4231" t="str">
            <v>TZ-IUYL240</v>
          </cell>
        </row>
        <row r="4232">
          <cell r="A4232" t="str">
            <v>TZ-IUYL240-BEAR-M</v>
          </cell>
          <cell r="B4232" t="str">
            <v>TZ-IUYL240</v>
          </cell>
        </row>
        <row r="4233">
          <cell r="A4233" t="str">
            <v>TZ-IUYL240-BEAR-S</v>
          </cell>
          <cell r="B4233" t="str">
            <v>TZ-IUYL240</v>
          </cell>
        </row>
        <row r="4234">
          <cell r="A4234" t="str">
            <v>TZ-IUYL240-BONE-L</v>
          </cell>
          <cell r="B4234" t="str">
            <v>TZ-IUYL240</v>
          </cell>
        </row>
        <row r="4235">
          <cell r="A4235" t="str">
            <v>TZ-IUYL240-BONE-M</v>
          </cell>
          <cell r="B4235" t="str">
            <v>TZ-IUYL240</v>
          </cell>
        </row>
        <row r="4236">
          <cell r="A4236" t="str">
            <v>TZ-IUYL240-BONE-S</v>
          </cell>
          <cell r="B4236" t="str">
            <v>TZ-IUYL240</v>
          </cell>
        </row>
        <row r="4237">
          <cell r="A4237" t="str">
            <v>TZ-IUYL240-DOT2-L</v>
          </cell>
          <cell r="B4237" t="str">
            <v>TZ-IUYL240</v>
          </cell>
        </row>
        <row r="4238">
          <cell r="A4238" t="str">
            <v>TZ-IUYL240-DOT2-M</v>
          </cell>
          <cell r="B4238" t="str">
            <v>TZ-IUYL240</v>
          </cell>
        </row>
        <row r="4239">
          <cell r="A4239" t="str">
            <v>TZ-IUYL240-DOT2-S</v>
          </cell>
          <cell r="B4239" t="str">
            <v>TZ-IUYL240</v>
          </cell>
        </row>
        <row r="4240">
          <cell r="A4240" t="str">
            <v>TZ-IUYL240-DOT-L</v>
          </cell>
          <cell r="B4240" t="str">
            <v>TZ-IUYL240</v>
          </cell>
        </row>
        <row r="4241">
          <cell r="A4241" t="str">
            <v>TZ-IUYL240-DOT-M</v>
          </cell>
          <cell r="B4241" t="str">
            <v>TZ-IUYL240</v>
          </cell>
        </row>
        <row r="4242">
          <cell r="A4242" t="str">
            <v>TZ-IUYL240-DOT-S</v>
          </cell>
          <cell r="B4242" t="str">
            <v>TZ-IUYL240</v>
          </cell>
        </row>
        <row r="4243">
          <cell r="A4243" t="str">
            <v>TZ-IUYL240-ELPH-L</v>
          </cell>
          <cell r="B4243" t="str">
            <v>TZ-IUYL240</v>
          </cell>
        </row>
        <row r="4244">
          <cell r="A4244" t="str">
            <v>TZ-IUYL240-ELPH-M</v>
          </cell>
          <cell r="B4244" t="str">
            <v>TZ-IUYL240</v>
          </cell>
        </row>
        <row r="4245">
          <cell r="A4245" t="str">
            <v>TZ-IUYL240-ELPH-S</v>
          </cell>
          <cell r="B4245" t="str">
            <v>TZ-IUYL240</v>
          </cell>
        </row>
        <row r="4246">
          <cell r="A4246" t="str">
            <v>TZ-IUYL240LHY-BONE-L</v>
          </cell>
          <cell r="B4246" t="str">
            <v>TZ-IUYL240</v>
          </cell>
        </row>
        <row r="4247">
          <cell r="A4247" t="str">
            <v>TZ-IUYL240LHY-BONE-M</v>
          </cell>
          <cell r="B4247" t="str">
            <v>TZ-IUYL240</v>
          </cell>
        </row>
        <row r="4248">
          <cell r="A4248" t="str">
            <v>TZ-IUYL240LHY-BONE-S</v>
          </cell>
          <cell r="B4248" t="str">
            <v>TZ-IUYL240</v>
          </cell>
        </row>
        <row r="4249">
          <cell r="A4249" t="str">
            <v>TZ-IUYL240LHY-DOT-L</v>
          </cell>
          <cell r="B4249" t="str">
            <v>TZ-IUYL240</v>
          </cell>
        </row>
        <row r="4250">
          <cell r="A4250" t="str">
            <v>TZ-IUYL240LHY-DOT-M</v>
          </cell>
          <cell r="B4250" t="str">
            <v>TZ-IUYL240</v>
          </cell>
        </row>
        <row r="4251">
          <cell r="A4251" t="str">
            <v>TZ-IUYL240LHY-DOT-S</v>
          </cell>
          <cell r="B4251" t="str">
            <v>TZ-IUYL240</v>
          </cell>
        </row>
        <row r="4252">
          <cell r="A4252" t="str">
            <v>TZ-IUYL240LHY-ELPH-L</v>
          </cell>
          <cell r="B4252" t="str">
            <v>TZ-IUYL240</v>
          </cell>
        </row>
        <row r="4253">
          <cell r="A4253" t="str">
            <v>TZ-IUYL240LHY-ELPH-M</v>
          </cell>
          <cell r="B4253" t="str">
            <v>TZ-IUYL240</v>
          </cell>
        </row>
        <row r="4254">
          <cell r="A4254" t="str">
            <v>TZ-IUYL240LHY-ELPH-S</v>
          </cell>
          <cell r="B4254" t="str">
            <v>TZ-IUYL240</v>
          </cell>
        </row>
        <row r="4255">
          <cell r="A4255" t="str">
            <v>TZ-IUYL240LHY-PAW-L</v>
          </cell>
          <cell r="B4255" t="str">
            <v>TZ-IUYL240</v>
          </cell>
        </row>
        <row r="4256">
          <cell r="A4256" t="str">
            <v>TZ-IUYL240LHY-PAW-M</v>
          </cell>
          <cell r="B4256" t="str">
            <v>TZ-IUYL240</v>
          </cell>
        </row>
        <row r="4257">
          <cell r="A4257" t="str">
            <v>TZ-IUYL240LHY-PAW-S</v>
          </cell>
          <cell r="B4257" t="str">
            <v>TZ-IUYL240</v>
          </cell>
        </row>
        <row r="4258">
          <cell r="A4258" t="str">
            <v>TZ-IUYL240LHY-STAR-L</v>
          </cell>
          <cell r="B4258" t="str">
            <v>TZ-IUYL240</v>
          </cell>
        </row>
        <row r="4259">
          <cell r="A4259" t="str">
            <v>TZ-IUYL240LHY-STAR-M</v>
          </cell>
          <cell r="B4259" t="str">
            <v>TZ-IUYL240</v>
          </cell>
        </row>
        <row r="4260">
          <cell r="A4260" t="str">
            <v>TZ-IUYL240LHY-STAR-S</v>
          </cell>
          <cell r="B4260" t="str">
            <v>TZ-IUYL240</v>
          </cell>
        </row>
        <row r="4261">
          <cell r="A4261" t="str">
            <v>TZ-IUYL240LHY-STRAWBERRY-L</v>
          </cell>
          <cell r="B4261" t="str">
            <v>TZ-IUYL240</v>
          </cell>
        </row>
        <row r="4262">
          <cell r="A4262" t="str">
            <v>TZ-IUYL240LHY-STRAWBERRY-M</v>
          </cell>
          <cell r="B4262" t="str">
            <v>TZ-IUYL240</v>
          </cell>
        </row>
        <row r="4263">
          <cell r="A4263" t="str">
            <v>TZ-IUYL240LHY-STRAWBERRY-S</v>
          </cell>
          <cell r="B4263" t="str">
            <v>TZ-IUYL240</v>
          </cell>
        </row>
        <row r="4264">
          <cell r="A4264" t="str">
            <v>TZ-IUYL240-LOVE-L</v>
          </cell>
          <cell r="B4264" t="str">
            <v>TZ-IUYL240</v>
          </cell>
        </row>
        <row r="4265">
          <cell r="A4265" t="str">
            <v>TZ-IUYL240-LOVE-M</v>
          </cell>
          <cell r="B4265" t="str">
            <v>TZ-IUYL240</v>
          </cell>
        </row>
        <row r="4266">
          <cell r="A4266" t="str">
            <v>TZ-IUYL240-LOVE-S</v>
          </cell>
          <cell r="B4266" t="str">
            <v>TZ-IUYL240</v>
          </cell>
        </row>
        <row r="4267">
          <cell r="A4267" t="str">
            <v>TZ-IUYL240-PAW-L</v>
          </cell>
          <cell r="B4267" t="str">
            <v>TZ-IUYL240</v>
          </cell>
        </row>
        <row r="4268">
          <cell r="A4268" t="str">
            <v>TZ-IUYL240-PAW-M</v>
          </cell>
          <cell r="B4268" t="str">
            <v>TZ-IUYL240</v>
          </cell>
        </row>
        <row r="4269">
          <cell r="A4269" t="str">
            <v>TZ-IUYL240-PAW-S</v>
          </cell>
          <cell r="B4269" t="str">
            <v>TZ-IUYL240</v>
          </cell>
        </row>
        <row r="4270">
          <cell r="A4270" t="str">
            <v>TZ-IUYL240-RABBIT-L</v>
          </cell>
          <cell r="B4270" t="str">
            <v>TZ-IUYL240</v>
          </cell>
        </row>
        <row r="4271">
          <cell r="A4271" t="str">
            <v>TZ-IUYL240-RABBIT-M</v>
          </cell>
          <cell r="B4271" t="str">
            <v>TZ-IUYL240</v>
          </cell>
        </row>
        <row r="4272">
          <cell r="A4272" t="str">
            <v>TZ-IUYL240-RABBIT-S</v>
          </cell>
          <cell r="B4272" t="str">
            <v>TZ-IUYL240</v>
          </cell>
        </row>
        <row r="4273">
          <cell r="A4273" t="str">
            <v>TZ-IUYL240-STAR-L</v>
          </cell>
          <cell r="B4273" t="str">
            <v>TZ-IUYL240</v>
          </cell>
        </row>
        <row r="4274">
          <cell r="A4274" t="str">
            <v>TZ-IUYL240-STAR-M</v>
          </cell>
          <cell r="B4274" t="str">
            <v>TZ-IUYL240</v>
          </cell>
        </row>
        <row r="4275">
          <cell r="A4275" t="str">
            <v>TZ-IUYL240-STAR-S</v>
          </cell>
          <cell r="B4275" t="str">
            <v>TZ-IUYL240</v>
          </cell>
        </row>
        <row r="4276">
          <cell r="A4276" t="str">
            <v>TZ-IUYL240-STRAWBERRY-L</v>
          </cell>
          <cell r="B4276" t="str">
            <v>TZ-IUYL240</v>
          </cell>
        </row>
        <row r="4277">
          <cell r="A4277" t="str">
            <v>TZ-IUYL240-STRAWBERRY-M</v>
          </cell>
          <cell r="B4277" t="str">
            <v>TZ-IUYL240</v>
          </cell>
        </row>
        <row r="4278">
          <cell r="A4278" t="str">
            <v>TZ-IUYL240-STRAWBERRY-S</v>
          </cell>
          <cell r="B4278" t="str">
            <v>TZ-IUYL240</v>
          </cell>
        </row>
        <row r="4279">
          <cell r="A4279" t="str">
            <v>TZ-SY240-BONE-S</v>
          </cell>
          <cell r="B4279" t="str">
            <v>TZ-SY240</v>
          </cell>
        </row>
        <row r="4280">
          <cell r="A4280" t="str">
            <v>TZ-SY240-ELPH-S</v>
          </cell>
          <cell r="B4280" t="str">
            <v>TZ-SY240</v>
          </cell>
        </row>
        <row r="4281">
          <cell r="A4281" t="str">
            <v>TZ-SY240-STRAWBERRY-S</v>
          </cell>
          <cell r="B4281" t="str">
            <v>TZ-SY240</v>
          </cell>
        </row>
        <row r="4282">
          <cell r="A4282" t="str">
            <v>WJ-ZQ280-A6</v>
          </cell>
          <cell r="B4282" t="str">
            <v>WJ-ZQ280</v>
          </cell>
        </row>
        <row r="4283">
          <cell r="A4283" t="str">
            <v>WJ-ZQ650-C1</v>
          </cell>
          <cell r="B4283" t="str">
            <v>WJ-ZQ650</v>
          </cell>
        </row>
        <row r="4284">
          <cell r="A4284" t="str">
            <v>WJ-ZQ650-C10</v>
          </cell>
          <cell r="B4284" t="str">
            <v>WJ-ZQ650</v>
          </cell>
        </row>
        <row r="4285">
          <cell r="A4285" t="str">
            <v>WJ-ZQ650-C11</v>
          </cell>
          <cell r="B4285" t="str">
            <v>WJ-ZQ650</v>
          </cell>
        </row>
        <row r="4286">
          <cell r="A4286" t="str">
            <v>WJ-ZQ650-C2</v>
          </cell>
          <cell r="B4286" t="str">
            <v>WJ-ZQ650</v>
          </cell>
        </row>
        <row r="4287">
          <cell r="A4287" t="str">
            <v>WJ-ZQ650-C3</v>
          </cell>
          <cell r="B4287" t="str">
            <v>WJ-ZQ650</v>
          </cell>
        </row>
        <row r="4288">
          <cell r="A4288" t="str">
            <v>WJ-ZQ650-C4</v>
          </cell>
          <cell r="B4288" t="str">
            <v>WJ-ZQ650</v>
          </cell>
        </row>
        <row r="4289">
          <cell r="A4289" t="str">
            <v>WJ-ZQ650-C5</v>
          </cell>
          <cell r="B4289" t="str">
            <v>WJ-ZQ650</v>
          </cell>
        </row>
        <row r="4290">
          <cell r="A4290" t="str">
            <v>WJ-ZQ650-C6</v>
          </cell>
          <cell r="B4290" t="str">
            <v>WJ-ZQ650</v>
          </cell>
        </row>
        <row r="4291">
          <cell r="A4291" t="str">
            <v>WJ-ZQ650-C7</v>
          </cell>
          <cell r="B4291" t="str">
            <v>WJ-ZQ650</v>
          </cell>
        </row>
        <row r="4292">
          <cell r="A4292" t="str">
            <v>WJ-ZQ650-C8</v>
          </cell>
          <cell r="B4292" t="str">
            <v>WJ-ZQ650</v>
          </cell>
        </row>
        <row r="4293">
          <cell r="A4293" t="str">
            <v>WJ-ZQ650-C9</v>
          </cell>
          <cell r="B4293" t="str">
            <v>WJ-ZQ650</v>
          </cell>
        </row>
        <row r="4294">
          <cell r="A4294" t="str">
            <v>WM-ZQ5023-N0</v>
          </cell>
          <cell r="B4294" t="str">
            <v>WM-ZQ5023</v>
          </cell>
        </row>
        <row r="4295">
          <cell r="A4295" t="str">
            <v>WM-ZQ5023-R0</v>
          </cell>
          <cell r="B4295" t="str">
            <v>WM-ZQ5023</v>
          </cell>
        </row>
        <row r="4296">
          <cell r="A4296" t="str">
            <v>WM-ZQ5023-R1</v>
          </cell>
          <cell r="B4296" t="str">
            <v>WM-ZQ5023</v>
          </cell>
        </row>
        <row r="4297">
          <cell r="A4297" t="str">
            <v>WT-ZQ921-G7-2XL</v>
          </cell>
          <cell r="B4297" t="str">
            <v>WT-ZQ921</v>
          </cell>
        </row>
        <row r="4298">
          <cell r="A4298" t="str">
            <v>WT-ZQ921-G7-3XL</v>
          </cell>
          <cell r="B4298" t="str">
            <v>WT-ZQ921</v>
          </cell>
        </row>
        <row r="4299">
          <cell r="A4299" t="str">
            <v>WT-ZQ921-G7-4XL</v>
          </cell>
          <cell r="B4299" t="str">
            <v>WT-ZQ921</v>
          </cell>
        </row>
        <row r="4300">
          <cell r="A4300" t="str">
            <v>WT-ZQ921-G7-5XL</v>
          </cell>
          <cell r="B4300" t="str">
            <v>WT-ZQ921</v>
          </cell>
        </row>
        <row r="4301">
          <cell r="A4301" t="str">
            <v>WT-ZQ921-G7-L</v>
          </cell>
          <cell r="B4301" t="str">
            <v>WT-ZQ921</v>
          </cell>
        </row>
        <row r="4302">
          <cell r="A4302" t="str">
            <v>WT-ZQ921-G7-XL</v>
          </cell>
          <cell r="B4302" t="str">
            <v>WT-ZQ921</v>
          </cell>
        </row>
        <row r="4303">
          <cell r="A4303" t="str">
            <v>WT-ZQ921-K0-2XL</v>
          </cell>
          <cell r="B4303" t="str">
            <v>WT-ZQ921</v>
          </cell>
        </row>
        <row r="4304">
          <cell r="A4304" t="str">
            <v>WT-ZQ921-K0-3XL</v>
          </cell>
          <cell r="B4304" t="str">
            <v>WT-ZQ921</v>
          </cell>
        </row>
        <row r="4305">
          <cell r="A4305" t="str">
            <v>WT-ZQ921-K0-4XL</v>
          </cell>
          <cell r="B4305" t="str">
            <v>WT-ZQ921</v>
          </cell>
        </row>
        <row r="4306">
          <cell r="A4306" t="str">
            <v>WT-ZQ921-K0-5XL</v>
          </cell>
          <cell r="B4306" t="str">
            <v>WT-ZQ921</v>
          </cell>
        </row>
        <row r="4307">
          <cell r="A4307" t="str">
            <v>WT-ZQ921-K0-5XL-GM</v>
          </cell>
          <cell r="B4307" t="str">
            <v>WT-ZQ921</v>
          </cell>
        </row>
        <row r="4308">
          <cell r="A4308" t="str">
            <v>WT-ZQ921-K0-L</v>
          </cell>
          <cell r="B4308" t="str">
            <v>WT-ZQ921</v>
          </cell>
        </row>
        <row r="4309">
          <cell r="A4309" t="str">
            <v>WT-ZQ921-K0-XL</v>
          </cell>
          <cell r="B4309" t="str">
            <v>WT-ZQ921</v>
          </cell>
        </row>
        <row r="4310">
          <cell r="A4310" t="str">
            <v>WZ-LY152-A403</v>
          </cell>
          <cell r="B4310" t="str">
            <v>WZ-LY152</v>
          </cell>
        </row>
        <row r="4311">
          <cell r="A4311" t="str">
            <v>WZ-LY152-A404</v>
          </cell>
          <cell r="B4311" t="str">
            <v>WZ-LY152</v>
          </cell>
        </row>
        <row r="4312">
          <cell r="A4312" t="str">
            <v>WZ-LY152-A405</v>
          </cell>
          <cell r="B4312" t="str">
            <v>WZ-LY152</v>
          </cell>
        </row>
        <row r="4313">
          <cell r="A4313" t="str">
            <v>WZ-LY152-A407</v>
          </cell>
          <cell r="B4313" t="str">
            <v>WZ-LY152</v>
          </cell>
        </row>
        <row r="4314">
          <cell r="A4314" t="str">
            <v>WZ-LY152-DMNW</v>
          </cell>
          <cell r="B4314" t="str">
            <v>WZ-LY152</v>
          </cell>
        </row>
        <row r="4315">
          <cell r="A4315" t="str">
            <v>WZ-LY152-LA264</v>
          </cell>
          <cell r="B4315" t="str">
            <v>WZ-LY152</v>
          </cell>
        </row>
        <row r="4316">
          <cell r="A4316" t="str">
            <v>WZ-LY153-B069</v>
          </cell>
          <cell r="B4316" t="str">
            <v>WZ-LY153</v>
          </cell>
        </row>
        <row r="4317">
          <cell r="A4317" t="str">
            <v>WZ-LY153-B313</v>
          </cell>
          <cell r="B4317" t="str">
            <v>WZ-LY153</v>
          </cell>
        </row>
        <row r="4318">
          <cell r="A4318" t="str">
            <v>XQ-IUYL260-BK-M</v>
          </cell>
          <cell r="B4318" t="str">
            <v>XQ-IUYL260</v>
          </cell>
        </row>
        <row r="4319">
          <cell r="A4319" t="str">
            <v>XQ-IUYL260-BK-S</v>
          </cell>
          <cell r="B4319" t="str">
            <v>XQ-IUYL260</v>
          </cell>
        </row>
        <row r="4320">
          <cell r="A4320" t="str">
            <v>XQ-IUYL260-BL1-M</v>
          </cell>
          <cell r="B4320" t="str">
            <v>XQ-IUYL260</v>
          </cell>
        </row>
        <row r="4321">
          <cell r="A4321" t="str">
            <v>XQ-IUYL260-BL1-S</v>
          </cell>
          <cell r="B4321" t="str">
            <v>XQ-IUYL260</v>
          </cell>
        </row>
        <row r="4322">
          <cell r="A4322" t="str">
            <v>XQ-IUYL260-BL2-M</v>
          </cell>
          <cell r="B4322" t="str">
            <v>XQ-IUYL260</v>
          </cell>
        </row>
        <row r="4323">
          <cell r="A4323" t="str">
            <v>XQ-IUYL260-BL2-S</v>
          </cell>
          <cell r="B4323" t="str">
            <v>XQ-IUYL260</v>
          </cell>
        </row>
        <row r="4324">
          <cell r="A4324" t="str">
            <v>XQ-IUYL260-GN-M</v>
          </cell>
          <cell r="B4324" t="str">
            <v>XQ-IUYL260</v>
          </cell>
        </row>
        <row r="4325">
          <cell r="A4325" t="str">
            <v>XQ-IUYL260-GN-S</v>
          </cell>
          <cell r="B4325" t="str">
            <v>XQ-IUYL260</v>
          </cell>
        </row>
        <row r="4326">
          <cell r="A4326" t="str">
            <v>XQ-IUYL260-PK-M</v>
          </cell>
          <cell r="B4326" t="str">
            <v>XQ-IUYL260</v>
          </cell>
        </row>
        <row r="4327">
          <cell r="A4327" t="str">
            <v>XQ-IUYL260-PK-S</v>
          </cell>
          <cell r="B4327" t="str">
            <v>XQ-IUYL260</v>
          </cell>
        </row>
        <row r="4328">
          <cell r="A4328" t="str">
            <v>XQ-IUYL260-PP-M</v>
          </cell>
          <cell r="B4328" t="str">
            <v>XQ-IUYL260</v>
          </cell>
        </row>
        <row r="4329">
          <cell r="A4329" t="str">
            <v>XQ-IUYL260-PP-S</v>
          </cell>
          <cell r="B4329" t="str">
            <v>XQ-IUYL260</v>
          </cell>
        </row>
        <row r="4330">
          <cell r="A4330" t="str">
            <v>XQ-IUYL260-RD-M</v>
          </cell>
          <cell r="B4330" t="str">
            <v>XQ-IUYL260</v>
          </cell>
        </row>
        <row r="4331">
          <cell r="A4331" t="str">
            <v>XQ-IUYL260-RD-S</v>
          </cell>
          <cell r="B4331" t="str">
            <v>XQ-IUYL260</v>
          </cell>
        </row>
        <row r="4332">
          <cell r="A4332" t="str">
            <v>XQ-IUYL260-YL-M</v>
          </cell>
          <cell r="B4332" t="str">
            <v>XQ-IUYL260</v>
          </cell>
        </row>
        <row r="4333">
          <cell r="A4333" t="str">
            <v>XQ-IUYL260-YL-S</v>
          </cell>
          <cell r="B4333" t="str">
            <v>XQ-IUYL260</v>
          </cell>
        </row>
        <row r="4334">
          <cell r="A4334" t="str">
            <v>XQ-IUYL320-BK-L</v>
          </cell>
          <cell r="B4334" t="str">
            <v>XQ-IUYL320</v>
          </cell>
        </row>
        <row r="4335">
          <cell r="A4335" t="str">
            <v>XQ-IUYL320-BK-M</v>
          </cell>
          <cell r="B4335" t="str">
            <v>XQ-IUYL320</v>
          </cell>
        </row>
        <row r="4336">
          <cell r="A4336" t="str">
            <v>XQ-IUYL320-BK-S</v>
          </cell>
          <cell r="B4336" t="str">
            <v>XQ-IUYL320</v>
          </cell>
        </row>
        <row r="4337">
          <cell r="A4337" t="str">
            <v>XQ-IUYL320-BK-XL</v>
          </cell>
          <cell r="B4337" t="str">
            <v>XQ-IUYL320</v>
          </cell>
        </row>
        <row r="4338">
          <cell r="A4338" t="str">
            <v>XQ-IUYL320-BL-L</v>
          </cell>
          <cell r="B4338" t="str">
            <v>XQ-IUYL320</v>
          </cell>
        </row>
        <row r="4339">
          <cell r="A4339" t="str">
            <v>XQ-IUYL320-BL-M</v>
          </cell>
          <cell r="B4339" t="str">
            <v>XQ-IUYL320</v>
          </cell>
        </row>
        <row r="4340">
          <cell r="A4340" t="str">
            <v>XQ-IUYL320-BL-S</v>
          </cell>
          <cell r="B4340" t="str">
            <v>XQ-IUYL320</v>
          </cell>
        </row>
        <row r="4341">
          <cell r="A4341" t="str">
            <v>XQ-IUYL320-BL-XL</v>
          </cell>
          <cell r="B4341" t="str">
            <v>XQ-IUYL320</v>
          </cell>
        </row>
        <row r="4342">
          <cell r="A4342" t="str">
            <v>XQ-IUYL320-CF-L</v>
          </cell>
          <cell r="B4342" t="str">
            <v>XQ-IUYL320</v>
          </cell>
        </row>
        <row r="4343">
          <cell r="A4343" t="str">
            <v>XQ-IUYL320-CF-M</v>
          </cell>
          <cell r="B4343" t="str">
            <v>XQ-IUYL320</v>
          </cell>
        </row>
        <row r="4344">
          <cell r="A4344" t="str">
            <v>XQ-IUYL320-CF-S</v>
          </cell>
          <cell r="B4344" t="str">
            <v>XQ-IUYL320</v>
          </cell>
        </row>
        <row r="4345">
          <cell r="A4345" t="str">
            <v>XQ-IUYL320-CF-XL</v>
          </cell>
          <cell r="B4345" t="str">
            <v>XQ-IUYL320</v>
          </cell>
        </row>
        <row r="4346">
          <cell r="A4346" t="str">
            <v>XQ-IUYL320-DB-L</v>
          </cell>
          <cell r="B4346" t="str">
            <v>XQ-IUYL320</v>
          </cell>
        </row>
        <row r="4347">
          <cell r="A4347" t="str">
            <v>XQ-IUYL320-DB-M</v>
          </cell>
          <cell r="B4347" t="str">
            <v>XQ-IUYL320</v>
          </cell>
        </row>
        <row r="4348">
          <cell r="A4348" t="str">
            <v>XQ-IUYL320-DB-S</v>
          </cell>
          <cell r="B4348" t="str">
            <v>XQ-IUYL320</v>
          </cell>
        </row>
        <row r="4349">
          <cell r="A4349" t="str">
            <v>XQ-IUYL320-DB-XL</v>
          </cell>
          <cell r="B4349" t="str">
            <v>XQ-IUYL320</v>
          </cell>
        </row>
        <row r="4350">
          <cell r="A4350" t="str">
            <v>XQ-IUYL320-GN-L</v>
          </cell>
          <cell r="B4350" t="str">
            <v>XQ-IUYL320</v>
          </cell>
        </row>
        <row r="4351">
          <cell r="A4351" t="str">
            <v>XQ-IUYL320-GN-M</v>
          </cell>
          <cell r="B4351" t="str">
            <v>XQ-IUYL320</v>
          </cell>
        </row>
        <row r="4352">
          <cell r="A4352" t="str">
            <v>XQ-IUYL320-GN-S</v>
          </cell>
          <cell r="B4352" t="str">
            <v>XQ-IUYL320</v>
          </cell>
        </row>
        <row r="4353">
          <cell r="A4353" t="str">
            <v>XQ-IUYL320-GN-XL</v>
          </cell>
          <cell r="B4353" t="str">
            <v>XQ-IUYL320</v>
          </cell>
        </row>
        <row r="4354">
          <cell r="A4354" t="str">
            <v>XQ-IUYL320-PK-L</v>
          </cell>
          <cell r="B4354" t="str">
            <v>XQ-IUYL320</v>
          </cell>
        </row>
        <row r="4355">
          <cell r="A4355" t="str">
            <v>XQ-IUYL320-PK-M</v>
          </cell>
          <cell r="B4355" t="str">
            <v>XQ-IUYL320</v>
          </cell>
        </row>
        <row r="4356">
          <cell r="A4356" t="str">
            <v>XQ-IUYL320-PK-S</v>
          </cell>
          <cell r="B4356" t="str">
            <v>XQ-IUYL320</v>
          </cell>
        </row>
        <row r="4357">
          <cell r="A4357" t="str">
            <v>XQ-IUYL320-PK-XL</v>
          </cell>
          <cell r="B4357" t="str">
            <v>XQ-IUYL320</v>
          </cell>
        </row>
        <row r="4358">
          <cell r="A4358" t="str">
            <v>XQ-IUYL320-PP-L</v>
          </cell>
          <cell r="B4358" t="str">
            <v>XQ-IUYL320</v>
          </cell>
        </row>
        <row r="4359">
          <cell r="A4359" t="str">
            <v>XQ-IUYL320-PP-M</v>
          </cell>
          <cell r="B4359" t="str">
            <v>XQ-IUYL320</v>
          </cell>
        </row>
        <row r="4360">
          <cell r="A4360" t="str">
            <v>XQ-IUYL320-PP-S</v>
          </cell>
          <cell r="B4360" t="str">
            <v>XQ-IUYL320</v>
          </cell>
        </row>
        <row r="4361">
          <cell r="A4361" t="str">
            <v>XQ-IUYL320-PP-XL</v>
          </cell>
          <cell r="B4361" t="str">
            <v>XQ-IUYL320</v>
          </cell>
        </row>
        <row r="4362">
          <cell r="A4362" t="str">
            <v>XQ-IUYL320-RD-L</v>
          </cell>
          <cell r="B4362" t="str">
            <v>XQ-IUYL320</v>
          </cell>
        </row>
        <row r="4363">
          <cell r="A4363" t="str">
            <v>XQ-IUYL320-RD-M</v>
          </cell>
          <cell r="B4363" t="str">
            <v>XQ-IUYL320</v>
          </cell>
        </row>
        <row r="4364">
          <cell r="A4364" t="str">
            <v>XQ-IUYL320-RD-S</v>
          </cell>
          <cell r="B4364" t="str">
            <v>XQ-IUYL320</v>
          </cell>
        </row>
        <row r="4365">
          <cell r="A4365" t="str">
            <v>XQ-IUYL320-RD-XL</v>
          </cell>
          <cell r="B4365" t="str">
            <v>XQ-IUYL320</v>
          </cell>
        </row>
        <row r="4366">
          <cell r="A4366" t="str">
            <v>XQ-IUYL320-YL-L</v>
          </cell>
          <cell r="B4366" t="str">
            <v>XQ-IUYL320</v>
          </cell>
        </row>
        <row r="4367">
          <cell r="A4367" t="str">
            <v>XQ-IUYL320-YL-M</v>
          </cell>
          <cell r="B4367" t="str">
            <v>XQ-IUYL320</v>
          </cell>
        </row>
        <row r="4368">
          <cell r="A4368" t="str">
            <v>XQ-IUYL320-YL-S</v>
          </cell>
          <cell r="B4368" t="str">
            <v>XQ-IUYL320</v>
          </cell>
        </row>
        <row r="4369">
          <cell r="A4369" t="str">
            <v>XQ-IUYL320-YL-XL</v>
          </cell>
          <cell r="B4369" t="str">
            <v>XQ-IUYL320</v>
          </cell>
        </row>
        <row r="4370">
          <cell r="A4370" t="str">
            <v>XYZ-082-G0-L</v>
          </cell>
          <cell r="B4370" t="str">
            <v>XYZ-082</v>
          </cell>
        </row>
        <row r="4371">
          <cell r="A4371" t="str">
            <v>XYZ-082-G0-M</v>
          </cell>
          <cell r="B4371" t="str">
            <v>XYZ-082</v>
          </cell>
        </row>
        <row r="4372">
          <cell r="A4372" t="str">
            <v>XYZ-082-G0-S</v>
          </cell>
          <cell r="B4372" t="str">
            <v>XYZ-082</v>
          </cell>
        </row>
        <row r="4373">
          <cell r="A4373" t="str">
            <v>XYZ-082-G0-XL</v>
          </cell>
          <cell r="B4373" t="str">
            <v>XYZ-082</v>
          </cell>
        </row>
        <row r="4374">
          <cell r="A4374" t="str">
            <v>XYZ-082-G0-XXL</v>
          </cell>
          <cell r="B4374" t="str">
            <v>XYZ-082</v>
          </cell>
        </row>
        <row r="4375">
          <cell r="A4375" t="str">
            <v>XYZ-082-K0-L</v>
          </cell>
          <cell r="B4375" t="str">
            <v>XYZ-082</v>
          </cell>
        </row>
        <row r="4376">
          <cell r="A4376" t="str">
            <v>XYZ-082-K0-M</v>
          </cell>
          <cell r="B4376" t="str">
            <v>XYZ-082</v>
          </cell>
        </row>
        <row r="4377">
          <cell r="A4377" t="str">
            <v>XYZ-082-K0-S</v>
          </cell>
          <cell r="B4377" t="str">
            <v>XYZ-082</v>
          </cell>
        </row>
        <row r="4378">
          <cell r="A4378" t="str">
            <v>XYZ-082-K0-XL</v>
          </cell>
          <cell r="B4378" t="str">
            <v>XYZ-082</v>
          </cell>
        </row>
        <row r="4379">
          <cell r="A4379" t="str">
            <v>XYZ-082-K0-XXL</v>
          </cell>
          <cell r="B4379" t="str">
            <v>XYZ-082</v>
          </cell>
        </row>
        <row r="4380">
          <cell r="A4380" t="str">
            <v>XYZ-082-R0-L</v>
          </cell>
          <cell r="B4380" t="str">
            <v>XYZ-082</v>
          </cell>
        </row>
        <row r="4381">
          <cell r="A4381" t="str">
            <v>XYZ-082-R0-M</v>
          </cell>
          <cell r="B4381" t="str">
            <v>XYZ-082</v>
          </cell>
        </row>
        <row r="4382">
          <cell r="A4382" t="str">
            <v>XYZ-082-R0-S</v>
          </cell>
          <cell r="B4382" t="str">
            <v>XYZ-082</v>
          </cell>
        </row>
        <row r="4383">
          <cell r="A4383" t="str">
            <v>XYZ-082-R0-XL</v>
          </cell>
          <cell r="B4383" t="str">
            <v>XYZ-082</v>
          </cell>
        </row>
        <row r="4384">
          <cell r="A4384" t="str">
            <v>XYZ-082-R0-XXL</v>
          </cell>
          <cell r="B4384" t="str">
            <v>XYZ-082</v>
          </cell>
        </row>
        <row r="4385">
          <cell r="A4385" t="str">
            <v>XYZ-085-G912-L</v>
          </cell>
          <cell r="B4385" t="str">
            <v>XYZ-085</v>
          </cell>
        </row>
        <row r="4386">
          <cell r="A4386" t="str">
            <v>XYZ-085-G912-M</v>
          </cell>
          <cell r="B4386" t="str">
            <v>XYZ-085</v>
          </cell>
        </row>
        <row r="4387">
          <cell r="A4387" t="str">
            <v>XYZ-085-G912-S</v>
          </cell>
          <cell r="B4387" t="str">
            <v>XYZ-085</v>
          </cell>
        </row>
        <row r="4388">
          <cell r="A4388" t="str">
            <v>XYZ-085-G912-XL</v>
          </cell>
          <cell r="B4388" t="str">
            <v>XYZ-085</v>
          </cell>
        </row>
        <row r="4389">
          <cell r="A4389" t="str">
            <v>XYZ-085-G912-XXL</v>
          </cell>
          <cell r="B4389" t="str">
            <v>XYZ-085</v>
          </cell>
        </row>
        <row r="4390">
          <cell r="A4390" t="str">
            <v>XYZ-085-LB916-L</v>
          </cell>
          <cell r="B4390" t="str">
            <v>XYZ-085</v>
          </cell>
        </row>
        <row r="4391">
          <cell r="A4391" t="str">
            <v>XYZ-085-LB916-M</v>
          </cell>
          <cell r="B4391" t="str">
            <v>XYZ-085</v>
          </cell>
        </row>
        <row r="4392">
          <cell r="A4392" t="str">
            <v>XYZ-085-LB916-S</v>
          </cell>
          <cell r="B4392" t="str">
            <v>XYZ-085</v>
          </cell>
        </row>
        <row r="4393">
          <cell r="A4393" t="str">
            <v>XYZ-085-LB916-XL</v>
          </cell>
          <cell r="B4393" t="str">
            <v>XYZ-085</v>
          </cell>
        </row>
        <row r="4394">
          <cell r="A4394" t="str">
            <v>XYZ-085-LB916-XXL</v>
          </cell>
          <cell r="B4394" t="str">
            <v>XYZ-085</v>
          </cell>
        </row>
        <row r="4395">
          <cell r="A4395" t="str">
            <v>XYZ-085-LG907-L</v>
          </cell>
          <cell r="B4395" t="str">
            <v>XYZ-085</v>
          </cell>
        </row>
        <row r="4396">
          <cell r="A4396" t="str">
            <v>XYZ-085-LG907-M</v>
          </cell>
          <cell r="B4396" t="str">
            <v>XYZ-085</v>
          </cell>
        </row>
        <row r="4397">
          <cell r="A4397" t="str">
            <v>XYZ-085-LG907-S</v>
          </cell>
          <cell r="B4397" t="str">
            <v>XYZ-085</v>
          </cell>
        </row>
        <row r="4398">
          <cell r="A4398" t="str">
            <v>XYZ-085-LG907-XL</v>
          </cell>
          <cell r="B4398" t="str">
            <v>XYZ-085</v>
          </cell>
        </row>
        <row r="4399">
          <cell r="A4399" t="str">
            <v>XYZ-085-LG907-XXL</v>
          </cell>
          <cell r="B4399" t="str">
            <v>XYZ-085</v>
          </cell>
        </row>
        <row r="4400">
          <cell r="A4400" t="str">
            <v>XYZ-085-PI908-L</v>
          </cell>
          <cell r="B4400" t="str">
            <v>XYZ-085</v>
          </cell>
        </row>
        <row r="4401">
          <cell r="A4401" t="str">
            <v>XYZ-085-PI908-M</v>
          </cell>
          <cell r="B4401" t="str">
            <v>XYZ-085</v>
          </cell>
        </row>
        <row r="4402">
          <cell r="A4402" t="str">
            <v>XYZ-085-PI908-S</v>
          </cell>
          <cell r="B4402" t="str">
            <v>XYZ-085</v>
          </cell>
        </row>
        <row r="4403">
          <cell r="A4403" t="str">
            <v>XYZ-085-PI908-XL</v>
          </cell>
          <cell r="B4403" t="str">
            <v>XYZ-085</v>
          </cell>
        </row>
        <row r="4404">
          <cell r="A4404" t="str">
            <v>XYZ-085-PI908-XS</v>
          </cell>
          <cell r="B4404" t="str">
            <v>XYZ-085</v>
          </cell>
        </row>
        <row r="4405">
          <cell r="A4405" t="str">
            <v>XYZ-085-PI908-XXL</v>
          </cell>
          <cell r="B4405" t="str">
            <v>XYZ-085</v>
          </cell>
        </row>
        <row r="4406">
          <cell r="A4406" t="str">
            <v>XYZ-085-R901-L</v>
          </cell>
          <cell r="B4406" t="str">
            <v>XYZ-085</v>
          </cell>
        </row>
        <row r="4407">
          <cell r="A4407" t="str">
            <v>XYZ-085-R901-M</v>
          </cell>
          <cell r="B4407" t="str">
            <v>XYZ-085</v>
          </cell>
        </row>
        <row r="4408">
          <cell r="A4408" t="str">
            <v>XYZ-085-R901-S</v>
          </cell>
          <cell r="B4408" t="str">
            <v>XYZ-085</v>
          </cell>
        </row>
        <row r="4409">
          <cell r="A4409" t="str">
            <v>XYZ-085-R901-XL</v>
          </cell>
          <cell r="B4409" t="str">
            <v>XYZ-085</v>
          </cell>
        </row>
        <row r="4410">
          <cell r="A4410" t="str">
            <v>XYZ-085-R901-XXL</v>
          </cell>
          <cell r="B4410" t="str">
            <v>XYZ-085</v>
          </cell>
        </row>
        <row r="4411">
          <cell r="A4411" t="str">
            <v>XYZ-085-Sa911-L</v>
          </cell>
          <cell r="B4411" t="str">
            <v>XYZ-085</v>
          </cell>
        </row>
        <row r="4412">
          <cell r="A4412" t="str">
            <v>XYZ-085-Sa911-M</v>
          </cell>
          <cell r="B4412" t="str">
            <v>XYZ-085</v>
          </cell>
        </row>
        <row r="4413">
          <cell r="A4413" t="str">
            <v>XYZ-085-Sa911-S</v>
          </cell>
          <cell r="B4413" t="str">
            <v>XYZ-085</v>
          </cell>
        </row>
        <row r="4414">
          <cell r="A4414" t="str">
            <v>XYZ-085-Sa911-XL</v>
          </cell>
          <cell r="B4414" t="str">
            <v>XYZ-085</v>
          </cell>
        </row>
        <row r="4415">
          <cell r="A4415" t="str">
            <v>XYZ-085-Sa911-XXL</v>
          </cell>
          <cell r="B4415" t="str">
            <v>XYZ-085</v>
          </cell>
        </row>
        <row r="4416">
          <cell r="A4416" t="str">
            <v>XYZ-085-W902-L</v>
          </cell>
          <cell r="B4416" t="str">
            <v>XYZ-085</v>
          </cell>
        </row>
        <row r="4417">
          <cell r="A4417" t="str">
            <v>XYZ-085-W902-M</v>
          </cell>
          <cell r="B4417" t="str">
            <v>XYZ-085</v>
          </cell>
        </row>
        <row r="4418">
          <cell r="A4418" t="str">
            <v>XYZ-085-W902-S</v>
          </cell>
          <cell r="B4418" t="str">
            <v>XYZ-085</v>
          </cell>
        </row>
        <row r="4419">
          <cell r="A4419" t="str">
            <v>XYZ-085-W902-XL</v>
          </cell>
          <cell r="B4419" t="str">
            <v>XYZ-085</v>
          </cell>
        </row>
        <row r="4420">
          <cell r="A4420" t="str">
            <v>XYZ-085-W902-XXL</v>
          </cell>
          <cell r="B4420" t="str">
            <v>XYZ-085</v>
          </cell>
        </row>
        <row r="4421">
          <cell r="A4421" t="str">
            <v>XYZ-085-WR917-L</v>
          </cell>
          <cell r="B4421" t="str">
            <v>XYZ-085</v>
          </cell>
        </row>
        <row r="4422">
          <cell r="A4422" t="str">
            <v>XYZ-085-WR917-M</v>
          </cell>
          <cell r="B4422" t="str">
            <v>XYZ-085</v>
          </cell>
        </row>
        <row r="4423">
          <cell r="A4423" t="str">
            <v>XYZ-085-WR917-S</v>
          </cell>
          <cell r="B4423" t="str">
            <v>XYZ-085</v>
          </cell>
        </row>
        <row r="4424">
          <cell r="A4424" t="str">
            <v>XYZ-085-WR917-XL</v>
          </cell>
          <cell r="B4424" t="str">
            <v>XYZ-085</v>
          </cell>
        </row>
        <row r="4425">
          <cell r="A4425" t="str">
            <v>XYZ-085-WR917-XS</v>
          </cell>
          <cell r="B4425" t="str">
            <v>XYZ-085</v>
          </cell>
        </row>
        <row r="4426">
          <cell r="A4426" t="str">
            <v>XYZ-085-WR917-XXL</v>
          </cell>
          <cell r="B4426" t="str">
            <v>XYZ-085</v>
          </cell>
        </row>
        <row r="4427">
          <cell r="A4427" t="str">
            <v>XYZ-085-ZL918-L</v>
          </cell>
          <cell r="B4427" t="str">
            <v>XYZ-085</v>
          </cell>
        </row>
        <row r="4428">
          <cell r="A4428" t="str">
            <v>XYZ-085-ZL918-M</v>
          </cell>
          <cell r="B4428" t="str">
            <v>XYZ-085</v>
          </cell>
        </row>
        <row r="4429">
          <cell r="A4429" t="str">
            <v>XYZ-085-ZL918-S</v>
          </cell>
          <cell r="B4429" t="str">
            <v>XYZ-085</v>
          </cell>
        </row>
        <row r="4430">
          <cell r="A4430" t="str">
            <v>XYZ-085-ZL918-XL</v>
          </cell>
          <cell r="B4430" t="str">
            <v>XYZ-085</v>
          </cell>
        </row>
        <row r="4431">
          <cell r="A4431" t="str">
            <v>XYZ-085-ZL918-XS</v>
          </cell>
          <cell r="B4431" t="str">
            <v>XYZ-085</v>
          </cell>
        </row>
        <row r="4432">
          <cell r="A4432" t="str">
            <v>XYZ-085-ZL918-XXL</v>
          </cell>
          <cell r="B4432" t="str">
            <v>XYZ-085</v>
          </cell>
        </row>
        <row r="4433">
          <cell r="A4433" t="str">
            <v>XYZ-166-B28-1-L</v>
          </cell>
          <cell r="B4433" t="str">
            <v>XYZ-166</v>
          </cell>
        </row>
        <row r="4434">
          <cell r="A4434" t="str">
            <v>XYZ-166-B28-1-M</v>
          </cell>
          <cell r="B4434" t="str">
            <v>XYZ-166</v>
          </cell>
        </row>
        <row r="4435">
          <cell r="A4435" t="str">
            <v>XYZ-166-B28-1-S</v>
          </cell>
          <cell r="B4435" t="str">
            <v>XYZ-166</v>
          </cell>
        </row>
        <row r="4436">
          <cell r="A4436" t="str">
            <v>XYZ-166-B28-1-XL</v>
          </cell>
          <cell r="B4436" t="str">
            <v>XYZ-166</v>
          </cell>
        </row>
        <row r="4437">
          <cell r="A4437" t="str">
            <v>XYZ-166-B28-1-XXL</v>
          </cell>
          <cell r="B4437" t="str">
            <v>XYZ-166</v>
          </cell>
        </row>
        <row r="4438">
          <cell r="A4438" t="str">
            <v>XYZ-166-B28-3-L</v>
          </cell>
          <cell r="B4438" t="str">
            <v>XYZ-166</v>
          </cell>
        </row>
        <row r="4439">
          <cell r="A4439" t="str">
            <v>XYZ-166-B28-3-M</v>
          </cell>
          <cell r="B4439" t="str">
            <v>XYZ-166</v>
          </cell>
        </row>
        <row r="4440">
          <cell r="A4440" t="str">
            <v>XYZ-166-B28-3-S</v>
          </cell>
          <cell r="B4440" t="str">
            <v>XYZ-166</v>
          </cell>
        </row>
        <row r="4441">
          <cell r="A4441" t="str">
            <v>XYZ-166-B28-3-XL</v>
          </cell>
          <cell r="B4441" t="str">
            <v>XYZ-166</v>
          </cell>
        </row>
        <row r="4442">
          <cell r="A4442" t="str">
            <v>XYZ-166-B28-3-XXL</v>
          </cell>
          <cell r="B4442" t="str">
            <v>XYZ-166</v>
          </cell>
        </row>
        <row r="4443">
          <cell r="A4443" t="str">
            <v>XYZ-166-B28-4-L</v>
          </cell>
          <cell r="B4443" t="str">
            <v>XYZ-166</v>
          </cell>
        </row>
        <row r="4444">
          <cell r="A4444" t="str">
            <v>XYZ-166-B28-4-M</v>
          </cell>
          <cell r="B4444" t="str">
            <v>XYZ-166</v>
          </cell>
        </row>
        <row r="4445">
          <cell r="A4445" t="str">
            <v>XYZ-166-B28-4-S</v>
          </cell>
          <cell r="B4445" t="str">
            <v>XYZ-166</v>
          </cell>
        </row>
        <row r="4446">
          <cell r="A4446" t="str">
            <v>XYZ-166-B28-4-XL</v>
          </cell>
          <cell r="B4446" t="str">
            <v>XYZ-166</v>
          </cell>
        </row>
        <row r="4447">
          <cell r="A4447" t="str">
            <v>XYZ-166-B28-4-XXL</v>
          </cell>
          <cell r="B4447" t="str">
            <v>XYZ-166</v>
          </cell>
        </row>
        <row r="4448">
          <cell r="A4448" t="str">
            <v>XYZ-166-B28-5-L</v>
          </cell>
          <cell r="B4448" t="str">
            <v>XYZ-166</v>
          </cell>
        </row>
        <row r="4449">
          <cell r="A4449" t="str">
            <v>XYZ-166-B28-5-M</v>
          </cell>
          <cell r="B4449" t="str">
            <v>XYZ-166</v>
          </cell>
        </row>
        <row r="4450">
          <cell r="A4450" t="str">
            <v>XYZ-166-B28-5-S</v>
          </cell>
          <cell r="B4450" t="str">
            <v>XYZ-166</v>
          </cell>
        </row>
        <row r="4451">
          <cell r="A4451" t="str">
            <v>XYZ-166-B28-5-XL</v>
          </cell>
          <cell r="B4451" t="str">
            <v>XYZ-166</v>
          </cell>
        </row>
        <row r="4452">
          <cell r="A4452" t="str">
            <v>XYZ-166-B28-5-XXL</v>
          </cell>
          <cell r="B4452" t="str">
            <v>XYZ-166</v>
          </cell>
        </row>
        <row r="4453">
          <cell r="A4453" t="str">
            <v>XYZ-166-K33-1-L</v>
          </cell>
          <cell r="B4453" t="str">
            <v>XYZ-166</v>
          </cell>
        </row>
        <row r="4454">
          <cell r="A4454" t="str">
            <v>XYZ-166-K33-1-M</v>
          </cell>
          <cell r="B4454" t="str">
            <v>XYZ-166</v>
          </cell>
        </row>
        <row r="4455">
          <cell r="A4455" t="str">
            <v>XYZ-166-K33-1-S</v>
          </cell>
          <cell r="B4455" t="str">
            <v>XYZ-166</v>
          </cell>
        </row>
        <row r="4456">
          <cell r="A4456" t="str">
            <v>XYZ-166-K33-1-XL</v>
          </cell>
          <cell r="B4456" t="str">
            <v>XYZ-166</v>
          </cell>
        </row>
        <row r="4457">
          <cell r="A4457" t="str">
            <v>XYZ-166-K33-1-XXL</v>
          </cell>
          <cell r="B4457" t="str">
            <v>XYZ-166</v>
          </cell>
        </row>
        <row r="4458">
          <cell r="A4458" t="str">
            <v>XYZ-166-K33-2-L</v>
          </cell>
          <cell r="B4458" t="str">
            <v>XYZ-166</v>
          </cell>
        </row>
        <row r="4459">
          <cell r="A4459" t="str">
            <v>XYZ-166-K33-2-M</v>
          </cell>
          <cell r="B4459" t="str">
            <v>XYZ-166</v>
          </cell>
        </row>
        <row r="4460">
          <cell r="A4460" t="str">
            <v>XYZ-166-K33-2-S</v>
          </cell>
          <cell r="B4460" t="str">
            <v>XYZ-166</v>
          </cell>
        </row>
        <row r="4461">
          <cell r="A4461" t="str">
            <v>XYZ-166-K33-2-XL</v>
          </cell>
          <cell r="B4461" t="str">
            <v>XYZ-166</v>
          </cell>
        </row>
        <row r="4462">
          <cell r="A4462" t="str">
            <v>XYZ-166-K33-2-XXL</v>
          </cell>
          <cell r="B4462" t="str">
            <v>XYZ-166</v>
          </cell>
        </row>
        <row r="4463">
          <cell r="A4463" t="str">
            <v>XYZ-166-K33-4-L</v>
          </cell>
          <cell r="B4463" t="str">
            <v>XYZ-166</v>
          </cell>
        </row>
        <row r="4464">
          <cell r="A4464" t="str">
            <v>XYZ-166-K33-4-M</v>
          </cell>
          <cell r="B4464" t="str">
            <v>XYZ-166</v>
          </cell>
        </row>
        <row r="4465">
          <cell r="A4465" t="str">
            <v>XYZ-166-K33-4-S</v>
          </cell>
          <cell r="B4465" t="str">
            <v>XYZ-166</v>
          </cell>
        </row>
        <row r="4466">
          <cell r="A4466" t="str">
            <v>XYZ-166-K33-4-XL</v>
          </cell>
          <cell r="B4466" t="str">
            <v>XYZ-166</v>
          </cell>
        </row>
        <row r="4467">
          <cell r="A4467" t="str">
            <v>XYZ-166-K33-4-XXL</v>
          </cell>
          <cell r="B4467" t="str">
            <v>XYZ-166</v>
          </cell>
        </row>
        <row r="4468">
          <cell r="A4468" t="str">
            <v>XYZ-166-K73-1-L</v>
          </cell>
          <cell r="B4468" t="str">
            <v>XYZ-166</v>
          </cell>
        </row>
        <row r="4469">
          <cell r="A4469" t="str">
            <v>XYZ-166-K73-1-M</v>
          </cell>
          <cell r="B4469" t="str">
            <v>XYZ-166</v>
          </cell>
        </row>
        <row r="4470">
          <cell r="A4470" t="str">
            <v>XYZ-166-K73-1-S</v>
          </cell>
          <cell r="B4470" t="str">
            <v>XYZ-166</v>
          </cell>
        </row>
        <row r="4471">
          <cell r="A4471" t="str">
            <v>XYZ-166-K73-1-XL</v>
          </cell>
          <cell r="B4471" t="str">
            <v>XYZ-166</v>
          </cell>
        </row>
        <row r="4472">
          <cell r="A4472" t="str">
            <v>XYZ-166-K73-1-XXL</v>
          </cell>
          <cell r="B4472" t="str">
            <v>XYZ-166</v>
          </cell>
        </row>
        <row r="4473">
          <cell r="A4473" t="str">
            <v>XYZ-166-K73-2-L</v>
          </cell>
          <cell r="B4473" t="str">
            <v>XYZ-166</v>
          </cell>
        </row>
        <row r="4474">
          <cell r="A4474" t="str">
            <v>XYZ-166-K73-2-M</v>
          </cell>
          <cell r="B4474" t="str">
            <v>XYZ-166</v>
          </cell>
        </row>
        <row r="4475">
          <cell r="A4475" t="str">
            <v>XYZ-166-K73-2-S</v>
          </cell>
          <cell r="B4475" t="str">
            <v>XYZ-166</v>
          </cell>
        </row>
        <row r="4476">
          <cell r="A4476" t="str">
            <v>XYZ-166-K73-2-XL</v>
          </cell>
          <cell r="B4476" t="str">
            <v>XYZ-166</v>
          </cell>
        </row>
        <row r="4477">
          <cell r="A4477" t="str">
            <v>XYZ-166-K73-2-XXL</v>
          </cell>
          <cell r="B4477" t="str">
            <v>XYZ-166</v>
          </cell>
        </row>
        <row r="4478">
          <cell r="A4478" t="str">
            <v>XYZ-170-G912-L</v>
          </cell>
          <cell r="B4478" t="str">
            <v>XYZ-170</v>
          </cell>
        </row>
        <row r="4479">
          <cell r="A4479" t="str">
            <v>XYZ-170-G912-M</v>
          </cell>
          <cell r="B4479" t="str">
            <v>XYZ-170</v>
          </cell>
        </row>
        <row r="4480">
          <cell r="A4480" t="str">
            <v>XYZ-170-G912-S</v>
          </cell>
          <cell r="B4480" t="str">
            <v>XYZ-170</v>
          </cell>
        </row>
        <row r="4481">
          <cell r="A4481" t="str">
            <v>XYZ-170-G912-XL</v>
          </cell>
          <cell r="B4481" t="str">
            <v>XYZ-170</v>
          </cell>
        </row>
        <row r="4482">
          <cell r="A4482" t="str">
            <v>XYZ-170-G912-XXL</v>
          </cell>
          <cell r="B4482" t="str">
            <v>XYZ-170</v>
          </cell>
        </row>
        <row r="4483">
          <cell r="A4483" t="str">
            <v>XYZ-170-LB916-L</v>
          </cell>
          <cell r="B4483" t="str">
            <v>XYZ-170</v>
          </cell>
        </row>
        <row r="4484">
          <cell r="A4484" t="str">
            <v>XYZ-170-LB916-M</v>
          </cell>
          <cell r="B4484" t="str">
            <v>XYZ-170</v>
          </cell>
        </row>
        <row r="4485">
          <cell r="A4485" t="str">
            <v>XYZ-170-LB916-S</v>
          </cell>
          <cell r="B4485" t="str">
            <v>XYZ-170</v>
          </cell>
        </row>
        <row r="4486">
          <cell r="A4486" t="str">
            <v>XYZ-170-LB916-XL</v>
          </cell>
          <cell r="B4486" t="str">
            <v>XYZ-170</v>
          </cell>
        </row>
        <row r="4487">
          <cell r="A4487" t="str">
            <v>XYZ-170-LB916-XXL</v>
          </cell>
          <cell r="B4487" t="str">
            <v>XYZ-170</v>
          </cell>
        </row>
        <row r="4488">
          <cell r="A4488" t="str">
            <v>XYZ-170-LG907-L</v>
          </cell>
          <cell r="B4488" t="str">
            <v>XYZ-170</v>
          </cell>
        </row>
        <row r="4489">
          <cell r="A4489" t="str">
            <v>XYZ-170-LG907-M</v>
          </cell>
          <cell r="B4489" t="str">
            <v>XYZ-170</v>
          </cell>
        </row>
        <row r="4490">
          <cell r="A4490" t="str">
            <v>XYZ-170-LG907-S</v>
          </cell>
          <cell r="B4490" t="str">
            <v>XYZ-170</v>
          </cell>
        </row>
        <row r="4491">
          <cell r="A4491" t="str">
            <v>XYZ-170-LG907-XL</v>
          </cell>
          <cell r="B4491" t="str">
            <v>XYZ-170</v>
          </cell>
        </row>
        <row r="4492">
          <cell r="A4492" t="str">
            <v>XYZ-170-LG907-XXL</v>
          </cell>
          <cell r="B4492" t="str">
            <v>XYZ-170</v>
          </cell>
        </row>
        <row r="4493">
          <cell r="A4493" t="str">
            <v>XYZ-170-PI908-L</v>
          </cell>
          <cell r="B4493" t="str">
            <v>XYZ-170</v>
          </cell>
        </row>
        <row r="4494">
          <cell r="A4494" t="str">
            <v>XYZ-170-PI908-M</v>
          </cell>
          <cell r="B4494" t="str">
            <v>XYZ-170</v>
          </cell>
        </row>
        <row r="4495">
          <cell r="A4495" t="str">
            <v>XYZ-170-PI908-S</v>
          </cell>
          <cell r="B4495" t="str">
            <v>XYZ-170</v>
          </cell>
        </row>
        <row r="4496">
          <cell r="A4496" t="str">
            <v>XYZ-170-PI908-XL</v>
          </cell>
          <cell r="B4496" t="str">
            <v>XYZ-170</v>
          </cell>
        </row>
        <row r="4497">
          <cell r="A4497" t="str">
            <v>XYZ-170-PI908-XXL</v>
          </cell>
          <cell r="B4497" t="str">
            <v>XYZ-170</v>
          </cell>
        </row>
        <row r="4498">
          <cell r="A4498" t="str">
            <v>XYZ-170-Sa911-L</v>
          </cell>
          <cell r="B4498" t="str">
            <v>XYZ-170</v>
          </cell>
        </row>
        <row r="4499">
          <cell r="A4499" t="str">
            <v>XYZ-170-Sa911-M</v>
          </cell>
          <cell r="B4499" t="str">
            <v>XYZ-170</v>
          </cell>
        </row>
        <row r="4500">
          <cell r="A4500" t="str">
            <v>XYZ-170-Sa911-S</v>
          </cell>
          <cell r="B4500" t="str">
            <v>XYZ-170</v>
          </cell>
        </row>
        <row r="4501">
          <cell r="A4501" t="str">
            <v>XYZ-170-Sa911-XL</v>
          </cell>
          <cell r="B4501" t="str">
            <v>XYZ-170</v>
          </cell>
        </row>
        <row r="4502">
          <cell r="A4502" t="str">
            <v>XYZ-170-Sa911-XXL</v>
          </cell>
          <cell r="B4502" t="str">
            <v>XYZ-170</v>
          </cell>
        </row>
        <row r="4503">
          <cell r="A4503" t="str">
            <v>XYZ-170-W902-L</v>
          </cell>
          <cell r="B4503" t="str">
            <v>XYZ-170</v>
          </cell>
        </row>
        <row r="4504">
          <cell r="A4504" t="str">
            <v>XYZ-170-W902-M</v>
          </cell>
          <cell r="B4504" t="str">
            <v>XYZ-170</v>
          </cell>
        </row>
        <row r="4505">
          <cell r="A4505" t="str">
            <v>XYZ-170-W902-S</v>
          </cell>
          <cell r="B4505" t="str">
            <v>XYZ-170</v>
          </cell>
        </row>
        <row r="4506">
          <cell r="A4506" t="str">
            <v>XYZ-170-W902-XL</v>
          </cell>
          <cell r="B4506" t="str">
            <v>XYZ-170</v>
          </cell>
        </row>
        <row r="4507">
          <cell r="A4507" t="str">
            <v>XYZ-170-W902-XXL</v>
          </cell>
          <cell r="B4507" t="str">
            <v>XYZ-170</v>
          </cell>
        </row>
        <row r="4508">
          <cell r="A4508" t="str">
            <v>XYZ-170-WR917-L</v>
          </cell>
          <cell r="B4508" t="str">
            <v>XYZ-170</v>
          </cell>
        </row>
        <row r="4509">
          <cell r="A4509" t="str">
            <v>XYZ-170-WR917-M</v>
          </cell>
          <cell r="B4509" t="str">
            <v>XYZ-170</v>
          </cell>
        </row>
        <row r="4510">
          <cell r="A4510" t="str">
            <v>XYZ-170-WR917-S</v>
          </cell>
          <cell r="B4510" t="str">
            <v>XYZ-170</v>
          </cell>
        </row>
        <row r="4511">
          <cell r="A4511" t="str">
            <v>XYZ-170-WR917-XL</v>
          </cell>
          <cell r="B4511" t="str">
            <v>XYZ-170</v>
          </cell>
        </row>
        <row r="4512">
          <cell r="A4512" t="str">
            <v>XYZ-170-WR917-XXL</v>
          </cell>
          <cell r="B4512" t="str">
            <v>XYZ-170</v>
          </cell>
        </row>
        <row r="4513">
          <cell r="A4513" t="str">
            <v>XYZ-170-ZL918-L</v>
          </cell>
          <cell r="B4513" t="str">
            <v>XYZ-170</v>
          </cell>
        </row>
        <row r="4514">
          <cell r="A4514" t="str">
            <v>XYZ-170-ZL918-M</v>
          </cell>
          <cell r="B4514" t="str">
            <v>XYZ-170</v>
          </cell>
        </row>
        <row r="4515">
          <cell r="A4515" t="str">
            <v>XYZ-170-ZL918-S</v>
          </cell>
          <cell r="B4515" t="str">
            <v>XYZ-170</v>
          </cell>
        </row>
        <row r="4516">
          <cell r="A4516" t="str">
            <v>XYZ-170-ZL918-XL</v>
          </cell>
          <cell r="B4516" t="str">
            <v>XYZ-170</v>
          </cell>
        </row>
        <row r="4517">
          <cell r="A4517" t="str">
            <v>XYZ-170-ZL918-XXL</v>
          </cell>
          <cell r="B4517" t="str">
            <v>XYZ-170</v>
          </cell>
        </row>
        <row r="4518">
          <cell r="A4518" t="str">
            <v>XYZ-171-G912-L</v>
          </cell>
          <cell r="B4518" t="str">
            <v>XYZ-171</v>
          </cell>
        </row>
        <row r="4519">
          <cell r="A4519" t="str">
            <v>XYZ-171-G912-M</v>
          </cell>
          <cell r="B4519" t="str">
            <v>XYZ-171</v>
          </cell>
        </row>
        <row r="4520">
          <cell r="A4520" t="str">
            <v>XYZ-171-G912-S</v>
          </cell>
          <cell r="B4520" t="str">
            <v>XYZ-171</v>
          </cell>
        </row>
        <row r="4521">
          <cell r="A4521" t="str">
            <v>XYZ-171-G912-XL</v>
          </cell>
          <cell r="B4521" t="str">
            <v>XYZ-171</v>
          </cell>
        </row>
        <row r="4522">
          <cell r="A4522" t="str">
            <v>XYZ-171-G912-XXL</v>
          </cell>
          <cell r="B4522" t="str">
            <v>XYZ-171</v>
          </cell>
        </row>
        <row r="4523">
          <cell r="A4523" t="str">
            <v>XYZ-171-LB916-L</v>
          </cell>
          <cell r="B4523" t="str">
            <v>XYZ-171</v>
          </cell>
        </row>
        <row r="4524">
          <cell r="A4524" t="str">
            <v>XYZ-171-LB916-M</v>
          </cell>
          <cell r="B4524" t="str">
            <v>XYZ-171</v>
          </cell>
        </row>
        <row r="4525">
          <cell r="A4525" t="str">
            <v>XYZ-171-LB916-S</v>
          </cell>
          <cell r="B4525" t="str">
            <v>XYZ-171</v>
          </cell>
        </row>
        <row r="4526">
          <cell r="A4526" t="str">
            <v>XYZ-171-LB916-XL</v>
          </cell>
          <cell r="B4526" t="str">
            <v>XYZ-171</v>
          </cell>
        </row>
        <row r="4527">
          <cell r="A4527" t="str">
            <v>XYZ-171-LB916-XXL</v>
          </cell>
          <cell r="B4527" t="str">
            <v>XYZ-171</v>
          </cell>
        </row>
        <row r="4528">
          <cell r="A4528" t="str">
            <v>XYZ-171-LG907-L</v>
          </cell>
          <cell r="B4528" t="str">
            <v>XYZ-171</v>
          </cell>
        </row>
        <row r="4529">
          <cell r="A4529" t="str">
            <v>XYZ-171-LG907-M</v>
          </cell>
          <cell r="B4529" t="str">
            <v>XYZ-171</v>
          </cell>
        </row>
        <row r="4530">
          <cell r="A4530" t="str">
            <v>XYZ-171-LG907-S</v>
          </cell>
          <cell r="B4530" t="str">
            <v>XYZ-171</v>
          </cell>
        </row>
        <row r="4531">
          <cell r="A4531" t="str">
            <v>XYZ-171-LG907-XL</v>
          </cell>
          <cell r="B4531" t="str">
            <v>XYZ-171</v>
          </cell>
        </row>
        <row r="4532">
          <cell r="A4532" t="str">
            <v>XYZ-171-LG907-XXL</v>
          </cell>
          <cell r="B4532" t="str">
            <v>XYZ-171</v>
          </cell>
        </row>
        <row r="4533">
          <cell r="A4533" t="str">
            <v>XYZ-171-PI908-L</v>
          </cell>
          <cell r="B4533" t="str">
            <v>XYZ-171</v>
          </cell>
        </row>
        <row r="4534">
          <cell r="A4534" t="str">
            <v>XYZ-171-PI908-M</v>
          </cell>
          <cell r="B4534" t="str">
            <v>XYZ-171</v>
          </cell>
        </row>
        <row r="4535">
          <cell r="A4535" t="str">
            <v>XYZ-171-PI908-S</v>
          </cell>
          <cell r="B4535" t="str">
            <v>XYZ-171</v>
          </cell>
        </row>
        <row r="4536">
          <cell r="A4536" t="str">
            <v>XYZ-171-PI908-XL</v>
          </cell>
          <cell r="B4536" t="str">
            <v>XYZ-171</v>
          </cell>
        </row>
        <row r="4537">
          <cell r="A4537" t="str">
            <v>XYZ-171-PI908-XXL</v>
          </cell>
          <cell r="B4537" t="str">
            <v>XYZ-171</v>
          </cell>
        </row>
        <row r="4538">
          <cell r="A4538" t="str">
            <v>XYZ-171-Sa911-L</v>
          </cell>
          <cell r="B4538" t="str">
            <v>XYZ-171</v>
          </cell>
        </row>
        <row r="4539">
          <cell r="A4539" t="str">
            <v>XYZ-171-Sa911-M</v>
          </cell>
          <cell r="B4539" t="str">
            <v>XYZ-171</v>
          </cell>
        </row>
        <row r="4540">
          <cell r="A4540" t="str">
            <v>XYZ-171-Sa911-S</v>
          </cell>
          <cell r="B4540" t="str">
            <v>XYZ-171</v>
          </cell>
        </row>
        <row r="4541">
          <cell r="A4541" t="str">
            <v>XYZ-171-Sa911-XL</v>
          </cell>
          <cell r="B4541" t="str">
            <v>XYZ-171</v>
          </cell>
        </row>
        <row r="4542">
          <cell r="A4542" t="str">
            <v>XYZ-171-Sa911-XXL</v>
          </cell>
          <cell r="B4542" t="str">
            <v>XYZ-171</v>
          </cell>
        </row>
        <row r="4543">
          <cell r="A4543" t="str">
            <v>XYZ-171-W902-L</v>
          </cell>
          <cell r="B4543" t="str">
            <v>XYZ-171</v>
          </cell>
        </row>
        <row r="4544">
          <cell r="A4544" t="str">
            <v>XYZ-171-W902-M</v>
          </cell>
          <cell r="B4544" t="str">
            <v>XYZ-171</v>
          </cell>
        </row>
        <row r="4545">
          <cell r="A4545" t="str">
            <v>XYZ-171-W902-S</v>
          </cell>
          <cell r="B4545" t="str">
            <v>XYZ-171</v>
          </cell>
        </row>
        <row r="4546">
          <cell r="A4546" t="str">
            <v>XYZ-171-W902-XL</v>
          </cell>
          <cell r="B4546" t="str">
            <v>XYZ-171</v>
          </cell>
        </row>
        <row r="4547">
          <cell r="A4547" t="str">
            <v>XYZ-171-W902-XXL</v>
          </cell>
          <cell r="B4547" t="str">
            <v>XYZ-171</v>
          </cell>
        </row>
        <row r="4548">
          <cell r="A4548" t="str">
            <v>XYZ-171-WR917-L</v>
          </cell>
          <cell r="B4548" t="str">
            <v>XYZ-171</v>
          </cell>
        </row>
        <row r="4549">
          <cell r="A4549" t="str">
            <v>XYZ-171-WR917-M</v>
          </cell>
          <cell r="B4549" t="str">
            <v>XYZ-171</v>
          </cell>
        </row>
        <row r="4550">
          <cell r="A4550" t="str">
            <v>XYZ-171-WR917-S</v>
          </cell>
          <cell r="B4550" t="str">
            <v>XYZ-171</v>
          </cell>
        </row>
        <row r="4551">
          <cell r="A4551" t="str">
            <v>XYZ-171-WR917-XL</v>
          </cell>
          <cell r="B4551" t="str">
            <v>XYZ-171</v>
          </cell>
        </row>
        <row r="4552">
          <cell r="A4552" t="str">
            <v>XYZ-171-WR917-XXL</v>
          </cell>
          <cell r="B4552" t="str">
            <v>XYZ-171</v>
          </cell>
        </row>
        <row r="4553">
          <cell r="A4553" t="str">
            <v>XYZ-171-ZL918-L</v>
          </cell>
          <cell r="B4553" t="str">
            <v>XYZ-171</v>
          </cell>
        </row>
        <row r="4554">
          <cell r="A4554" t="str">
            <v>XYZ-171-ZL918-M</v>
          </cell>
          <cell r="B4554" t="str">
            <v>XYZ-171</v>
          </cell>
        </row>
        <row r="4555">
          <cell r="A4555" t="str">
            <v>XYZ-171-ZL918-S</v>
          </cell>
          <cell r="B4555" t="str">
            <v>XYZ-171</v>
          </cell>
        </row>
        <row r="4556">
          <cell r="A4556" t="str">
            <v>XYZ-171-ZL918-XL</v>
          </cell>
          <cell r="B4556" t="str">
            <v>XYZ-171</v>
          </cell>
        </row>
        <row r="4557">
          <cell r="A4557" t="str">
            <v>XYZ-171-ZL918-XXL</v>
          </cell>
          <cell r="B4557" t="str">
            <v>XYZ-171</v>
          </cell>
        </row>
        <row r="4558">
          <cell r="A4558" t="str">
            <v>XYZ-181-G912-L</v>
          </cell>
          <cell r="B4558" t="str">
            <v>XYZ-181</v>
          </cell>
        </row>
        <row r="4559">
          <cell r="A4559" t="str">
            <v>XYZ-181-G912-M</v>
          </cell>
          <cell r="B4559" t="str">
            <v>XYZ-181</v>
          </cell>
        </row>
        <row r="4560">
          <cell r="A4560" t="str">
            <v>XYZ-181-G912-S</v>
          </cell>
          <cell r="B4560" t="str">
            <v>XYZ-181</v>
          </cell>
        </row>
        <row r="4561">
          <cell r="A4561" t="str">
            <v>XYZ-181-G912-XL</v>
          </cell>
          <cell r="B4561" t="str">
            <v>XYZ-181</v>
          </cell>
        </row>
        <row r="4562">
          <cell r="A4562" t="str">
            <v>XYZ-181-G912-XXL</v>
          </cell>
          <cell r="B4562" t="str">
            <v>XYZ-181</v>
          </cell>
        </row>
        <row r="4563">
          <cell r="A4563" t="str">
            <v>XYZ-181-LB916-L</v>
          </cell>
          <cell r="B4563" t="str">
            <v>XYZ-181</v>
          </cell>
        </row>
        <row r="4564">
          <cell r="A4564" t="str">
            <v>XYZ-181-LB916-M</v>
          </cell>
          <cell r="B4564" t="str">
            <v>XYZ-181</v>
          </cell>
        </row>
        <row r="4565">
          <cell r="A4565" t="str">
            <v>XYZ-181-LB916-S</v>
          </cell>
          <cell r="B4565" t="str">
            <v>XYZ-181</v>
          </cell>
        </row>
        <row r="4566">
          <cell r="A4566" t="str">
            <v>XYZ-181-LB916-XL</v>
          </cell>
          <cell r="B4566" t="str">
            <v>XYZ-181</v>
          </cell>
        </row>
        <row r="4567">
          <cell r="A4567" t="str">
            <v>XYZ-181-LB916-XXL</v>
          </cell>
          <cell r="B4567" t="str">
            <v>XYZ-181</v>
          </cell>
        </row>
        <row r="4568">
          <cell r="A4568" t="str">
            <v>XYZ-181-LG907-L</v>
          </cell>
          <cell r="B4568" t="str">
            <v>XYZ-181</v>
          </cell>
        </row>
        <row r="4569">
          <cell r="A4569" t="str">
            <v>XYZ-181-LG907-M</v>
          </cell>
          <cell r="B4569" t="str">
            <v>XYZ-181</v>
          </cell>
        </row>
        <row r="4570">
          <cell r="A4570" t="str">
            <v>XYZ-181-LG907-S</v>
          </cell>
          <cell r="B4570" t="str">
            <v>XYZ-181</v>
          </cell>
        </row>
        <row r="4571">
          <cell r="A4571" t="str">
            <v>XYZ-181-LG907-XL</v>
          </cell>
          <cell r="B4571" t="str">
            <v>XYZ-181</v>
          </cell>
        </row>
        <row r="4572">
          <cell r="A4572" t="str">
            <v>XYZ-181-LG907-XXL</v>
          </cell>
          <cell r="B4572" t="str">
            <v>XYZ-181</v>
          </cell>
        </row>
        <row r="4573">
          <cell r="A4573" t="str">
            <v>XYZ-181-PI908-L</v>
          </cell>
          <cell r="B4573" t="str">
            <v>XYZ-181</v>
          </cell>
        </row>
        <row r="4574">
          <cell r="A4574" t="str">
            <v>XYZ-181-PI908-M</v>
          </cell>
          <cell r="B4574" t="str">
            <v>XYZ-181</v>
          </cell>
        </row>
        <row r="4575">
          <cell r="A4575" t="str">
            <v>XYZ-181-PI908-S</v>
          </cell>
          <cell r="B4575" t="str">
            <v>XYZ-181</v>
          </cell>
        </row>
        <row r="4576">
          <cell r="A4576" t="str">
            <v>XYZ-181-PI908-XL</v>
          </cell>
          <cell r="B4576" t="str">
            <v>XYZ-181</v>
          </cell>
        </row>
        <row r="4577">
          <cell r="A4577" t="str">
            <v>XYZ-181-PI908-XXL</v>
          </cell>
          <cell r="B4577" t="str">
            <v>XYZ-181</v>
          </cell>
        </row>
        <row r="4578">
          <cell r="A4578" t="str">
            <v>XYZ-181-Sa911-L</v>
          </cell>
          <cell r="B4578" t="str">
            <v>XYZ-181</v>
          </cell>
        </row>
        <row r="4579">
          <cell r="A4579" t="str">
            <v>XYZ-181-Sa911-M</v>
          </cell>
          <cell r="B4579" t="str">
            <v>XYZ-181</v>
          </cell>
        </row>
        <row r="4580">
          <cell r="A4580" t="str">
            <v>XYZ-181-Sa911-S</v>
          </cell>
          <cell r="B4580" t="str">
            <v>XYZ-181</v>
          </cell>
        </row>
        <row r="4581">
          <cell r="A4581" t="str">
            <v>XYZ-181-Sa911-XL</v>
          </cell>
          <cell r="B4581" t="str">
            <v>XYZ-181</v>
          </cell>
        </row>
        <row r="4582">
          <cell r="A4582" t="str">
            <v>XYZ-181-Sa911-XXL</v>
          </cell>
          <cell r="B4582" t="str">
            <v>XYZ-181</v>
          </cell>
        </row>
        <row r="4583">
          <cell r="A4583" t="str">
            <v>XYZ-181-W902-L</v>
          </cell>
          <cell r="B4583" t="str">
            <v>XYZ-181</v>
          </cell>
        </row>
        <row r="4584">
          <cell r="A4584" t="str">
            <v>XYZ-181-W902-M</v>
          </cell>
          <cell r="B4584" t="str">
            <v>XYZ-181</v>
          </cell>
        </row>
        <row r="4585">
          <cell r="A4585" t="str">
            <v>XYZ-181-W902-S</v>
          </cell>
          <cell r="B4585" t="str">
            <v>XYZ-181</v>
          </cell>
        </row>
        <row r="4586">
          <cell r="A4586" t="str">
            <v>XYZ-181-W902-XL</v>
          </cell>
          <cell r="B4586" t="str">
            <v>XYZ-181</v>
          </cell>
        </row>
        <row r="4587">
          <cell r="A4587" t="str">
            <v>XYZ-181-W902-XXL</v>
          </cell>
          <cell r="B4587" t="str">
            <v>XYZ-181</v>
          </cell>
        </row>
        <row r="4588">
          <cell r="A4588" t="str">
            <v>XYZ-181-WR917-L</v>
          </cell>
          <cell r="B4588" t="str">
            <v>XYZ-181</v>
          </cell>
        </row>
        <row r="4589">
          <cell r="A4589" t="str">
            <v>XYZ-181-WR917-M</v>
          </cell>
          <cell r="B4589" t="str">
            <v>XYZ-181</v>
          </cell>
        </row>
        <row r="4590">
          <cell r="A4590" t="str">
            <v>XYZ-181-WR917-S</v>
          </cell>
          <cell r="B4590" t="str">
            <v>XYZ-181</v>
          </cell>
        </row>
        <row r="4591">
          <cell r="A4591" t="str">
            <v>XYZ-181-WR917-XL</v>
          </cell>
          <cell r="B4591" t="str">
            <v>XYZ-181</v>
          </cell>
        </row>
        <row r="4592">
          <cell r="A4592" t="str">
            <v>XYZ-181-WR917-XXL</v>
          </cell>
          <cell r="B4592" t="str">
            <v>XYZ-181</v>
          </cell>
        </row>
        <row r="4593">
          <cell r="A4593" t="str">
            <v>XYZ-181-ZL918-L</v>
          </cell>
          <cell r="B4593" t="str">
            <v>XYZ-181</v>
          </cell>
        </row>
        <row r="4594">
          <cell r="A4594" t="str">
            <v>XYZ-181-ZL918-M</v>
          </cell>
          <cell r="B4594" t="str">
            <v>XYZ-181</v>
          </cell>
        </row>
        <row r="4595">
          <cell r="A4595" t="str">
            <v>XYZ-181-ZL918-S</v>
          </cell>
          <cell r="B4595" t="str">
            <v>XYZ-181</v>
          </cell>
        </row>
        <row r="4596">
          <cell r="A4596" t="str">
            <v>XYZ-181-ZL918-XL</v>
          </cell>
          <cell r="B4596" t="str">
            <v>XYZ-181</v>
          </cell>
        </row>
        <row r="4597">
          <cell r="A4597" t="str">
            <v>XYZ-181-ZL918-XXL</v>
          </cell>
          <cell r="B4597" t="str">
            <v>XYZ-181</v>
          </cell>
        </row>
        <row r="4598">
          <cell r="A4598" t="str">
            <v>XZ-001E0L</v>
          </cell>
          <cell r="B4598" t="str">
            <v>XZ-001</v>
          </cell>
        </row>
        <row r="4599">
          <cell r="A4599" t="str">
            <v>XZ-001E0M</v>
          </cell>
          <cell r="B4599" t="str">
            <v>XZ-001</v>
          </cell>
        </row>
        <row r="4600">
          <cell r="A4600" t="str">
            <v>XZ-001E0S</v>
          </cell>
          <cell r="B4600" t="str">
            <v>XZ-001</v>
          </cell>
        </row>
        <row r="4601">
          <cell r="A4601" t="str">
            <v>XZ-001W0L</v>
          </cell>
          <cell r="B4601" t="str">
            <v>XZ-001</v>
          </cell>
        </row>
        <row r="4602">
          <cell r="A4602" t="str">
            <v>XZ-001W0M</v>
          </cell>
          <cell r="B4602" t="str">
            <v>XZ-001</v>
          </cell>
        </row>
        <row r="4603">
          <cell r="A4603" t="str">
            <v>XZ-001W0S</v>
          </cell>
          <cell r="B4603" t="str">
            <v>XZ-001</v>
          </cell>
        </row>
        <row r="4604">
          <cell r="A4604" t="str">
            <v>XZ-001ZEL</v>
          </cell>
          <cell r="B4604" t="str">
            <v>XZ-001</v>
          </cell>
        </row>
        <row r="4605">
          <cell r="A4605" t="str">
            <v>XZ-001ZEM</v>
          </cell>
          <cell r="B4605" t="str">
            <v>XZ-001</v>
          </cell>
        </row>
        <row r="4606">
          <cell r="A4606" t="str">
            <v>XZ-001ZES</v>
          </cell>
          <cell r="B4606" t="str">
            <v>XZ-001</v>
          </cell>
        </row>
        <row r="4607">
          <cell r="A4607" t="str">
            <v>XZ-002CWL</v>
          </cell>
          <cell r="B4607" t="str">
            <v>XZ-002</v>
          </cell>
        </row>
        <row r="4608">
          <cell r="A4608" t="str">
            <v>XZ-002CWM</v>
          </cell>
          <cell r="B4608" t="str">
            <v>XZ-002</v>
          </cell>
        </row>
        <row r="4609">
          <cell r="A4609" t="str">
            <v>XZ-002CWS</v>
          </cell>
          <cell r="B4609" t="str">
            <v>XZ-002</v>
          </cell>
        </row>
        <row r="4610">
          <cell r="A4610" t="str">
            <v>XZ-002GRL</v>
          </cell>
          <cell r="B4610" t="str">
            <v>XZ-002</v>
          </cell>
        </row>
        <row r="4611">
          <cell r="A4611" t="str">
            <v>XZ-002GRM</v>
          </cell>
          <cell r="B4611" t="str">
            <v>XZ-002</v>
          </cell>
        </row>
        <row r="4612">
          <cell r="A4612" t="str">
            <v>XZ-002GRS</v>
          </cell>
          <cell r="B4612" t="str">
            <v>XZ-002</v>
          </cell>
        </row>
        <row r="4613">
          <cell r="A4613" t="str">
            <v>XZ-002W0L</v>
          </cell>
          <cell r="B4613" t="str">
            <v>XZ-002</v>
          </cell>
        </row>
        <row r="4614">
          <cell r="A4614" t="str">
            <v>XZ-003B0L</v>
          </cell>
          <cell r="B4614" t="str">
            <v>XZ-003</v>
          </cell>
        </row>
        <row r="4615">
          <cell r="A4615" t="str">
            <v>XZ-003B0M</v>
          </cell>
          <cell r="B4615" t="str">
            <v>XZ-003</v>
          </cell>
        </row>
        <row r="4616">
          <cell r="A4616" t="str">
            <v>XZ-003B0S</v>
          </cell>
          <cell r="B4616" t="str">
            <v>XZ-003</v>
          </cell>
        </row>
        <row r="4617">
          <cell r="A4617" t="str">
            <v>XZ-003R0L</v>
          </cell>
          <cell r="B4617" t="str">
            <v>XZ-003</v>
          </cell>
        </row>
        <row r="4618">
          <cell r="A4618" t="str">
            <v>XZ-003R0M</v>
          </cell>
          <cell r="B4618" t="str">
            <v>XZ-003</v>
          </cell>
        </row>
        <row r="4619">
          <cell r="A4619" t="str">
            <v>XZ-003R0S</v>
          </cell>
          <cell r="B4619" t="str">
            <v>XZ-003</v>
          </cell>
        </row>
        <row r="4620">
          <cell r="A4620" t="str">
            <v>XZ-004B0M</v>
          </cell>
          <cell r="B4620" t="str">
            <v>XZ-004</v>
          </cell>
        </row>
        <row r="4621">
          <cell r="A4621" t="str">
            <v>XZ-004B0S</v>
          </cell>
          <cell r="B4621" t="str">
            <v>XZ-004</v>
          </cell>
        </row>
        <row r="4622">
          <cell r="A4622" t="str">
            <v>XZ-004BOL</v>
          </cell>
          <cell r="B4622" t="str">
            <v>XZ-004</v>
          </cell>
        </row>
        <row r="4623">
          <cell r="A4623" t="str">
            <v>XZ-004G0L</v>
          </cell>
          <cell r="B4623" t="str">
            <v>XZ-004</v>
          </cell>
        </row>
        <row r="4624">
          <cell r="A4624" t="str">
            <v>XZ-004G0M</v>
          </cell>
          <cell r="B4624" t="str">
            <v>XZ-004</v>
          </cell>
        </row>
        <row r="4625">
          <cell r="A4625" t="str">
            <v>XZ-004G0S</v>
          </cell>
          <cell r="B4625" t="str">
            <v>XZ-004</v>
          </cell>
        </row>
        <row r="4626">
          <cell r="A4626" t="str">
            <v>XZ-004K0L</v>
          </cell>
          <cell r="B4626" t="str">
            <v>XZ-004</v>
          </cell>
        </row>
        <row r="4627">
          <cell r="A4627" t="str">
            <v>XZ-004K0M</v>
          </cell>
          <cell r="B4627" t="str">
            <v>XZ-004</v>
          </cell>
        </row>
        <row r="4628">
          <cell r="A4628" t="str">
            <v>XZ-004K0S</v>
          </cell>
          <cell r="B4628" t="str">
            <v>XZ-004</v>
          </cell>
        </row>
        <row r="4629">
          <cell r="A4629" t="str">
            <v>XZ-004R0L</v>
          </cell>
          <cell r="B4629" t="str">
            <v>XZ-004</v>
          </cell>
        </row>
        <row r="4630">
          <cell r="A4630" t="str">
            <v>XZ-004R0M</v>
          </cell>
          <cell r="B4630" t="str">
            <v>XZ-004</v>
          </cell>
        </row>
        <row r="4631">
          <cell r="A4631" t="str">
            <v>XZ-004R0S</v>
          </cell>
          <cell r="B4631" t="str">
            <v>XZ-004</v>
          </cell>
        </row>
        <row r="4632">
          <cell r="A4632" t="str">
            <v>XZ-004SLL</v>
          </cell>
          <cell r="B4632" t="str">
            <v>XZ-004</v>
          </cell>
        </row>
        <row r="4633">
          <cell r="A4633" t="str">
            <v>XZ-004SLM</v>
          </cell>
          <cell r="B4633" t="str">
            <v>XZ-004</v>
          </cell>
        </row>
        <row r="4634">
          <cell r="A4634" t="str">
            <v>XZ-004SLS</v>
          </cell>
          <cell r="B4634" t="str">
            <v>XZ-004</v>
          </cell>
        </row>
        <row r="4635">
          <cell r="A4635" t="str">
            <v>XZ-005</v>
          </cell>
          <cell r="B4635" t="str">
            <v>XZ-005</v>
          </cell>
        </row>
        <row r="4636">
          <cell r="A4636" t="str">
            <v>XZ-005GEL</v>
          </cell>
          <cell r="B4636" t="str">
            <v>XZ-005</v>
          </cell>
        </row>
        <row r="4637">
          <cell r="A4637" t="str">
            <v>XZ-005GEM</v>
          </cell>
          <cell r="B4637" t="str">
            <v>XZ-005</v>
          </cell>
        </row>
        <row r="4638">
          <cell r="A4638" t="str">
            <v>XZ-005GES</v>
          </cell>
          <cell r="B4638" t="str">
            <v>XZ-005</v>
          </cell>
        </row>
        <row r="4639">
          <cell r="A4639" t="str">
            <v>XZ-005P0L</v>
          </cell>
          <cell r="B4639" t="str">
            <v>XZ-005</v>
          </cell>
        </row>
        <row r="4640">
          <cell r="A4640" t="str">
            <v>XZ-005P0M</v>
          </cell>
          <cell r="B4640" t="str">
            <v>XZ-005</v>
          </cell>
        </row>
        <row r="4641">
          <cell r="A4641" t="str">
            <v>XZ-005P0S</v>
          </cell>
          <cell r="B4641" t="str">
            <v>XZ-005</v>
          </cell>
        </row>
        <row r="4642">
          <cell r="A4642" t="str">
            <v>XZ-005Y0L</v>
          </cell>
          <cell r="B4642" t="str">
            <v>XZ-005</v>
          </cell>
        </row>
        <row r="4643">
          <cell r="A4643" t="str">
            <v>XZ-005Y0M</v>
          </cell>
          <cell r="B4643" t="str">
            <v>XZ-005</v>
          </cell>
        </row>
        <row r="4644">
          <cell r="A4644" t="str">
            <v>XZ-005Y0S</v>
          </cell>
          <cell r="B4644" t="str">
            <v>XZ-005</v>
          </cell>
        </row>
        <row r="4645">
          <cell r="A4645" t="str">
            <v>XZ-006</v>
          </cell>
          <cell r="B4645" t="str">
            <v>XZ-006</v>
          </cell>
        </row>
        <row r="4646">
          <cell r="A4646" t="str">
            <v>XZ-006B0L</v>
          </cell>
          <cell r="B4646" t="str">
            <v>XZ-006</v>
          </cell>
        </row>
        <row r="4647">
          <cell r="A4647" t="str">
            <v>XZ-006B0M</v>
          </cell>
          <cell r="B4647" t="str">
            <v>XZ-006</v>
          </cell>
        </row>
        <row r="4648">
          <cell r="A4648" t="str">
            <v>XZ-006B0S</v>
          </cell>
          <cell r="B4648" t="str">
            <v>XZ-006</v>
          </cell>
        </row>
        <row r="4649">
          <cell r="A4649" t="str">
            <v>XZ-006GRL</v>
          </cell>
          <cell r="B4649" t="str">
            <v>XZ-006</v>
          </cell>
        </row>
        <row r="4650">
          <cell r="A4650" t="str">
            <v>XZ-006GRM</v>
          </cell>
          <cell r="B4650" t="str">
            <v>XZ-006</v>
          </cell>
        </row>
        <row r="4651">
          <cell r="A4651" t="str">
            <v>XZ-006GRS</v>
          </cell>
          <cell r="B4651" t="str">
            <v>XZ-006</v>
          </cell>
        </row>
        <row r="4652">
          <cell r="A4652" t="str">
            <v>XZ-006R0L</v>
          </cell>
          <cell r="B4652" t="str">
            <v>XZ-006</v>
          </cell>
        </row>
        <row r="4653">
          <cell r="A4653" t="str">
            <v>XZ-006R0M</v>
          </cell>
          <cell r="B4653" t="str">
            <v>XZ-006</v>
          </cell>
        </row>
        <row r="4654">
          <cell r="A4654" t="str">
            <v>XZ-006R0S</v>
          </cell>
          <cell r="B4654" t="str">
            <v>XZ-006</v>
          </cell>
        </row>
        <row r="4655">
          <cell r="A4655" t="str">
            <v>XZ-007</v>
          </cell>
          <cell r="B4655" t="str">
            <v>XZ-007</v>
          </cell>
        </row>
        <row r="4656">
          <cell r="A4656" t="str">
            <v>XZ-007GRL</v>
          </cell>
          <cell r="B4656" t="str">
            <v>XZ-007</v>
          </cell>
        </row>
        <row r="4657">
          <cell r="A4657" t="str">
            <v>XZ-007GRM</v>
          </cell>
          <cell r="B4657" t="str">
            <v>XZ-007</v>
          </cell>
        </row>
        <row r="4658">
          <cell r="A4658" t="str">
            <v>XZ-007GRS</v>
          </cell>
          <cell r="B4658" t="str">
            <v>XZ-007</v>
          </cell>
        </row>
        <row r="4659">
          <cell r="A4659" t="str">
            <v>XZ-007GRXL</v>
          </cell>
          <cell r="B4659" t="str">
            <v>XZ-007</v>
          </cell>
        </row>
        <row r="4660">
          <cell r="A4660" t="str">
            <v>XZ-007W0L</v>
          </cell>
          <cell r="B4660" t="str">
            <v>XZ-007</v>
          </cell>
        </row>
        <row r="4661">
          <cell r="A4661" t="str">
            <v>XZ-007W0M</v>
          </cell>
          <cell r="B4661" t="str">
            <v>XZ-007</v>
          </cell>
        </row>
        <row r="4662">
          <cell r="A4662" t="str">
            <v>XZ-007W0S</v>
          </cell>
          <cell r="B4662" t="str">
            <v>XZ-007</v>
          </cell>
        </row>
        <row r="4663">
          <cell r="A4663" t="str">
            <v>XZ-007W0XL</v>
          </cell>
          <cell r="B4663" t="str">
            <v>XZ-007</v>
          </cell>
        </row>
        <row r="4664">
          <cell r="A4664" t="str">
            <v>XZ-011</v>
          </cell>
          <cell r="B4664" t="str">
            <v>XZ-011</v>
          </cell>
        </row>
        <row r="4665">
          <cell r="A4665" t="str">
            <v>XZ-011CoL</v>
          </cell>
          <cell r="B4665" t="str">
            <v>XZ-011</v>
          </cell>
        </row>
        <row r="4666">
          <cell r="A4666" t="str">
            <v>XZ-011CoXL</v>
          </cell>
          <cell r="B4666" t="str">
            <v>XZ-011</v>
          </cell>
        </row>
        <row r="4667">
          <cell r="A4667" t="str">
            <v>XZ-011R6S</v>
          </cell>
          <cell r="B4667" t="str">
            <v>XZ-011</v>
          </cell>
        </row>
        <row r="4668">
          <cell r="A4668" t="str">
            <v>XZ-013</v>
          </cell>
          <cell r="B4668" t="str">
            <v>XZ-013</v>
          </cell>
        </row>
        <row r="4669">
          <cell r="A4669" t="str">
            <v>XZ-013-Cat-3637</v>
          </cell>
          <cell r="B4669" t="str">
            <v>XZ-013</v>
          </cell>
        </row>
        <row r="4670">
          <cell r="A4670" t="str">
            <v>XZ-013-Cat-3839</v>
          </cell>
          <cell r="B4670" t="str">
            <v>XZ-013</v>
          </cell>
        </row>
        <row r="4671">
          <cell r="A4671" t="str">
            <v>XZ-013-GR1-3637</v>
          </cell>
          <cell r="B4671" t="str">
            <v>XZ-013</v>
          </cell>
        </row>
        <row r="4672">
          <cell r="A4672" t="str">
            <v>XZ-013-GR1-3839</v>
          </cell>
          <cell r="B4672" t="str">
            <v>XZ-013</v>
          </cell>
        </row>
        <row r="4673">
          <cell r="A4673" t="str">
            <v>XZ-013-GR1-4041</v>
          </cell>
          <cell r="B4673" t="str">
            <v>XZ-013</v>
          </cell>
        </row>
        <row r="4674">
          <cell r="A4674" t="str">
            <v>XZ-013-GR1-4243</v>
          </cell>
          <cell r="B4674" t="str">
            <v>XZ-013</v>
          </cell>
        </row>
        <row r="4675">
          <cell r="A4675" t="str">
            <v>XZ-013GR1L</v>
          </cell>
          <cell r="B4675" t="str">
            <v>XZ-013</v>
          </cell>
        </row>
        <row r="4676">
          <cell r="A4676" t="str">
            <v>XZ-013GR1M</v>
          </cell>
          <cell r="B4676" t="str">
            <v>XZ-013</v>
          </cell>
        </row>
        <row r="4677">
          <cell r="A4677" t="str">
            <v>XZ-013GR1S</v>
          </cell>
          <cell r="B4677" t="str">
            <v>XZ-013</v>
          </cell>
        </row>
        <row r="4678">
          <cell r="A4678" t="str">
            <v>XZ-013GR1XL</v>
          </cell>
          <cell r="B4678" t="str">
            <v>XZ-013</v>
          </cell>
        </row>
        <row r="4679">
          <cell r="A4679" t="str">
            <v>XZ-013-GR2-3637</v>
          </cell>
          <cell r="B4679" t="str">
            <v>XZ-013</v>
          </cell>
        </row>
        <row r="4680">
          <cell r="A4680" t="str">
            <v>XZ-013-GR2-3839</v>
          </cell>
          <cell r="B4680" t="str">
            <v>XZ-013</v>
          </cell>
        </row>
        <row r="4681">
          <cell r="A4681" t="str">
            <v>XZ-013-GR2-4041</v>
          </cell>
          <cell r="B4681" t="str">
            <v>XZ-013</v>
          </cell>
        </row>
        <row r="4682">
          <cell r="A4682" t="str">
            <v>XZ-013-GR2-4243</v>
          </cell>
          <cell r="B4682" t="str">
            <v>XZ-013</v>
          </cell>
        </row>
        <row r="4683">
          <cell r="A4683" t="str">
            <v>XZ-013GR2L</v>
          </cell>
          <cell r="B4683" t="str">
            <v>XZ-013</v>
          </cell>
        </row>
        <row r="4684">
          <cell r="A4684" t="str">
            <v>XZ-013GR2M</v>
          </cell>
          <cell r="B4684" t="str">
            <v>XZ-013</v>
          </cell>
        </row>
        <row r="4685">
          <cell r="A4685" t="str">
            <v>XZ-013GR2S</v>
          </cell>
          <cell r="B4685" t="str">
            <v>XZ-013</v>
          </cell>
        </row>
        <row r="4686">
          <cell r="A4686" t="str">
            <v>XZ-013GR2XL</v>
          </cell>
          <cell r="B4686" t="str">
            <v>XZ-013</v>
          </cell>
        </row>
        <row r="4687">
          <cell r="A4687" t="str">
            <v>XZ-013GR3-2XL</v>
          </cell>
          <cell r="B4687" t="str">
            <v>XZ-013</v>
          </cell>
        </row>
        <row r="4688">
          <cell r="A4688" t="str">
            <v>XZ-013-GR3-3536</v>
          </cell>
          <cell r="B4688" t="str">
            <v>XZ-013</v>
          </cell>
        </row>
        <row r="4689">
          <cell r="A4689" t="str">
            <v>XZ-013-GR3-3738</v>
          </cell>
          <cell r="B4689" t="str">
            <v>XZ-013</v>
          </cell>
        </row>
        <row r="4690">
          <cell r="A4690" t="str">
            <v>XZ-013-GR3-3940</v>
          </cell>
          <cell r="B4690" t="str">
            <v>XZ-013</v>
          </cell>
        </row>
        <row r="4691">
          <cell r="A4691" t="str">
            <v>XZ-013-GR3-4142</v>
          </cell>
          <cell r="B4691" t="str">
            <v>XZ-013</v>
          </cell>
        </row>
        <row r="4692">
          <cell r="A4692" t="str">
            <v>XZ-013-GR3-4344</v>
          </cell>
          <cell r="B4692" t="str">
            <v>XZ-013</v>
          </cell>
        </row>
        <row r="4693">
          <cell r="A4693" t="str">
            <v>XZ-013GR3L</v>
          </cell>
          <cell r="B4693" t="str">
            <v>XZ-013</v>
          </cell>
        </row>
        <row r="4694">
          <cell r="A4694" t="str">
            <v>XZ-013GR3M</v>
          </cell>
          <cell r="B4694" t="str">
            <v>XZ-013</v>
          </cell>
        </row>
        <row r="4695">
          <cell r="A4695" t="str">
            <v>XZ-013GR3S</v>
          </cell>
          <cell r="B4695" t="str">
            <v>XZ-013</v>
          </cell>
        </row>
        <row r="4696">
          <cell r="A4696" t="str">
            <v>XZ-013GR3XL</v>
          </cell>
          <cell r="B4696" t="str">
            <v>XZ-013</v>
          </cell>
        </row>
        <row r="4697">
          <cell r="A4697" t="str">
            <v>XZ-013-Owl-3637</v>
          </cell>
          <cell r="B4697" t="str">
            <v>XZ-013</v>
          </cell>
        </row>
        <row r="4698">
          <cell r="A4698" t="str">
            <v>XZ-013-Owl-3839</v>
          </cell>
          <cell r="B4698" t="str">
            <v>XZ-013</v>
          </cell>
        </row>
        <row r="4699">
          <cell r="A4699" t="str">
            <v>XZ-013-PI3-3536</v>
          </cell>
          <cell r="B4699" t="str">
            <v>XZ-013</v>
          </cell>
        </row>
        <row r="4700">
          <cell r="A4700" t="str">
            <v>XZ-013-PI3-3738</v>
          </cell>
          <cell r="B4700" t="str">
            <v>XZ-013</v>
          </cell>
        </row>
        <row r="4701">
          <cell r="A4701" t="str">
            <v>XZ-013-PI3-3940</v>
          </cell>
          <cell r="B4701" t="str">
            <v>XZ-013</v>
          </cell>
        </row>
        <row r="4702">
          <cell r="A4702" t="str">
            <v>XZ-013PI3L</v>
          </cell>
          <cell r="B4702" t="str">
            <v>XZ-013</v>
          </cell>
        </row>
        <row r="4703">
          <cell r="A4703" t="str">
            <v>XZ-013PI3M</v>
          </cell>
          <cell r="B4703" t="str">
            <v>XZ-013</v>
          </cell>
        </row>
        <row r="4704">
          <cell r="A4704" t="str">
            <v>XZ-013PI3S</v>
          </cell>
          <cell r="B4704" t="str">
            <v>XZ-013</v>
          </cell>
        </row>
        <row r="4705">
          <cell r="A4705" t="str">
            <v>XZ-013-WH1-3637</v>
          </cell>
          <cell r="B4705" t="str">
            <v>XZ-013</v>
          </cell>
        </row>
        <row r="4706">
          <cell r="A4706" t="str">
            <v>XZ-013-WH1-3839</v>
          </cell>
          <cell r="B4706" t="str">
            <v>XZ-013</v>
          </cell>
        </row>
        <row r="4707">
          <cell r="A4707" t="str">
            <v>XZ-013WH1M</v>
          </cell>
          <cell r="B4707" t="str">
            <v>XZ-013</v>
          </cell>
        </row>
        <row r="4708">
          <cell r="A4708" t="str">
            <v>XZ-013WH1S</v>
          </cell>
          <cell r="B4708" t="str">
            <v>XZ-013</v>
          </cell>
        </row>
        <row r="4709">
          <cell r="A4709" t="str">
            <v>XZ-013-WH2-3637</v>
          </cell>
          <cell r="B4709" t="str">
            <v>XZ-013</v>
          </cell>
        </row>
        <row r="4710">
          <cell r="A4710" t="str">
            <v>XZ-013-WH2-3839</v>
          </cell>
          <cell r="B4710" t="str">
            <v>XZ-013</v>
          </cell>
        </row>
        <row r="4711">
          <cell r="A4711" t="str">
            <v>XZ-013WH2M</v>
          </cell>
          <cell r="B4711" t="str">
            <v>XZ-013</v>
          </cell>
        </row>
        <row r="4712">
          <cell r="A4712" t="str">
            <v>XZ-013WH2S</v>
          </cell>
          <cell r="B4712" t="str">
            <v>XZ-013</v>
          </cell>
        </row>
        <row r="4713">
          <cell r="A4713" t="str">
            <v>XZ-013-WH3-3536</v>
          </cell>
          <cell r="B4713" t="str">
            <v>XZ-013</v>
          </cell>
        </row>
        <row r="4714">
          <cell r="A4714" t="str">
            <v>XZ-013-WH3-3738</v>
          </cell>
          <cell r="B4714" t="str">
            <v>XZ-013</v>
          </cell>
        </row>
        <row r="4715">
          <cell r="A4715" t="str">
            <v>XZ-013-WH3-3940</v>
          </cell>
          <cell r="B4715" t="str">
            <v>XZ-013</v>
          </cell>
        </row>
        <row r="4716">
          <cell r="A4716" t="str">
            <v>XZ-013WH3L</v>
          </cell>
          <cell r="B4716" t="str">
            <v>XZ-013</v>
          </cell>
        </row>
        <row r="4717">
          <cell r="A4717" t="str">
            <v>XZ-013WH3M</v>
          </cell>
          <cell r="B4717" t="str">
            <v>XZ-013</v>
          </cell>
        </row>
        <row r="4718">
          <cell r="A4718" t="str">
            <v>XZ-013WH3S</v>
          </cell>
          <cell r="B4718" t="str">
            <v>XZ-013</v>
          </cell>
        </row>
        <row r="4719">
          <cell r="A4719" t="str">
            <v>XZ-056</v>
          </cell>
          <cell r="B4719" t="str">
            <v>XZ-056</v>
          </cell>
        </row>
        <row r="4720">
          <cell r="A4720" t="str">
            <v>XZ-056-G0-L</v>
          </cell>
          <cell r="B4720" t="str">
            <v>XZ-056</v>
          </cell>
        </row>
        <row r="4721">
          <cell r="A4721" t="str">
            <v>XZ-056-G0-M</v>
          </cell>
          <cell r="B4721" t="str">
            <v>XZ-056</v>
          </cell>
        </row>
        <row r="4722">
          <cell r="A4722" t="str">
            <v>XZ-056-G0-S</v>
          </cell>
          <cell r="B4722" t="str">
            <v>XZ-056</v>
          </cell>
        </row>
        <row r="4723">
          <cell r="A4723" t="str">
            <v>XZ-056-R3-L</v>
          </cell>
          <cell r="B4723" t="str">
            <v>XZ-056</v>
          </cell>
        </row>
        <row r="4724">
          <cell r="A4724" t="str">
            <v>XZ-056-R3-M</v>
          </cell>
          <cell r="B4724" t="str">
            <v>XZ-056</v>
          </cell>
        </row>
        <row r="4725">
          <cell r="A4725" t="str">
            <v>XZ-056-R3-S</v>
          </cell>
          <cell r="B4725" t="str">
            <v>XZ-056</v>
          </cell>
        </row>
        <row r="4726">
          <cell r="A4726" t="str">
            <v>XZ-056-W0-L</v>
          </cell>
          <cell r="B4726" t="str">
            <v>XZ-056</v>
          </cell>
        </row>
        <row r="4727">
          <cell r="A4727" t="str">
            <v>XZ-056-W0-M</v>
          </cell>
          <cell r="B4727" t="str">
            <v>XZ-056</v>
          </cell>
        </row>
        <row r="4728">
          <cell r="A4728" t="str">
            <v>XZ-056-W0-S</v>
          </cell>
          <cell r="B4728" t="str">
            <v>XZ-056</v>
          </cell>
        </row>
        <row r="4729">
          <cell r="A4729" t="str">
            <v>XZ-2115</v>
          </cell>
          <cell r="B4729" t="str">
            <v>XZ-2115</v>
          </cell>
        </row>
        <row r="4730">
          <cell r="A4730" t="str">
            <v>XZ-2115Gr35</v>
          </cell>
          <cell r="B4730" t="str">
            <v>XZ-2115</v>
          </cell>
        </row>
        <row r="4731">
          <cell r="A4731" t="str">
            <v>XZ-2115Gr36</v>
          </cell>
          <cell r="B4731" t="str">
            <v>XZ-2115</v>
          </cell>
        </row>
        <row r="4732">
          <cell r="A4732" t="str">
            <v>XZ-2115Gr38</v>
          </cell>
          <cell r="B4732" t="str">
            <v>XZ-2115</v>
          </cell>
        </row>
        <row r="4733">
          <cell r="A4733" t="str">
            <v>XZ-2115Li35</v>
          </cell>
          <cell r="B4733" t="str">
            <v>XZ-2115</v>
          </cell>
        </row>
        <row r="4734">
          <cell r="A4734" t="str">
            <v>XZ-2115Li36</v>
          </cell>
          <cell r="B4734" t="str">
            <v>XZ-2115</v>
          </cell>
        </row>
        <row r="4735">
          <cell r="A4735" t="str">
            <v>XZ-2115Li38</v>
          </cell>
          <cell r="B4735" t="str">
            <v>XZ-2115</v>
          </cell>
        </row>
        <row r="4736">
          <cell r="A4736" t="str">
            <v>XZ-2115Pi35</v>
          </cell>
          <cell r="B4736" t="str">
            <v>XZ-2115</v>
          </cell>
        </row>
        <row r="4737">
          <cell r="A4737" t="str">
            <v>XZ-2115Pi37</v>
          </cell>
          <cell r="B4737" t="str">
            <v>XZ-2115</v>
          </cell>
        </row>
        <row r="4738">
          <cell r="A4738" t="str">
            <v>XZ-2115Pi39</v>
          </cell>
          <cell r="B4738" t="str">
            <v>XZ-2115</v>
          </cell>
        </row>
        <row r="4739">
          <cell r="A4739" t="str">
            <v>XZ-2116BR42</v>
          </cell>
          <cell r="B4739" t="str">
            <v>XZ-2115</v>
          </cell>
        </row>
        <row r="4740">
          <cell r="A4740" t="str">
            <v>XZ-2116BR44</v>
          </cell>
          <cell r="B4740" t="str">
            <v>XZ-2115</v>
          </cell>
        </row>
        <row r="4741">
          <cell r="A4741" t="str">
            <v>XZ-2116G042</v>
          </cell>
          <cell r="B4741" t="str">
            <v>XZ-2115</v>
          </cell>
        </row>
        <row r="4742">
          <cell r="A4742" t="str">
            <v>XZ-2116G044</v>
          </cell>
          <cell r="B4742" t="str">
            <v>XZ-2115</v>
          </cell>
        </row>
        <row r="4743">
          <cell r="A4743" t="str">
            <v>XZ-2116Pi38</v>
          </cell>
          <cell r="B4743" t="str">
            <v>XZ-2115</v>
          </cell>
        </row>
        <row r="4744">
          <cell r="A4744" t="str">
            <v>XZ-2116Pi40</v>
          </cell>
          <cell r="B4744" t="str">
            <v>XZ-2115</v>
          </cell>
        </row>
        <row r="4745">
          <cell r="A4745" t="str">
            <v>XZ-2116R038</v>
          </cell>
          <cell r="B4745" t="str">
            <v>XZ-2115</v>
          </cell>
        </row>
        <row r="4746">
          <cell r="A4746" t="str">
            <v>XZ-2116R040</v>
          </cell>
          <cell r="B4746" t="str">
            <v>XZ-2115</v>
          </cell>
        </row>
        <row r="4747">
          <cell r="A4747" t="str">
            <v>XZ-2116Y038</v>
          </cell>
          <cell r="B4747" t="str">
            <v>XZ-2115</v>
          </cell>
        </row>
        <row r="4748">
          <cell r="A4748" t="str">
            <v>XZ-2116Y040</v>
          </cell>
          <cell r="B4748" t="str">
            <v>XZ-2115</v>
          </cell>
        </row>
        <row r="4749">
          <cell r="A4749" t="str">
            <v>XZ-7178</v>
          </cell>
          <cell r="B4749" t="str">
            <v>XZ-7178</v>
          </cell>
        </row>
        <row r="4750">
          <cell r="A4750" t="str">
            <v>XZ-7178-CG0-36-37</v>
          </cell>
          <cell r="B4750" t="str">
            <v>XZ-7178</v>
          </cell>
        </row>
        <row r="4751">
          <cell r="A4751" t="str">
            <v>XZ-7178-CG0-36-37-1</v>
          </cell>
          <cell r="B4751" t="str">
            <v>XZ-7178</v>
          </cell>
        </row>
        <row r="4752">
          <cell r="A4752" t="str">
            <v>XZ-7178-CG0-38-39</v>
          </cell>
          <cell r="B4752" t="str">
            <v>XZ-7178</v>
          </cell>
        </row>
        <row r="4753">
          <cell r="A4753" t="str">
            <v>XZ-7178-CG0-38-39-1</v>
          </cell>
          <cell r="B4753" t="str">
            <v>XZ-7178</v>
          </cell>
        </row>
        <row r="4754">
          <cell r="A4754" t="str">
            <v>XZ-7178-CG0-40-41</v>
          </cell>
          <cell r="B4754" t="str">
            <v>XZ-7178</v>
          </cell>
        </row>
        <row r="4755">
          <cell r="A4755" t="str">
            <v>XZ-7178-CG0-40-41-1</v>
          </cell>
          <cell r="B4755" t="str">
            <v>XZ-7178</v>
          </cell>
        </row>
        <row r="4756">
          <cell r="A4756" t="str">
            <v>XZ-7178-CP0-36-37</v>
          </cell>
          <cell r="B4756" t="str">
            <v>XZ-7178</v>
          </cell>
        </row>
        <row r="4757">
          <cell r="A4757" t="str">
            <v>XZ-7178-CP0-36-37-1</v>
          </cell>
          <cell r="B4757" t="str">
            <v>XZ-7178</v>
          </cell>
        </row>
        <row r="4758">
          <cell r="A4758" t="str">
            <v>XZ-7178-CP0-38-39</v>
          </cell>
          <cell r="B4758" t="str">
            <v>XZ-7178</v>
          </cell>
        </row>
        <row r="4759">
          <cell r="A4759" t="str">
            <v>XZ-7178-CP0-38-39-1</v>
          </cell>
          <cell r="B4759" t="str">
            <v>XZ-7178</v>
          </cell>
        </row>
        <row r="4760">
          <cell r="A4760" t="str">
            <v>XZ-7178-CP0-40-41</v>
          </cell>
          <cell r="B4760" t="str">
            <v>XZ-7178</v>
          </cell>
        </row>
        <row r="4761">
          <cell r="A4761" t="str">
            <v>XZ-7178-CP0-40-41-1</v>
          </cell>
          <cell r="B4761" t="str">
            <v>XZ-7178</v>
          </cell>
        </row>
        <row r="4762">
          <cell r="A4762" t="str">
            <v>XZ-7178-CY0-36-37</v>
          </cell>
          <cell r="B4762" t="str">
            <v>XZ-7178</v>
          </cell>
        </row>
        <row r="4763">
          <cell r="A4763" t="str">
            <v>XZ-7178-CY0-36-37-1</v>
          </cell>
          <cell r="B4763" t="str">
            <v>XZ-7178</v>
          </cell>
        </row>
        <row r="4764">
          <cell r="A4764" t="str">
            <v>XZ-7178-CY0-38-39</v>
          </cell>
          <cell r="B4764" t="str">
            <v>XZ-7178</v>
          </cell>
        </row>
        <row r="4765">
          <cell r="A4765" t="str">
            <v>XZ-7178-CY0-38-39-1</v>
          </cell>
          <cell r="B4765" t="str">
            <v>XZ-7178</v>
          </cell>
        </row>
        <row r="4766">
          <cell r="A4766" t="str">
            <v>XZ-7178-CY0-40-41</v>
          </cell>
          <cell r="B4766" t="str">
            <v>XZ-7178</v>
          </cell>
        </row>
        <row r="4767">
          <cell r="A4767" t="str">
            <v>XZ-7178-CY0-40-41-1</v>
          </cell>
          <cell r="B4767" t="str">
            <v>XZ-7178</v>
          </cell>
        </row>
        <row r="4768">
          <cell r="A4768" t="str">
            <v>XZ-CL01</v>
          </cell>
          <cell r="B4768" t="str">
            <v>XZ-CL01</v>
          </cell>
        </row>
        <row r="4769">
          <cell r="A4769" t="str">
            <v>XZ-CL01-E0-36/37</v>
          </cell>
          <cell r="B4769" t="str">
            <v>XZ-CL01</v>
          </cell>
        </row>
        <row r="4770">
          <cell r="A4770" t="str">
            <v>XZ-CL01-E0-38/39</v>
          </cell>
          <cell r="B4770" t="str">
            <v>XZ-CL01</v>
          </cell>
        </row>
        <row r="4771">
          <cell r="A4771" t="str">
            <v>XZ-CL01-E0-40/41</v>
          </cell>
          <cell r="B4771" t="str">
            <v>XZ-CL01</v>
          </cell>
        </row>
        <row r="4772">
          <cell r="A4772" t="str">
            <v>XZ-CL01-N0-36/37</v>
          </cell>
          <cell r="B4772" t="str">
            <v>XZ-CL01</v>
          </cell>
        </row>
        <row r="4773">
          <cell r="A4773" t="str">
            <v>XZ-CL01-N0-38/39</v>
          </cell>
          <cell r="B4773" t="str">
            <v>XZ-CL01</v>
          </cell>
        </row>
        <row r="4774">
          <cell r="A4774" t="str">
            <v>XZ-CL01-N0-40/41</v>
          </cell>
          <cell r="B4774" t="str">
            <v>XZ-CL01</v>
          </cell>
        </row>
        <row r="4775">
          <cell r="A4775" t="str">
            <v>XZ-CL01-R6-36/37</v>
          </cell>
          <cell r="B4775" t="str">
            <v>XZ-CL01</v>
          </cell>
        </row>
        <row r="4776">
          <cell r="A4776" t="str">
            <v>XZ-CL01-R6-38/39</v>
          </cell>
          <cell r="B4776" t="str">
            <v>XZ-CL01</v>
          </cell>
        </row>
        <row r="4777">
          <cell r="A4777" t="str">
            <v>XZ-CL01-R6-40/41</v>
          </cell>
          <cell r="B4777" t="str">
            <v>XZ-CL01</v>
          </cell>
        </row>
        <row r="4778">
          <cell r="A4778" t="str">
            <v>XZ-CL02</v>
          </cell>
          <cell r="B4778" t="str">
            <v>XZ-CL02</v>
          </cell>
        </row>
        <row r="4779">
          <cell r="A4779" t="str">
            <v>XZ-CL02-E0-41/42</v>
          </cell>
          <cell r="B4779" t="str">
            <v>XZ-CL02</v>
          </cell>
        </row>
        <row r="4780">
          <cell r="A4780" t="str">
            <v>XZ-CL02-E0-43/44</v>
          </cell>
          <cell r="B4780" t="str">
            <v>XZ-CL02</v>
          </cell>
        </row>
        <row r="4781">
          <cell r="A4781" t="str">
            <v>XZ-CL02-N0-41/42</v>
          </cell>
          <cell r="B4781" t="str">
            <v>XZ-CL02</v>
          </cell>
        </row>
        <row r="4782">
          <cell r="A4782" t="str">
            <v>XZ-CL02-N0-43/44</v>
          </cell>
          <cell r="B4782" t="str">
            <v>XZ-CL02</v>
          </cell>
        </row>
        <row r="4783">
          <cell r="A4783" t="str">
            <v>XZ-CL02-R2-35/36</v>
          </cell>
          <cell r="B4783" t="str">
            <v>XZ-CL02</v>
          </cell>
        </row>
        <row r="4784">
          <cell r="A4784" t="str">
            <v>XZ-CL02-R2-37/38</v>
          </cell>
          <cell r="B4784" t="str">
            <v>XZ-CL02</v>
          </cell>
        </row>
        <row r="4785">
          <cell r="A4785" t="str">
            <v>XZ-CL02-R2-39/40</v>
          </cell>
          <cell r="B4785" t="str">
            <v>XZ-CL02</v>
          </cell>
        </row>
        <row r="4786">
          <cell r="A4786" t="str">
            <v>XZ-CL02-R6-35/36</v>
          </cell>
          <cell r="B4786" t="str">
            <v>XZ-CL02</v>
          </cell>
        </row>
        <row r="4787">
          <cell r="A4787" t="str">
            <v>XZ-CL02-R6-37/38</v>
          </cell>
          <cell r="B4787" t="str">
            <v>XZ-CL02</v>
          </cell>
        </row>
        <row r="4788">
          <cell r="A4788" t="str">
            <v>XZ-CL02-R6-39/40</v>
          </cell>
          <cell r="B4788" t="str">
            <v>XZ-CL02</v>
          </cell>
        </row>
        <row r="4789">
          <cell r="A4789" t="str">
            <v>XZ-CL05</v>
          </cell>
          <cell r="B4789" t="str">
            <v>XZ-CL05</v>
          </cell>
        </row>
        <row r="4790">
          <cell r="A4790" t="str">
            <v>XZ-CL05-36/37</v>
          </cell>
          <cell r="B4790" t="str">
            <v>XZ-CL05</v>
          </cell>
        </row>
        <row r="4791">
          <cell r="A4791" t="str">
            <v>XZ-CL05-38/39</v>
          </cell>
          <cell r="B4791" t="str">
            <v>XZ-CL05</v>
          </cell>
        </row>
        <row r="4792">
          <cell r="A4792" t="str">
            <v>XZ-CL05-40/41</v>
          </cell>
          <cell r="B4792" t="str">
            <v>XZ-CL05</v>
          </cell>
        </row>
        <row r="4793">
          <cell r="A4793" t="str">
            <v>XZ-CL1055E0</v>
          </cell>
          <cell r="B4793" t="str">
            <v>XZ-CL1055</v>
          </cell>
        </row>
        <row r="4794">
          <cell r="A4794" t="str">
            <v>XZ-CL1055E2</v>
          </cell>
          <cell r="B4794" t="str">
            <v>XZ-CL1055</v>
          </cell>
        </row>
        <row r="4795">
          <cell r="A4795" t="str">
            <v>XZ-CL1055R6</v>
          </cell>
          <cell r="B4795" t="str">
            <v>XZ-CL1055</v>
          </cell>
        </row>
        <row r="4796">
          <cell r="A4796" t="str">
            <v>XZ-CL1055W0</v>
          </cell>
          <cell r="B4796" t="str">
            <v>XZ-CL1055</v>
          </cell>
        </row>
        <row r="4797">
          <cell r="A4797" t="str">
            <v>XZ-CL1537-CO-35/36</v>
          </cell>
          <cell r="B4797" t="str">
            <v>XZ-CL1537</v>
          </cell>
        </row>
        <row r="4798">
          <cell r="A4798" t="str">
            <v>XZ-CL1537-CO-37/38</v>
          </cell>
          <cell r="B4798" t="str">
            <v>XZ-CL1537</v>
          </cell>
        </row>
        <row r="4799">
          <cell r="A4799" t="str">
            <v>XZ-CL1537-CO-39/40</v>
          </cell>
          <cell r="B4799" t="str">
            <v>XZ-CL1537</v>
          </cell>
        </row>
        <row r="4800">
          <cell r="A4800" t="str">
            <v>XZ-CL1537-E0-41/42</v>
          </cell>
          <cell r="B4800" t="str">
            <v>XZ-CL1537</v>
          </cell>
        </row>
        <row r="4801">
          <cell r="A4801" t="str">
            <v>XZ-CL1537-E0-43/44</v>
          </cell>
          <cell r="B4801" t="str">
            <v>XZ-CL1537</v>
          </cell>
        </row>
        <row r="4802">
          <cell r="A4802" t="str">
            <v>XZ-CL1537-E0-45/46</v>
          </cell>
          <cell r="B4802" t="str">
            <v>XZ-CL1537</v>
          </cell>
        </row>
        <row r="4803">
          <cell r="A4803" t="str">
            <v>XZ-CL1537-KH-35/36</v>
          </cell>
          <cell r="B4803" t="str">
            <v>XZ-CL1537</v>
          </cell>
        </row>
        <row r="4804">
          <cell r="A4804" t="str">
            <v>XZ-CL1537-KH-37/38</v>
          </cell>
          <cell r="B4804" t="str">
            <v>XZ-CL1537</v>
          </cell>
        </row>
        <row r="4805">
          <cell r="A4805" t="str">
            <v>XZ-CL1537-KH-39/40</v>
          </cell>
          <cell r="B4805" t="str">
            <v>XZ-CL1537</v>
          </cell>
        </row>
        <row r="4806">
          <cell r="A4806" t="str">
            <v>XZ-CL1537-N5-41/42</v>
          </cell>
          <cell r="B4806" t="str">
            <v>XZ-CL1537</v>
          </cell>
        </row>
        <row r="4807">
          <cell r="A4807" t="str">
            <v>XZ-CL1537-N5-43/44</v>
          </cell>
          <cell r="B4807" t="str">
            <v>XZ-CL1537</v>
          </cell>
        </row>
        <row r="4808">
          <cell r="A4808" t="str">
            <v>XZ-CL1537-N5-45/46</v>
          </cell>
          <cell r="B4808" t="str">
            <v>XZ-CL1537</v>
          </cell>
        </row>
        <row r="4809">
          <cell r="A4809" t="str">
            <v>XZ-CL1537-PI-35/36</v>
          </cell>
          <cell r="B4809" t="str">
            <v>XZ-CL1537</v>
          </cell>
        </row>
        <row r="4810">
          <cell r="A4810" t="str">
            <v>XZ-CL1537-PI-37/38</v>
          </cell>
          <cell r="B4810" t="str">
            <v>XZ-CL1537</v>
          </cell>
        </row>
        <row r="4811">
          <cell r="A4811" t="str">
            <v>XZ-CL1537-PI-39/40</v>
          </cell>
          <cell r="B4811" t="str">
            <v>XZ-CL1537</v>
          </cell>
        </row>
        <row r="4812">
          <cell r="A4812" t="str">
            <v>XZ-CL16011</v>
          </cell>
          <cell r="B4812" t="str">
            <v>XZ-CL16011</v>
          </cell>
        </row>
        <row r="4813">
          <cell r="A4813" t="str">
            <v>XZ-CL16011-E0-42/43</v>
          </cell>
          <cell r="B4813" t="str">
            <v>XZ-CL16011</v>
          </cell>
        </row>
        <row r="4814">
          <cell r="A4814" t="str">
            <v>XZ-CL16011-E1-42/43</v>
          </cell>
          <cell r="B4814" t="str">
            <v>XZ-CL16011</v>
          </cell>
        </row>
        <row r="4815">
          <cell r="A4815" t="str">
            <v>XZ-CL16011-E2-40/41</v>
          </cell>
          <cell r="B4815" t="str">
            <v>XZ-CL16011</v>
          </cell>
        </row>
        <row r="4816">
          <cell r="A4816" t="str">
            <v>XZ-CL16011-N0-36/37</v>
          </cell>
          <cell r="B4816" t="str">
            <v>XZ-CL16011</v>
          </cell>
        </row>
        <row r="4817">
          <cell r="A4817" t="str">
            <v>XZ-CL16011-N0-38/39</v>
          </cell>
          <cell r="B4817" t="str">
            <v>XZ-CL16011</v>
          </cell>
        </row>
        <row r="4818">
          <cell r="A4818" t="str">
            <v>XZ-CL16011-N0-40/41</v>
          </cell>
          <cell r="B4818" t="str">
            <v>XZ-CL16011</v>
          </cell>
        </row>
        <row r="4819">
          <cell r="A4819" t="str">
            <v>XZ-CL16011-N0-42/43</v>
          </cell>
          <cell r="B4819" t="str">
            <v>XZ-CL16011</v>
          </cell>
        </row>
        <row r="4820">
          <cell r="A4820" t="str">
            <v>XZ-CL16011-N2-40/41</v>
          </cell>
          <cell r="B4820" t="str">
            <v>XZ-CL16011</v>
          </cell>
        </row>
        <row r="4821">
          <cell r="A4821" t="str">
            <v>XZ-CL16011-R0-36/37</v>
          </cell>
          <cell r="B4821" t="str">
            <v>XZ-CL16011</v>
          </cell>
        </row>
        <row r="4822">
          <cell r="A4822" t="str">
            <v>XZ-CL16011-R0-38/39</v>
          </cell>
          <cell r="B4822" t="str">
            <v>XZ-CL16011</v>
          </cell>
        </row>
        <row r="4823">
          <cell r="A4823" t="str">
            <v>XZ-CL16011-R0-40/41</v>
          </cell>
          <cell r="B4823" t="str">
            <v>XZ-CL16011</v>
          </cell>
        </row>
        <row r="4824">
          <cell r="A4824" t="str">
            <v>XZ-CL16011-R2-40/41</v>
          </cell>
          <cell r="B4824" t="str">
            <v>XZ-CL16011</v>
          </cell>
        </row>
        <row r="4825">
          <cell r="A4825" t="str">
            <v>XZ-CL16018</v>
          </cell>
          <cell r="B4825" t="str">
            <v>XZ-CL16018</v>
          </cell>
        </row>
        <row r="4826">
          <cell r="A4826" t="str">
            <v>XZ-CL16018-BC-36/37</v>
          </cell>
          <cell r="B4826" t="str">
            <v>XZ-CL16018</v>
          </cell>
        </row>
        <row r="4827">
          <cell r="A4827" t="str">
            <v>XZ-CL16018-BP-38/39</v>
          </cell>
          <cell r="B4827" t="str">
            <v>XZ-CL16018</v>
          </cell>
        </row>
        <row r="4828">
          <cell r="A4828" t="str">
            <v>XZ-CL16018-BP-40/41</v>
          </cell>
          <cell r="B4828" t="str">
            <v>XZ-CL16018</v>
          </cell>
        </row>
        <row r="4829">
          <cell r="A4829" t="str">
            <v>XZ-CL16018-BP-42/43</v>
          </cell>
          <cell r="B4829" t="str">
            <v>XZ-CL16018</v>
          </cell>
        </row>
        <row r="4830">
          <cell r="A4830" t="str">
            <v>XZ-CL16018-GC-36/37</v>
          </cell>
          <cell r="B4830" t="str">
            <v>XZ-CL16018</v>
          </cell>
        </row>
        <row r="4831">
          <cell r="A4831" t="str">
            <v>XZ-CL16018-GP-36-37</v>
          </cell>
          <cell r="B4831" t="str">
            <v>XZ-CL16018</v>
          </cell>
        </row>
        <row r="4832">
          <cell r="A4832" t="str">
            <v>XZ-CL16018-GP-38/39</v>
          </cell>
          <cell r="B4832" t="str">
            <v>XZ-CL16018</v>
          </cell>
        </row>
        <row r="4833">
          <cell r="A4833" t="str">
            <v>XZ-CL16018-GP-40/41</v>
          </cell>
          <cell r="B4833" t="str">
            <v>XZ-CL16018</v>
          </cell>
        </row>
        <row r="4834">
          <cell r="A4834" t="str">
            <v>XZ-CL16018-GP-42/43</v>
          </cell>
          <cell r="B4834" t="str">
            <v>XZ-CL16018</v>
          </cell>
        </row>
        <row r="4835">
          <cell r="A4835" t="str">
            <v>XZ-CL16018-PC-36/37</v>
          </cell>
          <cell r="B4835" t="str">
            <v>XZ-CL16018</v>
          </cell>
        </row>
        <row r="4836">
          <cell r="A4836" t="str">
            <v>XZ-CL16018-PC-38/39</v>
          </cell>
          <cell r="B4836" t="str">
            <v>XZ-CL16018</v>
          </cell>
        </row>
        <row r="4837">
          <cell r="A4837" t="str">
            <v>XZ-CL16018-PC-40/41</v>
          </cell>
          <cell r="B4837" t="str">
            <v>XZ-CL16018</v>
          </cell>
        </row>
        <row r="4838">
          <cell r="A4838" t="str">
            <v>XZ-CL16018-PP-36-37</v>
          </cell>
          <cell r="B4838" t="str">
            <v>XZ-CL16018</v>
          </cell>
        </row>
        <row r="4839">
          <cell r="A4839" t="str">
            <v>XZ-CL16018-PP-38/39</v>
          </cell>
          <cell r="B4839" t="str">
            <v>XZ-CL16018</v>
          </cell>
        </row>
        <row r="4840">
          <cell r="A4840" t="str">
            <v>XZ-CL16018-PP-40/41</v>
          </cell>
          <cell r="B4840" t="str">
            <v>XZ-CL16018</v>
          </cell>
        </row>
        <row r="4841">
          <cell r="A4841" t="str">
            <v>XZ-CL16022</v>
          </cell>
          <cell r="B4841" t="str">
            <v>XZ-CL16022</v>
          </cell>
        </row>
        <row r="4842">
          <cell r="A4842" t="str">
            <v>XZ-CL16022-E0-36/37</v>
          </cell>
          <cell r="B4842" t="str">
            <v>XZ-CL16022</v>
          </cell>
        </row>
        <row r="4843">
          <cell r="A4843" t="str">
            <v>XZ-CL16022-E0-38/39</v>
          </cell>
          <cell r="B4843" t="str">
            <v>XZ-CL16022</v>
          </cell>
        </row>
        <row r="4844">
          <cell r="A4844" t="str">
            <v>XZ-CL16022-E0-40/41</v>
          </cell>
          <cell r="B4844" t="str">
            <v>XZ-CL16022</v>
          </cell>
        </row>
        <row r="4845">
          <cell r="A4845" t="str">
            <v>XZ-CL16022-E0-42/43</v>
          </cell>
          <cell r="B4845" t="str">
            <v>XZ-CL16022</v>
          </cell>
        </row>
        <row r="4846">
          <cell r="A4846" t="str">
            <v>XZ-CL16022-K0-36/37</v>
          </cell>
          <cell r="B4846" t="str">
            <v>XZ-CL16022</v>
          </cell>
        </row>
        <row r="4847">
          <cell r="A4847" t="str">
            <v>XZ-CL16022-K0-38/39</v>
          </cell>
          <cell r="B4847" t="str">
            <v>XZ-CL16022</v>
          </cell>
        </row>
        <row r="4848">
          <cell r="A4848" t="str">
            <v>XZ-CL16022-K0-40/41</v>
          </cell>
          <cell r="B4848" t="str">
            <v>XZ-CL16022</v>
          </cell>
        </row>
        <row r="4849">
          <cell r="A4849" t="str">
            <v>XZ-CL16022-K0-42/43</v>
          </cell>
          <cell r="B4849" t="str">
            <v>XZ-CL16022</v>
          </cell>
        </row>
        <row r="4850">
          <cell r="A4850" t="str">
            <v>XZ-CL16022-R6-36/37</v>
          </cell>
          <cell r="B4850" t="str">
            <v>XZ-CL16022</v>
          </cell>
        </row>
        <row r="4851">
          <cell r="A4851" t="str">
            <v>XZ-CL16022-R6-38/39</v>
          </cell>
          <cell r="B4851" t="str">
            <v>XZ-CL16022</v>
          </cell>
        </row>
        <row r="4852">
          <cell r="A4852" t="str">
            <v>XZ-CL16022-R6-40/41</v>
          </cell>
          <cell r="B4852" t="str">
            <v>XZ-CL16022</v>
          </cell>
        </row>
        <row r="4853">
          <cell r="A4853" t="str">
            <v>XZ-CL16022-W1-36/37</v>
          </cell>
          <cell r="B4853" t="str">
            <v>XZ-CL16022</v>
          </cell>
        </row>
        <row r="4854">
          <cell r="A4854" t="str">
            <v>XZ-CL16022-W1-38/39</v>
          </cell>
          <cell r="B4854" t="str">
            <v>XZ-CL16022</v>
          </cell>
        </row>
        <row r="4855">
          <cell r="A4855" t="str">
            <v>XZ-CL16022-W1-40/41</v>
          </cell>
          <cell r="B4855" t="str">
            <v>XZ-CL16022</v>
          </cell>
        </row>
        <row r="4856">
          <cell r="A4856" t="str">
            <v>XZ-CLA1</v>
          </cell>
          <cell r="B4856" t="str">
            <v>XZ-CLA1</v>
          </cell>
        </row>
        <row r="4857">
          <cell r="A4857" t="str">
            <v>XZ-CLA1133DD</v>
          </cell>
          <cell r="B4857" t="str">
            <v>XZ-CLA1133</v>
          </cell>
        </row>
        <row r="4858">
          <cell r="A4858" t="str">
            <v>XZ-CLA1133R6</v>
          </cell>
          <cell r="B4858" t="str">
            <v>XZ-CLA1133</v>
          </cell>
        </row>
        <row r="4859">
          <cell r="A4859" t="str">
            <v>XZ-CLA1133W0</v>
          </cell>
          <cell r="B4859" t="str">
            <v>XZ-CLA1133</v>
          </cell>
        </row>
        <row r="4860">
          <cell r="A4860" t="str">
            <v>XZ-CLA177</v>
          </cell>
          <cell r="B4860" t="str">
            <v>XZ-CLA177</v>
          </cell>
        </row>
        <row r="4861">
          <cell r="A4861" t="str">
            <v>XZ-CLA177-DS-37/38</v>
          </cell>
          <cell r="B4861" t="str">
            <v>XZ-CLA177</v>
          </cell>
        </row>
        <row r="4862">
          <cell r="A4862" t="str">
            <v>XZ-CLA177-DS-39/40</v>
          </cell>
          <cell r="B4862" t="str">
            <v>XZ-CLA177</v>
          </cell>
        </row>
        <row r="4863">
          <cell r="A4863" t="str">
            <v>XZ-CLA177-E2-37/38</v>
          </cell>
          <cell r="B4863" t="str">
            <v>XZ-CLA177</v>
          </cell>
        </row>
        <row r="4864">
          <cell r="A4864" t="str">
            <v>XZ-CLA177-K0-41/42</v>
          </cell>
          <cell r="B4864" t="str">
            <v>XZ-CLA177</v>
          </cell>
        </row>
        <row r="4865">
          <cell r="A4865" t="str">
            <v>XZ-CLA177-K0-43/44</v>
          </cell>
          <cell r="B4865" t="str">
            <v>XZ-CLA177</v>
          </cell>
        </row>
        <row r="4866">
          <cell r="A4866" t="str">
            <v>XZ-CLA177-R6-37/38</v>
          </cell>
          <cell r="B4866" t="str">
            <v>XZ-CLA177</v>
          </cell>
        </row>
        <row r="4867">
          <cell r="A4867" t="str">
            <v>XZ-CLA177-R6-39/40</v>
          </cell>
          <cell r="B4867" t="str">
            <v>XZ-CLA177</v>
          </cell>
        </row>
        <row r="4868">
          <cell r="A4868" t="str">
            <v>XZ-CLA177-ZL-41/42</v>
          </cell>
          <cell r="B4868" t="str">
            <v>XZ-CLA177</v>
          </cell>
        </row>
        <row r="4869">
          <cell r="A4869" t="str">
            <v>XZ-CLA177-ZL-43/44</v>
          </cell>
          <cell r="B4869" t="str">
            <v>XZ-CLA177</v>
          </cell>
        </row>
        <row r="4870">
          <cell r="A4870" t="str">
            <v>XZ-CLA1-E0-35</v>
          </cell>
          <cell r="B4870" t="str">
            <v>XZ-CLA1</v>
          </cell>
        </row>
        <row r="4871">
          <cell r="A4871" t="str">
            <v>XZ-CLA1-E0-37</v>
          </cell>
          <cell r="B4871" t="str">
            <v>XZ-CLA1</v>
          </cell>
        </row>
        <row r="4872">
          <cell r="A4872" t="str">
            <v>XZ-CLA1-E0-38</v>
          </cell>
          <cell r="B4872" t="str">
            <v>XZ-CLA1</v>
          </cell>
        </row>
        <row r="4873">
          <cell r="A4873" t="str">
            <v>XZ-CLA1-E0-39</v>
          </cell>
          <cell r="B4873" t="str">
            <v>XZ-CLA1</v>
          </cell>
        </row>
        <row r="4874">
          <cell r="A4874" t="str">
            <v>XZ-CLA1-E0-40</v>
          </cell>
          <cell r="B4874" t="str">
            <v>XZ-CLA1</v>
          </cell>
        </row>
        <row r="4875">
          <cell r="A4875" t="str">
            <v>XZ-CLA1-K0-35</v>
          </cell>
          <cell r="B4875" t="str">
            <v>XZ-CLA1</v>
          </cell>
        </row>
        <row r="4876">
          <cell r="A4876" t="str">
            <v>XZ-CLA1-K0-36</v>
          </cell>
          <cell r="B4876" t="str">
            <v>XZ-CLA1</v>
          </cell>
        </row>
        <row r="4877">
          <cell r="A4877" t="str">
            <v>XZ-CLA1-K0-37</v>
          </cell>
          <cell r="B4877" t="str">
            <v>XZ-CLA1</v>
          </cell>
        </row>
        <row r="4878">
          <cell r="A4878" t="str">
            <v>XZ-CLA1-K0-38</v>
          </cell>
          <cell r="B4878" t="str">
            <v>XZ-CLA1</v>
          </cell>
        </row>
        <row r="4879">
          <cell r="A4879" t="str">
            <v>XZ-CLA1-K0-39</v>
          </cell>
          <cell r="B4879" t="str">
            <v>XZ-CLA1</v>
          </cell>
        </row>
        <row r="4880">
          <cell r="A4880" t="str">
            <v>XZ-CLA1-K0-40</v>
          </cell>
          <cell r="B4880" t="str">
            <v>XZ-CLA1</v>
          </cell>
        </row>
        <row r="4881">
          <cell r="A4881" t="str">
            <v>XZ-CLBH004</v>
          </cell>
          <cell r="B4881" t="str">
            <v>XZ-CLBH004</v>
          </cell>
        </row>
        <row r="4882">
          <cell r="A4882" t="str">
            <v>XZ-CLBH004-B0-L</v>
          </cell>
          <cell r="B4882" t="str">
            <v>XZ-CLBH004</v>
          </cell>
        </row>
        <row r="4883">
          <cell r="A4883" t="str">
            <v>XZ-CLBH004-B0-M</v>
          </cell>
          <cell r="B4883" t="str">
            <v>XZ-CLBH004</v>
          </cell>
        </row>
        <row r="4884">
          <cell r="A4884" t="str">
            <v>XZ-CLBH004-B0-S</v>
          </cell>
          <cell r="B4884" t="str">
            <v>XZ-CLBH004</v>
          </cell>
        </row>
        <row r="4885">
          <cell r="A4885" t="str">
            <v>XZ-CLBH004-R6-L</v>
          </cell>
          <cell r="B4885" t="str">
            <v>XZ-CLBH004</v>
          </cell>
        </row>
        <row r="4886">
          <cell r="A4886" t="str">
            <v>XZ-CLBH004-R6-M</v>
          </cell>
          <cell r="B4886" t="str">
            <v>XZ-CLBH004</v>
          </cell>
        </row>
        <row r="4887">
          <cell r="A4887" t="str">
            <v>XZ-CLBH004-R6-S</v>
          </cell>
          <cell r="B4887" t="str">
            <v>XZ-CLBH004</v>
          </cell>
        </row>
        <row r="4888">
          <cell r="A4888" t="str">
            <v>XZ-HM029</v>
          </cell>
          <cell r="B4888" t="str">
            <v>XZ-HM029</v>
          </cell>
        </row>
        <row r="4889">
          <cell r="A4889" t="str">
            <v>XZ-HM0299-GR-3637</v>
          </cell>
          <cell r="B4889" t="str">
            <v>XZ-HM029</v>
          </cell>
        </row>
        <row r="4890">
          <cell r="A4890" t="str">
            <v>XZ-HM0299-GR-3839</v>
          </cell>
          <cell r="B4890" t="str">
            <v>XZ-HM029</v>
          </cell>
        </row>
        <row r="4891">
          <cell r="A4891" t="str">
            <v>XZ-HM0299-GR-4041</v>
          </cell>
          <cell r="B4891" t="str">
            <v>XZ-HM029</v>
          </cell>
        </row>
        <row r="4892">
          <cell r="A4892" t="str">
            <v>XZ-HM0299-SH-4041</v>
          </cell>
          <cell r="B4892" t="str">
            <v>XZ-HM029</v>
          </cell>
        </row>
        <row r="4893">
          <cell r="A4893" t="str">
            <v>XZ-HM0299-SH-4243</v>
          </cell>
          <cell r="B4893" t="str">
            <v>XZ-HM029</v>
          </cell>
        </row>
        <row r="4894">
          <cell r="A4894" t="str">
            <v>XZ-HM0299-SH-4445</v>
          </cell>
          <cell r="B4894" t="str">
            <v>XZ-HM029</v>
          </cell>
        </row>
        <row r="4895">
          <cell r="A4895" t="str">
            <v>XZ-HM029-K0-41-42</v>
          </cell>
          <cell r="B4895" t="str">
            <v>XZ-HM029</v>
          </cell>
        </row>
        <row r="4896">
          <cell r="A4896" t="str">
            <v>XZ-HM029-K0-43-45</v>
          </cell>
          <cell r="B4896" t="str">
            <v>XZ-HM029</v>
          </cell>
        </row>
        <row r="4897">
          <cell r="A4897" t="str">
            <v>XZ-HM029-W0-35-37</v>
          </cell>
          <cell r="B4897" t="str">
            <v>XZ-HM029</v>
          </cell>
        </row>
        <row r="4898">
          <cell r="A4898" t="str">
            <v>XZ-HM029-W0-38-40</v>
          </cell>
          <cell r="B4898" t="str">
            <v>XZ-HM029</v>
          </cell>
        </row>
        <row r="4899">
          <cell r="A4899" t="str">
            <v>XZ-HM1200-BR-L</v>
          </cell>
          <cell r="B4899" t="str">
            <v>XZ-HM1200</v>
          </cell>
        </row>
        <row r="4900">
          <cell r="A4900" t="str">
            <v>XZ-HM1200-BR-M</v>
          </cell>
          <cell r="B4900" t="str">
            <v>XZ-HM1200</v>
          </cell>
        </row>
        <row r="4901">
          <cell r="A4901" t="str">
            <v>XZ-HM1200-BR-S</v>
          </cell>
          <cell r="B4901" t="str">
            <v>XZ-HM1200</v>
          </cell>
        </row>
        <row r="4902">
          <cell r="A4902" t="str">
            <v>XZ-HM1613</v>
          </cell>
          <cell r="B4902" t="str">
            <v>XZ-HM1613</v>
          </cell>
        </row>
        <row r="4903">
          <cell r="A4903" t="str">
            <v>XZ-HM1613-BR-L</v>
          </cell>
          <cell r="B4903" t="str">
            <v>XZ-HM1613</v>
          </cell>
        </row>
        <row r="4904">
          <cell r="A4904" t="str">
            <v>XZ-HM1613-BR-XL</v>
          </cell>
          <cell r="B4904" t="str">
            <v>XZ-HM1613</v>
          </cell>
        </row>
        <row r="4905">
          <cell r="A4905" t="str">
            <v>XZ-HM1613-GR-XL</v>
          </cell>
          <cell r="B4905" t="str">
            <v>XZ-HM1613</v>
          </cell>
        </row>
        <row r="4906">
          <cell r="A4906" t="str">
            <v>XZ-HM1613-W0-M</v>
          </cell>
          <cell r="B4906" t="str">
            <v>XZ-HM1613</v>
          </cell>
        </row>
        <row r="4907">
          <cell r="A4907" t="str">
            <v>XZ-HM1613-ZL-L</v>
          </cell>
          <cell r="B4907" t="str">
            <v>XZ-HM1613</v>
          </cell>
        </row>
        <row r="4908">
          <cell r="A4908" t="str">
            <v>XZ-HM1613-ZL-XL</v>
          </cell>
          <cell r="B4908" t="str">
            <v>XZ-HM1613</v>
          </cell>
        </row>
        <row r="4909">
          <cell r="A4909" t="str">
            <v>XZ-HM1657-DS-3536</v>
          </cell>
          <cell r="B4909" t="str">
            <v>XZ-HM1657</v>
          </cell>
        </row>
        <row r="4910">
          <cell r="A4910" t="str">
            <v>XZ-HM1657-DS-3738</v>
          </cell>
          <cell r="B4910" t="str">
            <v>XZ-HM1657</v>
          </cell>
        </row>
        <row r="4911">
          <cell r="A4911" t="str">
            <v>XZ-HM1657-DS-3940</v>
          </cell>
          <cell r="B4911" t="str">
            <v>XZ-HM1657</v>
          </cell>
        </row>
        <row r="4912">
          <cell r="A4912" t="str">
            <v>XZ-HM1657-E0-4142</v>
          </cell>
          <cell r="B4912" t="str">
            <v>XZ-HM1657</v>
          </cell>
        </row>
        <row r="4913">
          <cell r="A4913" t="str">
            <v>XZ-HM1657-E0-4344</v>
          </cell>
          <cell r="B4913" t="str">
            <v>XZ-HM1657</v>
          </cell>
        </row>
        <row r="4914">
          <cell r="A4914" t="str">
            <v>XZ-HM1657-N5-4142</v>
          </cell>
          <cell r="B4914" t="str">
            <v>XZ-HM1657</v>
          </cell>
        </row>
        <row r="4915">
          <cell r="A4915" t="str">
            <v>XZ-HM1657-N5-4344</v>
          </cell>
          <cell r="B4915" t="str">
            <v>XZ-HM1657</v>
          </cell>
        </row>
        <row r="4916">
          <cell r="A4916" t="str">
            <v>XZ-HM1657-PI-3536</v>
          </cell>
          <cell r="B4916" t="str">
            <v>XZ-HM1657</v>
          </cell>
        </row>
        <row r="4917">
          <cell r="A4917" t="str">
            <v>XZ-HM1657-PI-3738</v>
          </cell>
          <cell r="B4917" t="str">
            <v>XZ-HM1657</v>
          </cell>
        </row>
        <row r="4918">
          <cell r="A4918" t="str">
            <v>XZ-HM1657-PI-3940</v>
          </cell>
          <cell r="B4918" t="str">
            <v>XZ-HM1657</v>
          </cell>
        </row>
        <row r="4919">
          <cell r="A4919" t="str">
            <v>XZ-HM165-CO-L</v>
          </cell>
          <cell r="B4919" t="str">
            <v>XZ-HM165</v>
          </cell>
        </row>
        <row r="4920">
          <cell r="A4920" t="str">
            <v>XZ-HM168-CO-40/41</v>
          </cell>
          <cell r="B4920" t="str">
            <v>XZ-HM168</v>
          </cell>
        </row>
        <row r="4921">
          <cell r="A4921" t="str">
            <v>XZ-HM168-CO-40/41-GM</v>
          </cell>
          <cell r="B4921" t="str">
            <v>XZ-HM168</v>
          </cell>
        </row>
        <row r="4922">
          <cell r="A4922" t="str">
            <v>XZ-HM168-CO-42/43</v>
          </cell>
          <cell r="B4922" t="str">
            <v>XZ-HM168</v>
          </cell>
        </row>
        <row r="4923">
          <cell r="A4923" t="str">
            <v>XZ-HM168-P0-36/37-GM</v>
          </cell>
          <cell r="B4923" t="str">
            <v>XZ-HM168</v>
          </cell>
        </row>
        <row r="4924">
          <cell r="A4924" t="str">
            <v>XZ-HM168-P0-38/39-GM</v>
          </cell>
          <cell r="B4924" t="str">
            <v>XZ-HM168</v>
          </cell>
        </row>
        <row r="4925">
          <cell r="A4925" t="str">
            <v>XZ-HM168-R0-36/37-GM</v>
          </cell>
          <cell r="B4925" t="str">
            <v>XZ-HM168</v>
          </cell>
        </row>
        <row r="4926">
          <cell r="A4926" t="str">
            <v>XZ-HM219-GR-40-43</v>
          </cell>
          <cell r="B4926" t="str">
            <v>XZ-HM219</v>
          </cell>
        </row>
        <row r="4927">
          <cell r="A4927" t="str">
            <v>XZ-HM219-PI-35-39</v>
          </cell>
          <cell r="B4927" t="str">
            <v>XZ-HM219</v>
          </cell>
        </row>
        <row r="4928">
          <cell r="A4928" t="str">
            <v>XZ-HM3380-K0-3637</v>
          </cell>
          <cell r="B4928" t="str">
            <v>XZ-HM3380</v>
          </cell>
        </row>
        <row r="4929">
          <cell r="A4929" t="str">
            <v>XZ-HM3380-K0-3839</v>
          </cell>
          <cell r="B4929" t="str">
            <v>XZ-HM3380</v>
          </cell>
        </row>
        <row r="4930">
          <cell r="A4930" t="str">
            <v>XZ-HM3380-K0-4041</v>
          </cell>
          <cell r="B4930" t="str">
            <v>XZ-HM3380</v>
          </cell>
        </row>
        <row r="4931">
          <cell r="A4931" t="str">
            <v>XZ-HM3380-K0-4243</v>
          </cell>
          <cell r="B4931" t="str">
            <v>XZ-HM3380</v>
          </cell>
        </row>
        <row r="4932">
          <cell r="A4932" t="str">
            <v>XZ-HM3380-K0-4445</v>
          </cell>
          <cell r="B4932" t="str">
            <v>XZ-HM3380</v>
          </cell>
        </row>
        <row r="4933">
          <cell r="A4933" t="str">
            <v>XZ-HM3380-PI-4041</v>
          </cell>
          <cell r="B4933" t="str">
            <v>XZ-HM3380</v>
          </cell>
        </row>
        <row r="4934">
          <cell r="A4934" t="str">
            <v>XZ-HM3380-ZL-4041</v>
          </cell>
          <cell r="B4934" t="str">
            <v>XZ-HM3380</v>
          </cell>
        </row>
        <row r="4935">
          <cell r="A4935" t="str">
            <v>XZ-HM3380-ZL-4243</v>
          </cell>
          <cell r="B4935" t="str">
            <v>XZ-HM3380</v>
          </cell>
        </row>
        <row r="4936">
          <cell r="A4936" t="str">
            <v>XZ-HM3380-ZL-4445</v>
          </cell>
          <cell r="B4936" t="str">
            <v>XZ-HM3380</v>
          </cell>
        </row>
        <row r="4937">
          <cell r="A4937" t="str">
            <v>XZ-HM36-BE-L</v>
          </cell>
          <cell r="B4937" t="str">
            <v>XZ-HM36</v>
          </cell>
        </row>
        <row r="4938">
          <cell r="A4938" t="str">
            <v>XZ-HM36-BE-M</v>
          </cell>
          <cell r="B4938" t="str">
            <v>XZ-HM36</v>
          </cell>
        </row>
        <row r="4939">
          <cell r="A4939" t="str">
            <v>XZ-HM36-BE-XL</v>
          </cell>
          <cell r="B4939" t="str">
            <v>XZ-HM36</v>
          </cell>
        </row>
        <row r="4940">
          <cell r="A4940" t="str">
            <v>XZ-HM36-CO-L</v>
          </cell>
          <cell r="B4940" t="str">
            <v>XZ-HM36</v>
          </cell>
        </row>
        <row r="4941">
          <cell r="A4941" t="str">
            <v>XZ-HM36-CO-XL</v>
          </cell>
          <cell r="B4941" t="str">
            <v>XZ-HM36</v>
          </cell>
        </row>
        <row r="4942">
          <cell r="A4942" t="str">
            <v>XZ-HM36-PI-M</v>
          </cell>
          <cell r="B4942" t="str">
            <v>XZ-HM36</v>
          </cell>
        </row>
        <row r="4943">
          <cell r="A4943" t="str">
            <v>XZ-HM36-PI-S</v>
          </cell>
          <cell r="B4943" t="str">
            <v>XZ-HM36</v>
          </cell>
        </row>
        <row r="4944">
          <cell r="A4944" t="str">
            <v>XZ-HM6003</v>
          </cell>
          <cell r="B4944" t="str">
            <v>XZ-HM6003</v>
          </cell>
        </row>
        <row r="4945">
          <cell r="A4945" t="str">
            <v>XZ-HM6003-BR-4142</v>
          </cell>
          <cell r="B4945" t="str">
            <v>XZ-HM6003</v>
          </cell>
        </row>
        <row r="4946">
          <cell r="A4946" t="str">
            <v>XZ-HM6003-BR-4344</v>
          </cell>
          <cell r="B4946" t="str">
            <v>XZ-HM6003</v>
          </cell>
        </row>
        <row r="4947">
          <cell r="A4947" t="str">
            <v>XZ-HM6003-GR-4142</v>
          </cell>
          <cell r="B4947" t="str">
            <v>XZ-HM6003</v>
          </cell>
        </row>
        <row r="4948">
          <cell r="A4948" t="str">
            <v>XZ-HM6003-GR-4344</v>
          </cell>
          <cell r="B4948" t="str">
            <v>XZ-HM6003</v>
          </cell>
        </row>
        <row r="4949">
          <cell r="A4949" t="str">
            <v>XZ-HM6003-OR-3536</v>
          </cell>
          <cell r="B4949" t="str">
            <v>XZ-HM6003</v>
          </cell>
        </row>
        <row r="4950">
          <cell r="A4950" t="str">
            <v>XZ-HM6003-OR-3738</v>
          </cell>
          <cell r="B4950" t="str">
            <v>XZ-HM6003</v>
          </cell>
        </row>
        <row r="4951">
          <cell r="A4951" t="str">
            <v>XZ-HM6003-OR-3940</v>
          </cell>
          <cell r="B4951" t="str">
            <v>XZ-HM6003</v>
          </cell>
        </row>
        <row r="4952">
          <cell r="A4952" t="str">
            <v>XZ-HM6003-P0-3738</v>
          </cell>
          <cell r="B4952" t="str">
            <v>XZ-HM6003</v>
          </cell>
        </row>
        <row r="4953">
          <cell r="A4953" t="str">
            <v>XZ-HM6003-P0-3940</v>
          </cell>
          <cell r="B4953" t="str">
            <v>XZ-HM6003</v>
          </cell>
        </row>
        <row r="4954">
          <cell r="A4954" t="str">
            <v>XZ-HM6003-P2-3536</v>
          </cell>
          <cell r="B4954" t="str">
            <v>XZ-HM6003</v>
          </cell>
        </row>
        <row r="4955">
          <cell r="A4955" t="str">
            <v>XZ-HM6003-P2-3738</v>
          </cell>
          <cell r="B4955" t="str">
            <v>XZ-HM6003</v>
          </cell>
        </row>
        <row r="4956">
          <cell r="A4956" t="str">
            <v>XZ-HM6003-P2-3940</v>
          </cell>
          <cell r="B4956" t="str">
            <v>XZ-HM6003</v>
          </cell>
        </row>
        <row r="4957">
          <cell r="A4957" t="str">
            <v>XZ-HM801-Bear-CO-3637</v>
          </cell>
          <cell r="B4957" t="str">
            <v>XZ-HM801</v>
          </cell>
        </row>
        <row r="4958">
          <cell r="A4958" t="str">
            <v>XZ-HM801-Bear-CO-3839</v>
          </cell>
          <cell r="B4958" t="str">
            <v>XZ-HM801</v>
          </cell>
        </row>
        <row r="4959">
          <cell r="A4959" t="str">
            <v>XZ-HM801-Bear-CO-4041</v>
          </cell>
          <cell r="B4959" t="str">
            <v>XZ-HM801</v>
          </cell>
        </row>
        <row r="4960">
          <cell r="A4960" t="str">
            <v>XZ-HM801-PI-3637</v>
          </cell>
          <cell r="B4960" t="str">
            <v>XZ-HM801</v>
          </cell>
        </row>
        <row r="4961">
          <cell r="A4961" t="str">
            <v>XZ-HM801-PI-3839</v>
          </cell>
          <cell r="B4961" t="str">
            <v>XZ-HM801</v>
          </cell>
        </row>
        <row r="4962">
          <cell r="A4962" t="str">
            <v>XZ-HM801-PI-4041</v>
          </cell>
          <cell r="B4962" t="str">
            <v>XZ-HM801</v>
          </cell>
        </row>
        <row r="4963">
          <cell r="A4963" t="str">
            <v>XZ-HM8130</v>
          </cell>
          <cell r="B4963" t="str">
            <v>XZ-HM8130</v>
          </cell>
        </row>
        <row r="4964">
          <cell r="A4964" t="str">
            <v>XZ-HM8130-B0-3637</v>
          </cell>
          <cell r="B4964" t="str">
            <v>XZ-HM8130</v>
          </cell>
        </row>
        <row r="4965">
          <cell r="A4965" t="str">
            <v>XZ-HM8130-B0-3839</v>
          </cell>
          <cell r="B4965" t="str">
            <v>XZ-HM8130</v>
          </cell>
        </row>
        <row r="4966">
          <cell r="A4966" t="str">
            <v>XZ-HM8130-B0-4041</v>
          </cell>
          <cell r="B4966" t="str">
            <v>XZ-HM8130</v>
          </cell>
        </row>
        <row r="4967">
          <cell r="A4967" t="str">
            <v>XZ-HM8130-BR-4041</v>
          </cell>
          <cell r="B4967" t="str">
            <v>XZ-HM8130</v>
          </cell>
        </row>
        <row r="4968">
          <cell r="A4968" t="str">
            <v>XZ-HM8130-BR-4243</v>
          </cell>
          <cell r="B4968" t="str">
            <v>XZ-HM8130</v>
          </cell>
        </row>
        <row r="4969">
          <cell r="A4969" t="str">
            <v>XZ-HM8130-BR-4445</v>
          </cell>
          <cell r="B4969" t="str">
            <v>XZ-HM8130</v>
          </cell>
        </row>
        <row r="4970">
          <cell r="A4970" t="str">
            <v>XZ-HM8130-G0-3637</v>
          </cell>
          <cell r="B4970" t="str">
            <v>XZ-HM8130</v>
          </cell>
        </row>
        <row r="4971">
          <cell r="A4971" t="str">
            <v>XZ-HM8130-G0-3839</v>
          </cell>
          <cell r="B4971" t="str">
            <v>XZ-HM8130</v>
          </cell>
        </row>
        <row r="4972">
          <cell r="A4972" t="str">
            <v>XZ-HM8130-G0-4041</v>
          </cell>
          <cell r="B4972" t="str">
            <v>XZ-HM8130</v>
          </cell>
        </row>
        <row r="4973">
          <cell r="A4973" t="str">
            <v>XZ-HM8130-GR-4041</v>
          </cell>
          <cell r="B4973" t="str">
            <v>XZ-HM8130</v>
          </cell>
        </row>
        <row r="4974">
          <cell r="A4974" t="str">
            <v>XZ-HM8130-GR-4243</v>
          </cell>
          <cell r="B4974" t="str">
            <v>XZ-HM8130</v>
          </cell>
        </row>
        <row r="4975">
          <cell r="A4975" t="str">
            <v>XZ-HM8130-GR-4445</v>
          </cell>
          <cell r="B4975" t="str">
            <v>XZ-HM8130</v>
          </cell>
        </row>
        <row r="4976">
          <cell r="A4976" t="str">
            <v>XZ-HM8130-PI-3637</v>
          </cell>
          <cell r="B4976" t="str">
            <v>XZ-HM8130</v>
          </cell>
        </row>
        <row r="4977">
          <cell r="A4977" t="str">
            <v>XZ-HM8130-PI-3839</v>
          </cell>
          <cell r="B4977" t="str">
            <v>XZ-HM8130</v>
          </cell>
        </row>
        <row r="4978">
          <cell r="A4978" t="str">
            <v>XZ-HM8130-PI-4041</v>
          </cell>
          <cell r="B4978" t="str">
            <v>XZ-HM8130</v>
          </cell>
        </row>
        <row r="4979">
          <cell r="A4979" t="str">
            <v>XZ-HM8130-R0-3637</v>
          </cell>
          <cell r="B4979" t="str">
            <v>XZ-HM8130</v>
          </cell>
        </row>
        <row r="4980">
          <cell r="A4980" t="str">
            <v>XZ-HM8130-R0-3839</v>
          </cell>
          <cell r="B4980" t="str">
            <v>XZ-HM8130</v>
          </cell>
        </row>
        <row r="4981">
          <cell r="A4981" t="str">
            <v>XZ-HM8130-R0-4041</v>
          </cell>
          <cell r="B4981" t="str">
            <v>XZ-HM8130</v>
          </cell>
        </row>
        <row r="4982">
          <cell r="A4982" t="str">
            <v>XZ-HM8130-Y0-3637</v>
          </cell>
          <cell r="B4982" t="str">
            <v>XZ-HM8130</v>
          </cell>
        </row>
        <row r="4983">
          <cell r="A4983" t="str">
            <v>XZ-HM8130-Y0-3839</v>
          </cell>
          <cell r="B4983" t="str">
            <v>XZ-HM8130</v>
          </cell>
        </row>
        <row r="4984">
          <cell r="A4984" t="str">
            <v>XZ-HM8130-Y0-4041</v>
          </cell>
          <cell r="B4984" t="str">
            <v>XZ-HM8130</v>
          </cell>
        </row>
        <row r="4985">
          <cell r="A4985" t="str">
            <v>XZ-HMA119</v>
          </cell>
          <cell r="B4985" t="str">
            <v>XZ-HMA119</v>
          </cell>
        </row>
        <row r="4986">
          <cell r="A4986" t="str">
            <v>XZ-HMA119-GR-3738</v>
          </cell>
          <cell r="B4986" t="str">
            <v>XZ-HMA119</v>
          </cell>
        </row>
        <row r="4987">
          <cell r="A4987" t="str">
            <v>XZ-HMA119-GR-3940</v>
          </cell>
          <cell r="B4987" t="str">
            <v>XZ-HMA119</v>
          </cell>
        </row>
        <row r="4988">
          <cell r="A4988" t="str">
            <v>XZ-HMA119-Pi-3738</v>
          </cell>
          <cell r="B4988" t="str">
            <v>XZ-HMA119</v>
          </cell>
        </row>
        <row r="4989">
          <cell r="A4989" t="str">
            <v>XZ-HMA119-Pi-3940</v>
          </cell>
          <cell r="B4989" t="str">
            <v>XZ-HMA119</v>
          </cell>
        </row>
        <row r="4990">
          <cell r="A4990" t="str">
            <v>XZ-HMA119-SH-4344</v>
          </cell>
          <cell r="B4990" t="str">
            <v>XZ-HMA119</v>
          </cell>
        </row>
        <row r="4991">
          <cell r="A4991" t="str">
            <v>XZ-HMA119-ZL-4142</v>
          </cell>
          <cell r="B4991" t="str">
            <v>XZ-HMA119</v>
          </cell>
        </row>
        <row r="4992">
          <cell r="A4992" t="str">
            <v>XZ-HMA119-ZL-4344</v>
          </cell>
          <cell r="B4992" t="str">
            <v>XZ-HMA119</v>
          </cell>
        </row>
        <row r="4993">
          <cell r="A4993" t="str">
            <v>XZ-HMA185</v>
          </cell>
          <cell r="B4993" t="str">
            <v>XZ-HMA185</v>
          </cell>
        </row>
        <row r="4994">
          <cell r="A4994" t="str">
            <v>XZ-HMA185-BE-3738</v>
          </cell>
          <cell r="B4994" t="str">
            <v>XZ-HMA185</v>
          </cell>
        </row>
        <row r="4995">
          <cell r="A4995" t="str">
            <v>XZ-HMA185-BE-3940</v>
          </cell>
          <cell r="B4995" t="str">
            <v>XZ-HMA185</v>
          </cell>
        </row>
        <row r="4996">
          <cell r="A4996" t="str">
            <v>XZ-HMA185-CO-4142</v>
          </cell>
          <cell r="B4996" t="str">
            <v>XZ-HMA185</v>
          </cell>
        </row>
        <row r="4997">
          <cell r="A4997" t="str">
            <v>XZ-HMA185-CO-4344</v>
          </cell>
          <cell r="B4997" t="str">
            <v>XZ-HMA185</v>
          </cell>
        </row>
        <row r="4998">
          <cell r="A4998" t="str">
            <v>XZ-HMA185-GR-4142</v>
          </cell>
          <cell r="B4998" t="str">
            <v>XZ-HMA185</v>
          </cell>
        </row>
        <row r="4999">
          <cell r="A4999" t="str">
            <v>XZ-HMA185-GR-4344</v>
          </cell>
          <cell r="B4999" t="str">
            <v>XZ-HMA185</v>
          </cell>
        </row>
        <row r="5000">
          <cell r="A5000" t="str">
            <v>XZ-HMA185-P0-3738</v>
          </cell>
          <cell r="B5000" t="str">
            <v>XZ-HMA185</v>
          </cell>
        </row>
        <row r="5001">
          <cell r="A5001" t="str">
            <v>XZ-HMA185-P0-3940</v>
          </cell>
          <cell r="B5001" t="str">
            <v>XZ-HMA185</v>
          </cell>
        </row>
        <row r="5002">
          <cell r="A5002" t="str">
            <v>XZ-HMA185-Pi-3738</v>
          </cell>
          <cell r="B5002" t="str">
            <v>XZ-HMA185</v>
          </cell>
        </row>
        <row r="5003">
          <cell r="A5003" t="str">
            <v>XZ-HMA185-Pi-3940</v>
          </cell>
          <cell r="B5003" t="str">
            <v>XZ-HMA185</v>
          </cell>
        </row>
        <row r="5004">
          <cell r="A5004" t="str">
            <v>XZ-HMA190</v>
          </cell>
          <cell r="B5004" t="str">
            <v>XZ-HMA190</v>
          </cell>
        </row>
        <row r="5005">
          <cell r="A5005" t="str">
            <v>XZ-HMA190-B0-3738</v>
          </cell>
          <cell r="B5005" t="str">
            <v>XZ-HMA190</v>
          </cell>
        </row>
        <row r="5006">
          <cell r="A5006" t="str">
            <v>XZ-HMA190-B0-3940</v>
          </cell>
          <cell r="B5006" t="str">
            <v>XZ-HMA190</v>
          </cell>
        </row>
        <row r="5007">
          <cell r="A5007" t="str">
            <v>XZ-HMA190-BR-4142</v>
          </cell>
          <cell r="B5007" t="str">
            <v>XZ-HMA190</v>
          </cell>
        </row>
        <row r="5008">
          <cell r="A5008" t="str">
            <v>XZ-HMA190-BR-4344</v>
          </cell>
          <cell r="B5008" t="str">
            <v>XZ-HMA190</v>
          </cell>
        </row>
        <row r="5009">
          <cell r="A5009" t="str">
            <v>XZ-HMA190-CO-4142</v>
          </cell>
          <cell r="B5009" t="str">
            <v>XZ-HMA190</v>
          </cell>
        </row>
        <row r="5010">
          <cell r="A5010" t="str">
            <v>XZ-HMA190-CO-4344</v>
          </cell>
          <cell r="B5010" t="str">
            <v>XZ-HMA190</v>
          </cell>
        </row>
        <row r="5011">
          <cell r="A5011" t="str">
            <v>XZ-HMA190-CPi-3132</v>
          </cell>
          <cell r="B5011" t="str">
            <v>XZ-HMA190</v>
          </cell>
        </row>
        <row r="5012">
          <cell r="A5012" t="str">
            <v>XZ-HMA190-CPi-3334</v>
          </cell>
          <cell r="B5012" t="str">
            <v>XZ-HMA190</v>
          </cell>
        </row>
        <row r="5013">
          <cell r="A5013" t="str">
            <v>XZ-HMA190-CPi-3536</v>
          </cell>
          <cell r="B5013" t="str">
            <v>XZ-HMA190</v>
          </cell>
        </row>
        <row r="5014">
          <cell r="A5014" t="str">
            <v>XZ-HMA190-Gr-3738</v>
          </cell>
          <cell r="B5014" t="str">
            <v>XZ-HMA190</v>
          </cell>
        </row>
        <row r="5015">
          <cell r="A5015" t="str">
            <v>XZ-HMA190-MGR-4142</v>
          </cell>
          <cell r="B5015" t="str">
            <v>XZ-HMA190</v>
          </cell>
        </row>
        <row r="5016">
          <cell r="A5016" t="str">
            <v>XZ-HMA190-MGR-4344</v>
          </cell>
          <cell r="B5016" t="str">
            <v>XZ-HMA190</v>
          </cell>
        </row>
        <row r="5017">
          <cell r="A5017" t="str">
            <v>XZ-HMA190-P0-3738</v>
          </cell>
          <cell r="B5017" t="str">
            <v>XZ-HMA190</v>
          </cell>
        </row>
        <row r="5018">
          <cell r="A5018" t="str">
            <v>XZ-HMA190-P0-3940</v>
          </cell>
          <cell r="B5018" t="str">
            <v>XZ-HMA190</v>
          </cell>
        </row>
        <row r="5019">
          <cell r="A5019" t="str">
            <v>XZ-HMA190-Pi-3738</v>
          </cell>
          <cell r="B5019" t="str">
            <v>XZ-HMA190</v>
          </cell>
        </row>
        <row r="5020">
          <cell r="A5020" t="str">
            <v>XZ-HMA190-Pi-3940</v>
          </cell>
          <cell r="B5020" t="str">
            <v>XZ-HMA190</v>
          </cell>
        </row>
        <row r="5021">
          <cell r="A5021" t="str">
            <v>XZ-HMA190-W0-3132</v>
          </cell>
          <cell r="B5021" t="str">
            <v>XZ-HMA190</v>
          </cell>
        </row>
        <row r="5022">
          <cell r="A5022" t="str">
            <v>XZ-HMA190-W0-3334</v>
          </cell>
          <cell r="B5022" t="str">
            <v>XZ-HMA190</v>
          </cell>
        </row>
        <row r="5023">
          <cell r="A5023" t="str">
            <v>XZ-HMA190-W0-3536</v>
          </cell>
          <cell r="B5023" t="str">
            <v>XZ-HMA190</v>
          </cell>
        </row>
        <row r="5024">
          <cell r="A5024" t="str">
            <v>XZ-HMA190-W0-3738</v>
          </cell>
          <cell r="B5024" t="str">
            <v>XZ-HMA190</v>
          </cell>
        </row>
        <row r="5025">
          <cell r="A5025" t="str">
            <v>XZ-HMA190-W0-3940</v>
          </cell>
          <cell r="B5025" t="str">
            <v>XZ-HMA190</v>
          </cell>
        </row>
        <row r="5026">
          <cell r="A5026" t="str">
            <v>XZ-HMA194</v>
          </cell>
          <cell r="B5026" t="str">
            <v>XZ-HMA194</v>
          </cell>
        </row>
        <row r="5027">
          <cell r="A5027" t="str">
            <v>XZ-HMA194-B0-3738</v>
          </cell>
          <cell r="B5027" t="str">
            <v>XZ-HMA194</v>
          </cell>
        </row>
        <row r="5028">
          <cell r="A5028" t="str">
            <v>XZ-HMA194-B0-3940</v>
          </cell>
          <cell r="B5028" t="str">
            <v>XZ-HMA194</v>
          </cell>
        </row>
        <row r="5029">
          <cell r="A5029" t="str">
            <v>XZ-HMA194-CO-4142</v>
          </cell>
          <cell r="B5029" t="str">
            <v>XZ-HMA194</v>
          </cell>
        </row>
        <row r="5030">
          <cell r="A5030" t="str">
            <v>XZ-HMA194-CO-4344</v>
          </cell>
          <cell r="B5030" t="str">
            <v>XZ-HMA194</v>
          </cell>
        </row>
        <row r="5031">
          <cell r="A5031" t="str">
            <v>XZ-HMA194-GR-4142</v>
          </cell>
          <cell r="B5031" t="str">
            <v>XZ-HMA194</v>
          </cell>
        </row>
        <row r="5032">
          <cell r="A5032" t="str">
            <v>XZ-HMA194-GR-4344</v>
          </cell>
          <cell r="B5032" t="str">
            <v>XZ-HMA194</v>
          </cell>
        </row>
        <row r="5033">
          <cell r="A5033" t="str">
            <v>XZ-HMA194-KQ-4142</v>
          </cell>
          <cell r="B5033" t="str">
            <v>XZ-HMA194</v>
          </cell>
        </row>
        <row r="5034">
          <cell r="A5034" t="str">
            <v>XZ-HMA194-KQ-4344</v>
          </cell>
          <cell r="B5034" t="str">
            <v>XZ-HMA194</v>
          </cell>
        </row>
        <row r="5035">
          <cell r="A5035" t="str">
            <v>XZ-HMA194-Pi-3738</v>
          </cell>
          <cell r="B5035" t="str">
            <v>XZ-HMA194</v>
          </cell>
        </row>
        <row r="5036">
          <cell r="A5036" t="str">
            <v>XZ-HMA194-Pi-3940</v>
          </cell>
          <cell r="B5036" t="str">
            <v>XZ-HMA194</v>
          </cell>
        </row>
        <row r="5037">
          <cell r="A5037" t="str">
            <v>XZ-HMA194-R0-3738</v>
          </cell>
          <cell r="B5037" t="str">
            <v>XZ-HMA194</v>
          </cell>
        </row>
        <row r="5038">
          <cell r="A5038" t="str">
            <v>XZ-HMA194-R0-3940</v>
          </cell>
          <cell r="B5038" t="str">
            <v>XZ-HMA194</v>
          </cell>
        </row>
        <row r="5039">
          <cell r="A5039" t="str">
            <v>XZ-HMA195</v>
          </cell>
          <cell r="B5039" t="str">
            <v>XZ-HMA195</v>
          </cell>
        </row>
        <row r="5040">
          <cell r="A5040" t="str">
            <v>XZ-HMA195-B0-3738</v>
          </cell>
          <cell r="B5040" t="str">
            <v>XZ-HMA195</v>
          </cell>
        </row>
        <row r="5041">
          <cell r="A5041" t="str">
            <v>XZ-HMA195-B0-3940</v>
          </cell>
          <cell r="B5041" t="str">
            <v>XZ-HMA195</v>
          </cell>
        </row>
        <row r="5042">
          <cell r="A5042" t="str">
            <v>XZ-HMA195-Pi-3738</v>
          </cell>
          <cell r="B5042" t="str">
            <v>XZ-HMA195</v>
          </cell>
        </row>
        <row r="5043">
          <cell r="A5043" t="str">
            <v>XZ-HMA195-Pi-3940</v>
          </cell>
          <cell r="B5043" t="str">
            <v>XZ-HMA195</v>
          </cell>
        </row>
        <row r="5044">
          <cell r="A5044" t="str">
            <v>XZ-HMA204</v>
          </cell>
          <cell r="B5044" t="str">
            <v>XZ-HMA204</v>
          </cell>
        </row>
        <row r="5045">
          <cell r="A5045" t="str">
            <v>XZ-HMA204-B0-3738</v>
          </cell>
          <cell r="B5045" t="str">
            <v>XZ-HMA204</v>
          </cell>
        </row>
        <row r="5046">
          <cell r="A5046" t="str">
            <v>XZ-HMA204-B0-3940</v>
          </cell>
          <cell r="B5046" t="str">
            <v>XZ-HMA204</v>
          </cell>
        </row>
        <row r="5047">
          <cell r="A5047" t="str">
            <v>XZ-HMA204-Pi-3738</v>
          </cell>
          <cell r="B5047" t="str">
            <v>XZ-HMA204</v>
          </cell>
        </row>
        <row r="5048">
          <cell r="A5048" t="str">
            <v>XZ-HMA204-Pi-3940</v>
          </cell>
          <cell r="B5048" t="str">
            <v>XZ-HMA204</v>
          </cell>
        </row>
        <row r="5049">
          <cell r="A5049" t="str">
            <v>XZ-HMA204-R0-3738</v>
          </cell>
          <cell r="B5049" t="str">
            <v>XZ-HMA204</v>
          </cell>
        </row>
        <row r="5050">
          <cell r="A5050" t="str">
            <v>XZ-HMA204-R0-3940</v>
          </cell>
          <cell r="B5050" t="str">
            <v>XZ-HMA204</v>
          </cell>
        </row>
        <row r="5051">
          <cell r="A5051" t="str">
            <v>XZ-HMA204-W0-3738</v>
          </cell>
          <cell r="B5051" t="str">
            <v>XZ-HMA204</v>
          </cell>
        </row>
        <row r="5052">
          <cell r="A5052" t="str">
            <v>XZ-HMA204-W0-3940</v>
          </cell>
          <cell r="B5052" t="str">
            <v>XZ-HMA204</v>
          </cell>
        </row>
        <row r="5053">
          <cell r="A5053" t="str">
            <v>XZ-HMAS2002</v>
          </cell>
          <cell r="B5053" t="str">
            <v>XZ-HMAS2002</v>
          </cell>
        </row>
        <row r="5054">
          <cell r="A5054" t="str">
            <v>XZ-HMAS2002-BE-L</v>
          </cell>
          <cell r="B5054" t="str">
            <v>XZ-HMAS2002</v>
          </cell>
        </row>
        <row r="5055">
          <cell r="A5055" t="str">
            <v>XZ-HMAS2002-BE-XL</v>
          </cell>
          <cell r="B5055" t="str">
            <v>XZ-HMAS2002</v>
          </cell>
        </row>
        <row r="5056">
          <cell r="A5056" t="str">
            <v>XZ-HMAS2002-BR-L</v>
          </cell>
          <cell r="B5056" t="str">
            <v>XZ-HMAS2002</v>
          </cell>
        </row>
        <row r="5057">
          <cell r="A5057" t="str">
            <v>XZ-HMAS2002-BR-XL</v>
          </cell>
          <cell r="B5057" t="str">
            <v>XZ-HMAS2002</v>
          </cell>
        </row>
        <row r="5058">
          <cell r="A5058" t="str">
            <v>XZ-HMBH019</v>
          </cell>
          <cell r="B5058" t="str">
            <v>XZ-HMBH019</v>
          </cell>
        </row>
        <row r="5059">
          <cell r="A5059" t="str">
            <v>XZ-HMBH019-28-29</v>
          </cell>
          <cell r="B5059" t="str">
            <v>XZ-HMBH019</v>
          </cell>
        </row>
        <row r="5060">
          <cell r="A5060" t="str">
            <v>XZ-HMBH019-30-31</v>
          </cell>
          <cell r="B5060" t="str">
            <v>XZ-HMBH019</v>
          </cell>
        </row>
        <row r="5061">
          <cell r="A5061" t="str">
            <v>XZ-HMBH019-32-33</v>
          </cell>
          <cell r="B5061" t="str">
            <v>XZ-HMBH019</v>
          </cell>
        </row>
        <row r="5062">
          <cell r="A5062" t="str">
            <v>XZ-HMBH019-36-37</v>
          </cell>
          <cell r="B5062" t="str">
            <v>XZ-HMBH019</v>
          </cell>
        </row>
        <row r="5063">
          <cell r="A5063" t="str">
            <v>XZ-HMBH019-38-39</v>
          </cell>
          <cell r="B5063" t="str">
            <v>XZ-HMBH019</v>
          </cell>
        </row>
        <row r="5064">
          <cell r="A5064" t="str">
            <v>XZ-HMBH019-40-41</v>
          </cell>
          <cell r="B5064" t="str">
            <v>XZ-HMBH019</v>
          </cell>
        </row>
        <row r="5065">
          <cell r="A5065" t="str">
            <v>XZ-HMCAT250</v>
          </cell>
          <cell r="B5065" t="str">
            <v>XZ-HMCAT250</v>
          </cell>
        </row>
        <row r="5066">
          <cell r="A5066" t="str">
            <v>XZ-HMCAT250-CO-4041</v>
          </cell>
          <cell r="B5066" t="str">
            <v>XZ-HMCAT250</v>
          </cell>
        </row>
        <row r="5067">
          <cell r="A5067" t="str">
            <v>XZ-HMCAT250-CO-4243</v>
          </cell>
          <cell r="B5067" t="str">
            <v>XZ-HMCAT250</v>
          </cell>
        </row>
        <row r="5068">
          <cell r="A5068" t="str">
            <v>XZ-HMCAT250-CO-4445</v>
          </cell>
          <cell r="B5068" t="str">
            <v>XZ-HMCAT250</v>
          </cell>
        </row>
        <row r="5069">
          <cell r="A5069" t="str">
            <v>XZ-HMCAT250-GR-4041</v>
          </cell>
          <cell r="B5069" t="str">
            <v>XZ-HMCAT250</v>
          </cell>
        </row>
        <row r="5070">
          <cell r="A5070" t="str">
            <v>XZ-HMCAT250-GR-4243</v>
          </cell>
          <cell r="B5070" t="str">
            <v>XZ-HMCAT250</v>
          </cell>
        </row>
        <row r="5071">
          <cell r="A5071" t="str">
            <v>XZ-HMCAT250-GR-4445</v>
          </cell>
          <cell r="B5071" t="str">
            <v>XZ-HMCAT250</v>
          </cell>
        </row>
        <row r="5072">
          <cell r="A5072" t="str">
            <v>XZ-HMCAT250-Pi-3637</v>
          </cell>
          <cell r="B5072" t="str">
            <v>XZ-HMCAT250</v>
          </cell>
        </row>
        <row r="5073">
          <cell r="A5073" t="str">
            <v>XZ-HMCAT250-Pi-3839</v>
          </cell>
          <cell r="B5073" t="str">
            <v>XZ-HMCAT250</v>
          </cell>
        </row>
        <row r="5074">
          <cell r="A5074" t="str">
            <v>XZ-HMCAT250-Pi-4041</v>
          </cell>
          <cell r="B5074" t="str">
            <v>XZ-HMCAT250</v>
          </cell>
        </row>
        <row r="5075">
          <cell r="A5075" t="str">
            <v>XZ-HMCAT250-W0-3637</v>
          </cell>
          <cell r="B5075" t="str">
            <v>XZ-HMCAT250</v>
          </cell>
        </row>
        <row r="5076">
          <cell r="A5076" t="str">
            <v>XZ-HMCAT250-W0-3839</v>
          </cell>
          <cell r="B5076" t="str">
            <v>XZ-HMCAT250</v>
          </cell>
        </row>
        <row r="5077">
          <cell r="A5077" t="str">
            <v>XZ-HMCAT250-W0-4041</v>
          </cell>
          <cell r="B5077" t="str">
            <v>XZ-HMCAT250</v>
          </cell>
        </row>
        <row r="5078">
          <cell r="A5078" t="str">
            <v>XZ-HMCAT255</v>
          </cell>
          <cell r="B5078" t="str">
            <v>XZ-HMCAT255</v>
          </cell>
        </row>
        <row r="5079">
          <cell r="A5079" t="str">
            <v>XZ-HMCAT255-CO-4041</v>
          </cell>
          <cell r="B5079" t="str">
            <v>XZ-HMCAT255</v>
          </cell>
        </row>
        <row r="5080">
          <cell r="A5080" t="str">
            <v>XZ-HMCAT255-CO-4243</v>
          </cell>
          <cell r="B5080" t="str">
            <v>XZ-HMCAT255</v>
          </cell>
        </row>
        <row r="5081">
          <cell r="A5081" t="str">
            <v>XZ-HMCAT255-CO-4445</v>
          </cell>
          <cell r="B5081" t="str">
            <v>XZ-HMCAT255</v>
          </cell>
        </row>
        <row r="5082">
          <cell r="A5082" t="str">
            <v>XZ-HMCAT255-GR-4041</v>
          </cell>
          <cell r="B5082" t="str">
            <v>XZ-HMCAT255</v>
          </cell>
        </row>
        <row r="5083">
          <cell r="A5083" t="str">
            <v>XZ-HMCAT255-GR-4243</v>
          </cell>
          <cell r="B5083" t="str">
            <v>XZ-HMCAT255</v>
          </cell>
        </row>
        <row r="5084">
          <cell r="A5084" t="str">
            <v>XZ-HMCAT255-GR-4445</v>
          </cell>
          <cell r="B5084" t="str">
            <v>XZ-HMCAT255</v>
          </cell>
        </row>
        <row r="5085">
          <cell r="A5085" t="str">
            <v>XZ-HMCAT255-Pi-3637</v>
          </cell>
          <cell r="B5085" t="str">
            <v>XZ-HMCAT255</v>
          </cell>
        </row>
        <row r="5086">
          <cell r="A5086" t="str">
            <v>XZ-HMCAT255-Pi-3839</v>
          </cell>
          <cell r="B5086" t="str">
            <v>XZ-HMCAT255</v>
          </cell>
        </row>
        <row r="5087">
          <cell r="A5087" t="str">
            <v>XZ-HMCAT255-Pi-4041</v>
          </cell>
          <cell r="B5087" t="str">
            <v>XZ-HMCAT255</v>
          </cell>
        </row>
        <row r="5088">
          <cell r="A5088" t="str">
            <v>XZ-HMCAT255-W0-3637</v>
          </cell>
          <cell r="B5088" t="str">
            <v>XZ-HMCAT255</v>
          </cell>
        </row>
        <row r="5089">
          <cell r="A5089" t="str">
            <v>XZ-HMCAT255-W0-3839</v>
          </cell>
          <cell r="B5089" t="str">
            <v>XZ-HMCAT255</v>
          </cell>
        </row>
        <row r="5090">
          <cell r="A5090" t="str">
            <v>XZ-HMCAT255-W0-4041</v>
          </cell>
          <cell r="B5090" t="str">
            <v>XZ-HMCAT255</v>
          </cell>
        </row>
        <row r="5091">
          <cell r="A5091" t="str">
            <v>XZ-HMFox2200-B0-14/15</v>
          </cell>
          <cell r="B5091" t="str">
            <v>XZ-HMFox2200</v>
          </cell>
        </row>
        <row r="5092">
          <cell r="A5092" t="str">
            <v>XZ-HMFox2200-B0-16/17</v>
          </cell>
          <cell r="B5092" t="str">
            <v>XZ-HMFox2200</v>
          </cell>
        </row>
        <row r="5093">
          <cell r="A5093" t="str">
            <v>XZ-HMFox2200-B0-18/19</v>
          </cell>
          <cell r="B5093" t="str">
            <v>XZ-HMFox2200</v>
          </cell>
        </row>
        <row r="5094">
          <cell r="A5094" t="str">
            <v>XZ-HMFox2200-B0-20</v>
          </cell>
          <cell r="B5094" t="str">
            <v>XZ-HMFox2200</v>
          </cell>
        </row>
        <row r="5095">
          <cell r="A5095" t="str">
            <v>XZ-HMFox2200-CO-18/19</v>
          </cell>
          <cell r="B5095" t="str">
            <v>XZ-HMFox2200</v>
          </cell>
        </row>
        <row r="5096">
          <cell r="A5096" t="str">
            <v>XZ-HMFox2200-G0-16/17</v>
          </cell>
          <cell r="B5096" t="str">
            <v>XZ-HMFox2200</v>
          </cell>
        </row>
        <row r="5097">
          <cell r="A5097" t="str">
            <v>XZ-HMFox2200-G0-18/19</v>
          </cell>
          <cell r="B5097" t="str">
            <v>XZ-HMFox2200</v>
          </cell>
        </row>
        <row r="5098">
          <cell r="A5098" t="str">
            <v>XZ-HMFox2200-PI-18/19</v>
          </cell>
          <cell r="B5098" t="str">
            <v>XZ-HMFox2200</v>
          </cell>
        </row>
        <row r="5099">
          <cell r="A5099" t="str">
            <v>XZ-HMFox2200-R0-14/15</v>
          </cell>
          <cell r="B5099" t="str">
            <v>XZ-HMFox2200</v>
          </cell>
        </row>
        <row r="5100">
          <cell r="A5100" t="str">
            <v>XZ-HMFox2200-R0-16/17</v>
          </cell>
          <cell r="B5100" t="str">
            <v>XZ-HMFox2200</v>
          </cell>
        </row>
        <row r="5101">
          <cell r="A5101" t="str">
            <v>XZ-HMFox2200-R0-18/19</v>
          </cell>
          <cell r="B5101" t="str">
            <v>XZ-HMFox2200</v>
          </cell>
        </row>
        <row r="5102">
          <cell r="A5102" t="str">
            <v>XZ-HMFox2200-R0-20</v>
          </cell>
          <cell r="B5102" t="str">
            <v>XZ-HMFox2200</v>
          </cell>
        </row>
        <row r="5103">
          <cell r="A5103" t="str">
            <v>XZ-HMGG29</v>
          </cell>
          <cell r="B5103" t="str">
            <v>XZ-HMGG29</v>
          </cell>
        </row>
        <row r="5104">
          <cell r="A5104" t="str">
            <v>XZ-HMGG29-Y0-3637</v>
          </cell>
          <cell r="B5104" t="str">
            <v>XZ-HMGG29</v>
          </cell>
        </row>
        <row r="5105">
          <cell r="A5105" t="str">
            <v>XZ-HMGG29-Y0-3839</v>
          </cell>
          <cell r="B5105" t="str">
            <v>XZ-HMGG29</v>
          </cell>
        </row>
        <row r="5106">
          <cell r="A5106" t="str">
            <v>XZ-HMGR23</v>
          </cell>
          <cell r="B5106" t="str">
            <v>XZ-HMGR23</v>
          </cell>
        </row>
        <row r="5107">
          <cell r="A5107" t="str">
            <v>XZ-HMGR23-GR-3536</v>
          </cell>
          <cell r="B5107" t="str">
            <v>XZ-HMGR23</v>
          </cell>
        </row>
        <row r="5108">
          <cell r="A5108" t="str">
            <v>XZ-HMGR23-GR-3738</v>
          </cell>
          <cell r="B5108" t="str">
            <v>XZ-HMGR23</v>
          </cell>
        </row>
        <row r="5109">
          <cell r="A5109" t="str">
            <v>XZ-HMGR23-GR-3940</v>
          </cell>
          <cell r="B5109" t="str">
            <v>XZ-HMGR23</v>
          </cell>
        </row>
        <row r="5110">
          <cell r="A5110" t="str">
            <v>XZ-HMHM0133-W0-3637</v>
          </cell>
          <cell r="B5110" t="str">
            <v>XZ-HMHM0133</v>
          </cell>
        </row>
        <row r="5111">
          <cell r="A5111" t="str">
            <v>XZ-HMHM0133-W0-3839</v>
          </cell>
          <cell r="B5111" t="str">
            <v>XZ-HMHM0133</v>
          </cell>
        </row>
        <row r="5112">
          <cell r="A5112" t="str">
            <v>XZ-HMHX-ML299-B0-3536</v>
          </cell>
          <cell r="B5112" t="str">
            <v>XZ-HMHX-ML299</v>
          </cell>
        </row>
        <row r="5113">
          <cell r="A5113" t="str">
            <v>XZ-HMHX-ML299-B0-3738</v>
          </cell>
          <cell r="B5113" t="str">
            <v>XZ-HMHX-ML299</v>
          </cell>
        </row>
        <row r="5114">
          <cell r="A5114" t="str">
            <v>XZ-HMHX-ML299-B0-3940</v>
          </cell>
          <cell r="B5114" t="str">
            <v>XZ-HMHX-QE298</v>
          </cell>
        </row>
        <row r="5115">
          <cell r="A5115" t="str">
            <v>XZ-HMHX-ML299-PI-3536</v>
          </cell>
          <cell r="B5115" t="str">
            <v>XZ-HMHX-QE298</v>
          </cell>
        </row>
        <row r="5116">
          <cell r="A5116" t="str">
            <v>XZ-HMHX-ML299-PI-3738</v>
          </cell>
          <cell r="B5116" t="str">
            <v>XZ-HMHX-QE298</v>
          </cell>
        </row>
        <row r="5117">
          <cell r="A5117" t="str">
            <v>XZ-HMHX-ML299-PI-3940</v>
          </cell>
          <cell r="B5117" t="str">
            <v>XZ-HMHX-QE298</v>
          </cell>
        </row>
        <row r="5118">
          <cell r="A5118" t="str">
            <v>XZ-HMHX-ML299-PU-3536</v>
          </cell>
          <cell r="B5118" t="str">
            <v>XZ-HMHX-QE298</v>
          </cell>
        </row>
        <row r="5119">
          <cell r="A5119" t="str">
            <v>XZ-HMHX-ML299-PU-3738</v>
          </cell>
          <cell r="B5119" t="str">
            <v>XZ-HMHX-QE298</v>
          </cell>
        </row>
        <row r="5120">
          <cell r="A5120" t="str">
            <v>XZ-HMHX-ML299-PU-3940</v>
          </cell>
          <cell r="B5120" t="str">
            <v>XZ-HMHX-QE298</v>
          </cell>
        </row>
        <row r="5121">
          <cell r="A5121" t="str">
            <v>XZ-HMHX-ML299-PU-3940</v>
          </cell>
          <cell r="B5121" t="str">
            <v>XZ-HMHX-ML299</v>
          </cell>
        </row>
        <row r="5122">
          <cell r="A5122" t="str">
            <v>XZ-HMHX-QE004</v>
          </cell>
          <cell r="B5122" t="str">
            <v>XZ-HMHX-QE004</v>
          </cell>
        </row>
        <row r="5123">
          <cell r="A5123" t="str">
            <v>XZ-HMHX-QE004-GR-3536</v>
          </cell>
          <cell r="B5123" t="str">
            <v>XZ-HMHX-QE004</v>
          </cell>
        </row>
        <row r="5124">
          <cell r="A5124" t="str">
            <v>XZ-HMHX-QE004-GR-3738</v>
          </cell>
          <cell r="B5124" t="str">
            <v>XZ-HMHX-QE004</v>
          </cell>
        </row>
        <row r="5125">
          <cell r="A5125" t="str">
            <v>XZ-HMHX-QE004-GR-3940</v>
          </cell>
          <cell r="B5125" t="str">
            <v>XZ-HMHX-QE004</v>
          </cell>
        </row>
        <row r="5126">
          <cell r="A5126" t="str">
            <v>XZ-HMHX-QE004-GR-4142</v>
          </cell>
          <cell r="B5126" t="str">
            <v>XZ-HMHX-QE004</v>
          </cell>
        </row>
        <row r="5127">
          <cell r="A5127" t="str">
            <v>XZ-HMHX-QE004-GR-4344</v>
          </cell>
          <cell r="B5127" t="str">
            <v>XZ-HMHX-QE004</v>
          </cell>
        </row>
        <row r="5128">
          <cell r="A5128" t="str">
            <v>XZ-HMHX-QE004-K0-3536</v>
          </cell>
          <cell r="B5128" t="str">
            <v>XZ-HMHX-QE004</v>
          </cell>
        </row>
        <row r="5129">
          <cell r="A5129" t="str">
            <v>XZ-HMHX-QE004-K0-3738</v>
          </cell>
          <cell r="B5129" t="str">
            <v>XZ-HMHX-QE004</v>
          </cell>
        </row>
        <row r="5130">
          <cell r="A5130" t="str">
            <v>XZ-HMHX-QE004-K0-3940</v>
          </cell>
          <cell r="B5130" t="str">
            <v>XZ-HMHX-QE004</v>
          </cell>
        </row>
        <row r="5131">
          <cell r="A5131" t="str">
            <v>XZ-HMHX-QE004-K0-4142</v>
          </cell>
          <cell r="B5131" t="str">
            <v>XZ-HMHX-QE004</v>
          </cell>
        </row>
        <row r="5132">
          <cell r="A5132" t="str">
            <v>XZ-HMHX-QE004-K0-4344</v>
          </cell>
          <cell r="B5132" t="str">
            <v>XZ-HMHX-QE004</v>
          </cell>
        </row>
        <row r="5133">
          <cell r="A5133" t="str">
            <v>XZ-HMHX-QE004-PI-3536</v>
          </cell>
          <cell r="B5133" t="str">
            <v>XZ-HMHX-QE004</v>
          </cell>
        </row>
        <row r="5134">
          <cell r="A5134" t="str">
            <v>XZ-HMHX-QE004-PI-3738</v>
          </cell>
          <cell r="B5134" t="str">
            <v>XZ-HMHX-QE004</v>
          </cell>
        </row>
        <row r="5135">
          <cell r="A5135" t="str">
            <v>XZ-HMHX-QE004-PI-3940</v>
          </cell>
          <cell r="B5135" t="str">
            <v>XZ-HMHX-QE004</v>
          </cell>
        </row>
        <row r="5136">
          <cell r="A5136" t="str">
            <v>XZ-HMHX-QE298</v>
          </cell>
          <cell r="B5136" t="str">
            <v>XZ-HMHX-QE298</v>
          </cell>
        </row>
        <row r="5137">
          <cell r="A5137" t="str">
            <v>XZ-HMHX-TZ003-G0-3536</v>
          </cell>
          <cell r="B5137" t="str">
            <v>XZ-HMHX-TZ003</v>
          </cell>
        </row>
        <row r="5138">
          <cell r="A5138" t="str">
            <v>XZ-HMHX-TZ003-G0-3738</v>
          </cell>
          <cell r="B5138" t="str">
            <v>XZ-HMHX-TZ003</v>
          </cell>
        </row>
        <row r="5139">
          <cell r="A5139" t="str">
            <v>XZ-HMHX-TZ003-G0-3940</v>
          </cell>
          <cell r="B5139" t="str">
            <v>XZ-HMHX-TZ003</v>
          </cell>
        </row>
        <row r="5140">
          <cell r="A5140" t="str">
            <v>XZ-HMHX-TZ003-OR-3536</v>
          </cell>
          <cell r="B5140" t="str">
            <v>XZ-HMHX-TZ003</v>
          </cell>
        </row>
        <row r="5141">
          <cell r="A5141" t="str">
            <v>XZ-HMHX-TZ003-OR-3738</v>
          </cell>
          <cell r="B5141" t="str">
            <v>XZ-HMHX-TZ003</v>
          </cell>
        </row>
        <row r="5142">
          <cell r="A5142" t="str">
            <v>XZ-HMHX-TZ003-OR-3940</v>
          </cell>
          <cell r="B5142" t="str">
            <v>XZ-HMHX-TZ003</v>
          </cell>
        </row>
        <row r="5143">
          <cell r="A5143" t="str">
            <v>XZ-HMHX-TZ003-PI-3536</v>
          </cell>
          <cell r="B5143" t="str">
            <v>XZ-HMHX-TZ003</v>
          </cell>
        </row>
        <row r="5144">
          <cell r="A5144" t="str">
            <v>XZ-HMHX-TZ003-PI-3738</v>
          </cell>
          <cell r="B5144" t="str">
            <v>XZ-HMHX-TZ003</v>
          </cell>
        </row>
        <row r="5145">
          <cell r="A5145" t="str">
            <v>XZ-HMHX-TZ003-PI-3940</v>
          </cell>
          <cell r="B5145" t="str">
            <v>XZ-HMHX-TZ003</v>
          </cell>
        </row>
        <row r="5146">
          <cell r="A5146" t="str">
            <v>XZ-HMHX-TZ003-PU-3536</v>
          </cell>
          <cell r="B5146" t="str">
            <v>XZ-HMHX-TZ003</v>
          </cell>
        </row>
        <row r="5147">
          <cell r="A5147" t="str">
            <v>XZ-HMHX-TZ003-PU-3738</v>
          </cell>
          <cell r="B5147" t="str">
            <v>XZ-HMHX-TZ003</v>
          </cell>
        </row>
        <row r="5148">
          <cell r="A5148" t="str">
            <v>XZ-HMHX-TZ003-PU-3940</v>
          </cell>
          <cell r="B5148" t="str">
            <v>XZ-HMHX-TZ003</v>
          </cell>
        </row>
        <row r="5149">
          <cell r="A5149" t="str">
            <v>XZ-HMHX-YL001-PU-3940</v>
          </cell>
          <cell r="B5149" t="str">
            <v>XZ-HMHX-YL001</v>
          </cell>
        </row>
        <row r="5150">
          <cell r="A5150" t="str">
            <v>XZ-HMKid-XP04</v>
          </cell>
          <cell r="B5150" t="str">
            <v>XZ-HMKid-XP04</v>
          </cell>
        </row>
        <row r="5151">
          <cell r="A5151" t="str">
            <v>XZ-HMKid-XP04-BE-21</v>
          </cell>
          <cell r="B5151" t="str">
            <v>XZ-HMKid-XP04</v>
          </cell>
        </row>
        <row r="5152">
          <cell r="A5152" t="str">
            <v>XZ-HMKid-XP04-BE-22</v>
          </cell>
          <cell r="B5152" t="str">
            <v>XZ-HMKid-XP04</v>
          </cell>
        </row>
        <row r="5153">
          <cell r="A5153" t="str">
            <v>XZ-HMKid-XP04-CO-21</v>
          </cell>
          <cell r="B5153" t="str">
            <v>XZ-HMKid-XP04</v>
          </cell>
        </row>
        <row r="5154">
          <cell r="A5154" t="str">
            <v>XZ-HMKid-XP04-CO-22</v>
          </cell>
          <cell r="B5154" t="str">
            <v>XZ-HMKid-XP04</v>
          </cell>
        </row>
        <row r="5155">
          <cell r="A5155" t="str">
            <v>XZ-HMKid-XP04-PI-20</v>
          </cell>
          <cell r="B5155" t="str">
            <v>XZ-HMKid-XP04</v>
          </cell>
        </row>
        <row r="5156">
          <cell r="A5156" t="str">
            <v>XZ-HMKid-XP04-PI-21</v>
          </cell>
          <cell r="B5156" t="str">
            <v>XZ-HMKid-XP04</v>
          </cell>
        </row>
        <row r="5157">
          <cell r="A5157" t="str">
            <v>XZ-HMLion-3637</v>
          </cell>
          <cell r="B5157" t="str">
            <v>XZ-HMLion</v>
          </cell>
        </row>
        <row r="5158">
          <cell r="A5158" t="str">
            <v>XZ-HMLion-4041</v>
          </cell>
          <cell r="B5158" t="str">
            <v>XZ-HMLion</v>
          </cell>
        </row>
        <row r="5159">
          <cell r="A5159" t="str">
            <v>XZ-HMM311</v>
          </cell>
          <cell r="B5159" t="str">
            <v>XZ-HMM311</v>
          </cell>
        </row>
        <row r="5160">
          <cell r="A5160" t="str">
            <v>XZ-HMM311-B0-3637</v>
          </cell>
          <cell r="B5160" t="str">
            <v>XZ-HMM311</v>
          </cell>
        </row>
        <row r="5161">
          <cell r="A5161" t="str">
            <v>XZ-HMM311-B0-3839</v>
          </cell>
          <cell r="B5161" t="str">
            <v>XZ-HMM311</v>
          </cell>
        </row>
        <row r="5162">
          <cell r="A5162" t="str">
            <v>XZ-HMM311-B0-4041</v>
          </cell>
          <cell r="B5162" t="str">
            <v>XZ-HMM311</v>
          </cell>
        </row>
        <row r="5163">
          <cell r="A5163" t="str">
            <v>XZ-HMM311-GR-4243</v>
          </cell>
          <cell r="B5163" t="str">
            <v>XZ-HMM311</v>
          </cell>
        </row>
        <row r="5164">
          <cell r="A5164" t="str">
            <v>XZ-HMM311-GR-4445</v>
          </cell>
          <cell r="B5164" t="str">
            <v>XZ-HMM311</v>
          </cell>
        </row>
        <row r="5165">
          <cell r="A5165" t="str">
            <v>XZ-HMM311-KH-4243</v>
          </cell>
          <cell r="B5165" t="str">
            <v>XZ-HMM311</v>
          </cell>
        </row>
        <row r="5166">
          <cell r="A5166" t="str">
            <v>XZ-HMM311-KH-4445</v>
          </cell>
          <cell r="B5166" t="str">
            <v>XZ-HMM311</v>
          </cell>
        </row>
        <row r="5167">
          <cell r="A5167" t="str">
            <v>XZ-HMM311-PI-3637</v>
          </cell>
          <cell r="B5167" t="str">
            <v>XZ-HMM311</v>
          </cell>
        </row>
        <row r="5168">
          <cell r="A5168" t="str">
            <v>XZ-HMM311-PI-3839</v>
          </cell>
          <cell r="B5168" t="str">
            <v>XZ-HMM311</v>
          </cell>
        </row>
        <row r="5169">
          <cell r="A5169" t="str">
            <v>XZ-HMM311-PI-4041</v>
          </cell>
          <cell r="B5169" t="str">
            <v>XZ-HMM311</v>
          </cell>
        </row>
        <row r="5170">
          <cell r="A5170" t="str">
            <v>XZ-HMM311-W0-3637</v>
          </cell>
          <cell r="B5170" t="str">
            <v>XZ-HMM311</v>
          </cell>
        </row>
        <row r="5171">
          <cell r="A5171" t="str">
            <v>XZ-HMM311-W0-3839</v>
          </cell>
          <cell r="B5171" t="str">
            <v>XZ-HMM311</v>
          </cell>
        </row>
        <row r="5172">
          <cell r="A5172" t="str">
            <v>XZ-HMM311-W0-4041</v>
          </cell>
          <cell r="B5172" t="str">
            <v>XZ-HMM311</v>
          </cell>
        </row>
        <row r="5173">
          <cell r="A5173" t="str">
            <v>XZ-HMMC32-MC-3637</v>
          </cell>
          <cell r="B5173" t="str">
            <v>XZ-HMMC32</v>
          </cell>
        </row>
        <row r="5174">
          <cell r="A5174" t="str">
            <v>XZ-HMMC32-MC-3839</v>
          </cell>
          <cell r="B5174" t="str">
            <v>XZ-HMMC32</v>
          </cell>
        </row>
        <row r="5175">
          <cell r="A5175" t="str">
            <v>XZ-HMMC32-MC-4243</v>
          </cell>
          <cell r="B5175" t="str">
            <v>XZ-HMMC32</v>
          </cell>
        </row>
        <row r="5176">
          <cell r="A5176" t="str">
            <v>XZ-HMMC32-MC-4445</v>
          </cell>
          <cell r="B5176" t="str">
            <v>XZ-HMMC32</v>
          </cell>
        </row>
        <row r="5177">
          <cell r="A5177" t="str">
            <v>XZ-HMMG31-GR-37</v>
          </cell>
          <cell r="B5177" t="str">
            <v>XZ-HMMG31</v>
          </cell>
        </row>
        <row r="5178">
          <cell r="A5178" t="str">
            <v>XZ-HMMG60</v>
          </cell>
          <cell r="B5178" t="str">
            <v>XZ-HMMG60</v>
          </cell>
        </row>
        <row r="5179">
          <cell r="A5179" t="str">
            <v>XZ-HMMG60-GRH-30-31</v>
          </cell>
          <cell r="B5179" t="str">
            <v>XZ-HMMG60</v>
          </cell>
        </row>
        <row r="5180">
          <cell r="A5180" t="str">
            <v>XZ-HMMG60-GRH-32-33</v>
          </cell>
          <cell r="B5180" t="str">
            <v>XZ-HMMG60</v>
          </cell>
        </row>
        <row r="5181">
          <cell r="A5181" t="str">
            <v>XZ-HMMG60-GRH-34-35</v>
          </cell>
          <cell r="B5181" t="str">
            <v>XZ-HMMG60</v>
          </cell>
        </row>
        <row r="5182">
          <cell r="A5182" t="str">
            <v>XZ-HMMG60-GRH-40-41</v>
          </cell>
          <cell r="B5182" t="str">
            <v>XZ-HMMG60</v>
          </cell>
        </row>
        <row r="5183">
          <cell r="A5183" t="str">
            <v>XZ-HMMG60-GRH-42-43</v>
          </cell>
          <cell r="B5183" t="str">
            <v>XZ-HMMG60</v>
          </cell>
        </row>
        <row r="5184">
          <cell r="A5184" t="str">
            <v>XZ-HMMG60-PIB-34-35</v>
          </cell>
          <cell r="B5184" t="str">
            <v>XZ-HMMG60</v>
          </cell>
        </row>
        <row r="5185">
          <cell r="A5185" t="str">
            <v>XZ-HMMG60-PIH-34-35</v>
          </cell>
          <cell r="B5185" t="str">
            <v>XZ-HMMG60</v>
          </cell>
        </row>
        <row r="5186">
          <cell r="A5186" t="str">
            <v>XZ-HMMG60-PIH-36-37</v>
          </cell>
          <cell r="B5186" t="str">
            <v>XZ-HMMG60</v>
          </cell>
        </row>
        <row r="5187">
          <cell r="A5187" t="str">
            <v>XZ-HMMG60-PIH-38-39</v>
          </cell>
          <cell r="B5187" t="str">
            <v>XZ-HMMG60</v>
          </cell>
        </row>
        <row r="5188">
          <cell r="A5188" t="str">
            <v>XZ-HMMG60-PIH-40-41</v>
          </cell>
          <cell r="B5188" t="str">
            <v>XZ-HMMG60</v>
          </cell>
        </row>
        <row r="5189">
          <cell r="A5189" t="str">
            <v>XZ-HMMLD001-B0-3738</v>
          </cell>
          <cell r="B5189" t="str">
            <v>XZ-HMMLD001</v>
          </cell>
        </row>
        <row r="5190">
          <cell r="A5190" t="str">
            <v>XZ-HMMLD001-B0-3940</v>
          </cell>
          <cell r="B5190" t="str">
            <v>XZ-HMMLD001</v>
          </cell>
        </row>
        <row r="5191">
          <cell r="A5191" t="str">
            <v>XZ-HMMLD001-CO-4041</v>
          </cell>
          <cell r="B5191" t="str">
            <v>XZ-HMMLD001</v>
          </cell>
        </row>
        <row r="5192">
          <cell r="A5192" t="str">
            <v>XZ-HMMLD001-CO-4243</v>
          </cell>
          <cell r="B5192" t="str">
            <v>XZ-HMMLD001</v>
          </cell>
        </row>
        <row r="5193">
          <cell r="A5193" t="str">
            <v>XZ-HMMLD001-PI-3738</v>
          </cell>
          <cell r="B5193" t="str">
            <v>XZ-HMMLD001</v>
          </cell>
        </row>
        <row r="5194">
          <cell r="A5194" t="str">
            <v>XZ-HMMLD001-PI-3940</v>
          </cell>
          <cell r="B5194" t="str">
            <v>XZ-HMMLD001</v>
          </cell>
        </row>
        <row r="5195">
          <cell r="A5195" t="str">
            <v>XZ-HMMLD001-R0-3738</v>
          </cell>
          <cell r="B5195" t="str">
            <v>XZ-HMMLD001</v>
          </cell>
        </row>
        <row r="5196">
          <cell r="A5196" t="str">
            <v>XZ-HMMLD001-R0-3940</v>
          </cell>
          <cell r="B5196" t="str">
            <v>XZ-HMMLD001</v>
          </cell>
        </row>
        <row r="5197">
          <cell r="A5197" t="str">
            <v>XZ-HMMX360</v>
          </cell>
          <cell r="B5197" t="str">
            <v>XZ-HMMX360</v>
          </cell>
        </row>
        <row r="5198">
          <cell r="A5198" t="str">
            <v>XZ-HMMX360-GR-3637</v>
          </cell>
          <cell r="B5198" t="str">
            <v>XZ-HMMX360</v>
          </cell>
        </row>
        <row r="5199">
          <cell r="A5199" t="str">
            <v>XZ-HMMX360-GR-3839</v>
          </cell>
          <cell r="B5199" t="str">
            <v>XZ-HMMX360</v>
          </cell>
        </row>
        <row r="5200">
          <cell r="A5200" t="str">
            <v>XZ-HMMX360-GR-4041</v>
          </cell>
          <cell r="B5200" t="str">
            <v>XZ-HMMX360</v>
          </cell>
        </row>
        <row r="5201">
          <cell r="A5201" t="str">
            <v>XZ-HMSD269-K0-17</v>
          </cell>
          <cell r="B5201" t="str">
            <v>XZ-HMSD269</v>
          </cell>
        </row>
        <row r="5202">
          <cell r="A5202" t="str">
            <v>XZ-HMSD269-K0-19</v>
          </cell>
          <cell r="B5202" t="str">
            <v>XZ-HMSD269</v>
          </cell>
        </row>
        <row r="5203">
          <cell r="A5203" t="str">
            <v>XZ-HMSD269-K0-20</v>
          </cell>
          <cell r="B5203" t="str">
            <v>XZ-HMSD269</v>
          </cell>
        </row>
        <row r="5204">
          <cell r="A5204" t="str">
            <v>XZ-HMSD269-K0-21</v>
          </cell>
          <cell r="B5204" t="str">
            <v>XZ-HMSD269</v>
          </cell>
        </row>
        <row r="5205">
          <cell r="A5205" t="str">
            <v>XZ-HMSD269-K0-22</v>
          </cell>
          <cell r="B5205" t="str">
            <v>XZ-HMSD269</v>
          </cell>
        </row>
        <row r="5206">
          <cell r="A5206" t="str">
            <v>XZ-HMSD269-K0-24</v>
          </cell>
          <cell r="B5206" t="str">
            <v>XZ-HMSD269</v>
          </cell>
        </row>
        <row r="5207">
          <cell r="A5207" t="str">
            <v>XZ-HMSD269-R0-25</v>
          </cell>
          <cell r="B5207" t="str">
            <v>XZ-HMSD269</v>
          </cell>
        </row>
        <row r="5208">
          <cell r="A5208" t="str">
            <v>XZ-HMSD269-R0-26</v>
          </cell>
          <cell r="B5208" t="str">
            <v>XZ-HMSD269</v>
          </cell>
        </row>
        <row r="5209">
          <cell r="A5209" t="str">
            <v>XZ-HMSD269-R0-28</v>
          </cell>
          <cell r="B5209" t="str">
            <v>XZ-HMSD269</v>
          </cell>
        </row>
        <row r="5210">
          <cell r="A5210" t="str">
            <v>XZ-HMSD269-R0-29</v>
          </cell>
          <cell r="B5210" t="str">
            <v>XZ-HMSD269</v>
          </cell>
        </row>
        <row r="5211">
          <cell r="A5211" t="str">
            <v>XZ-HMTZ219</v>
          </cell>
          <cell r="B5211" t="str">
            <v>XZ-HMTZ219</v>
          </cell>
        </row>
        <row r="5212">
          <cell r="A5212" t="str">
            <v>XZ-HMTZ219-GR-4041</v>
          </cell>
          <cell r="B5212" t="str">
            <v>XZ-HMTZ219</v>
          </cell>
        </row>
        <row r="5213">
          <cell r="A5213" t="str">
            <v>XZ-HMTZ250</v>
          </cell>
          <cell r="B5213" t="str">
            <v>XZ-HMTZ250</v>
          </cell>
        </row>
        <row r="5214">
          <cell r="A5214" t="str">
            <v>XZ-HMTZ250-CO-4041</v>
          </cell>
          <cell r="B5214" t="str">
            <v>XZ-HMTZ250</v>
          </cell>
        </row>
        <row r="5215">
          <cell r="A5215" t="str">
            <v>XZ-HMTZ250-CO-4243</v>
          </cell>
          <cell r="B5215" t="str">
            <v>XZ-HMTZ250</v>
          </cell>
        </row>
        <row r="5216">
          <cell r="A5216" t="str">
            <v>XZ-HMTZ250-CO-4445</v>
          </cell>
          <cell r="B5216" t="str">
            <v>XZ-HMTZ250</v>
          </cell>
        </row>
        <row r="5217">
          <cell r="A5217" t="str">
            <v>XZ-HMTZ250-GR-4041</v>
          </cell>
          <cell r="B5217" t="str">
            <v>XZ-HMTZ250</v>
          </cell>
        </row>
        <row r="5218">
          <cell r="A5218" t="str">
            <v>XZ-HMTZ250-GR-4243</v>
          </cell>
          <cell r="B5218" t="str">
            <v>XZ-HMTZ250</v>
          </cell>
        </row>
        <row r="5219">
          <cell r="A5219" t="str">
            <v>XZ-HMTZ250-GR-4445</v>
          </cell>
          <cell r="B5219" t="str">
            <v>XZ-HMTZ250</v>
          </cell>
        </row>
        <row r="5220">
          <cell r="A5220" t="str">
            <v>XZ-HMTZ250-P0-3637</v>
          </cell>
          <cell r="B5220" t="str">
            <v>XZ-HMTZ250</v>
          </cell>
        </row>
        <row r="5221">
          <cell r="A5221" t="str">
            <v>XZ-HMTZ250-P0-3839</v>
          </cell>
          <cell r="B5221" t="str">
            <v>XZ-HMTZ250</v>
          </cell>
        </row>
        <row r="5222">
          <cell r="A5222" t="str">
            <v>XZ-HMTZ250-P0-4041</v>
          </cell>
          <cell r="B5222" t="str">
            <v>XZ-HMTZ250</v>
          </cell>
        </row>
        <row r="5223">
          <cell r="A5223" t="str">
            <v>XZ-HMTZ250-Pi-3637</v>
          </cell>
          <cell r="B5223" t="str">
            <v>XZ-HMTZ250</v>
          </cell>
        </row>
        <row r="5224">
          <cell r="A5224" t="str">
            <v>XZ-HMTZ250-Pi-3839</v>
          </cell>
          <cell r="B5224" t="str">
            <v>XZ-HMTZ250</v>
          </cell>
        </row>
        <row r="5225">
          <cell r="A5225" t="str">
            <v>XZ-HMTZ250-Pi-4041</v>
          </cell>
          <cell r="B5225" t="str">
            <v>XZ-HMTZ250</v>
          </cell>
        </row>
        <row r="5226">
          <cell r="A5226" t="str">
            <v>XZ-HMXX018</v>
          </cell>
          <cell r="B5226" t="str">
            <v>XZ-HMXX018</v>
          </cell>
        </row>
        <row r="5227">
          <cell r="A5227" t="str">
            <v>XZ-HMXX018-BR-3637</v>
          </cell>
          <cell r="B5227" t="str">
            <v>XZ-HMXX018</v>
          </cell>
        </row>
        <row r="5228">
          <cell r="A5228" t="str">
            <v>XZ-HMXX018-BR-3839</v>
          </cell>
          <cell r="B5228" t="str">
            <v>XZ-HMXX018</v>
          </cell>
        </row>
        <row r="5229">
          <cell r="A5229" t="str">
            <v>XZ-HMXX018-BR-4041</v>
          </cell>
          <cell r="B5229" t="str">
            <v>XZ-HMXX018</v>
          </cell>
        </row>
        <row r="5230">
          <cell r="A5230" t="str">
            <v>XZ-HMXX018-K0-3637</v>
          </cell>
          <cell r="B5230" t="str">
            <v>XZ-HMXX018</v>
          </cell>
        </row>
        <row r="5231">
          <cell r="A5231" t="str">
            <v>XZ-HMXX018-K0-3839</v>
          </cell>
          <cell r="B5231" t="str">
            <v>XZ-HMXX018</v>
          </cell>
        </row>
        <row r="5232">
          <cell r="A5232" t="str">
            <v>XZ-HMXX018-K0-3940</v>
          </cell>
          <cell r="B5232" t="str">
            <v>XZ-HMXX018</v>
          </cell>
        </row>
        <row r="5233">
          <cell r="A5233" t="str">
            <v>XZ-HMXX018-R0-3839</v>
          </cell>
          <cell r="B5233" t="str">
            <v>XZ-HMXX018</v>
          </cell>
        </row>
        <row r="5234">
          <cell r="A5234" t="str">
            <v>XZ-HMXX018-Y0-3637</v>
          </cell>
          <cell r="B5234" t="str">
            <v>XZ-HMXX018</v>
          </cell>
        </row>
        <row r="5235">
          <cell r="A5235" t="str">
            <v>XZ-HMXX018-Y0-3839</v>
          </cell>
          <cell r="B5235" t="str">
            <v>XZ-HMXX018</v>
          </cell>
        </row>
        <row r="5236">
          <cell r="A5236" t="str">
            <v>XZ-HMXX018-Y0-3940</v>
          </cell>
          <cell r="B5236" t="str">
            <v>XZ-HMXX018</v>
          </cell>
        </row>
        <row r="5237">
          <cell r="A5237" t="str">
            <v>XZ-HMXX390-Gird-P0-3637</v>
          </cell>
          <cell r="B5237" t="str">
            <v>XZ-HMXX390</v>
          </cell>
        </row>
        <row r="5238">
          <cell r="A5238" t="str">
            <v>XZ-HMXX390-Gird-P0-3839</v>
          </cell>
          <cell r="B5238" t="str">
            <v>XZ-HMXX390</v>
          </cell>
        </row>
        <row r="5239">
          <cell r="A5239" t="str">
            <v>XZ-HMXX390-Gird-YH-3637</v>
          </cell>
          <cell r="B5239" t="str">
            <v>XZ-HMXX390</v>
          </cell>
        </row>
        <row r="5240">
          <cell r="A5240" t="str">
            <v>XZ-HMXX390-Gird-YH-3839</v>
          </cell>
          <cell r="B5240" t="str">
            <v>XZ-HMXX390</v>
          </cell>
        </row>
        <row r="5241">
          <cell r="A5241" t="str">
            <v>XZ-HMXX390-Knit-BE-3637</v>
          </cell>
          <cell r="B5241" t="str">
            <v>XZ-HMXX390</v>
          </cell>
        </row>
        <row r="5242">
          <cell r="A5242" t="str">
            <v>XZ-HMXX390-Knit-BE-3839</v>
          </cell>
          <cell r="B5242" t="str">
            <v>XZ-HMXX390</v>
          </cell>
        </row>
        <row r="5243">
          <cell r="A5243" t="str">
            <v>XZ-HMXX390-Knit-P0-3637</v>
          </cell>
          <cell r="B5243" t="str">
            <v>XZ-HMXX390</v>
          </cell>
        </row>
        <row r="5244">
          <cell r="A5244" t="str">
            <v>XZ-HMXX390-Knit-P0-3839</v>
          </cell>
          <cell r="B5244" t="str">
            <v>XZ-HMXX390</v>
          </cell>
        </row>
        <row r="5245">
          <cell r="A5245" t="str">
            <v>XZ-HMXX390-Knit-PI-3637</v>
          </cell>
          <cell r="B5245" t="str">
            <v>XZ-HMXX390</v>
          </cell>
        </row>
        <row r="5246">
          <cell r="A5246" t="str">
            <v>XZ-HMXX390-Knit-PI-3839</v>
          </cell>
          <cell r="B5246" t="str">
            <v>XZ-HMXX390</v>
          </cell>
        </row>
        <row r="5247">
          <cell r="A5247" t="str">
            <v>XZ-HMXX390-Knit-QC-3637</v>
          </cell>
          <cell r="B5247" t="str">
            <v>XZ-HMXX390</v>
          </cell>
        </row>
        <row r="5248">
          <cell r="A5248" t="str">
            <v>XZ-HMXX390-Knit-QC-3839</v>
          </cell>
          <cell r="B5248" t="str">
            <v>XZ-HMXX390</v>
          </cell>
        </row>
        <row r="5249">
          <cell r="A5249" t="str">
            <v>XZ-HMXX390-Snow-R3-3637</v>
          </cell>
          <cell r="B5249" t="str">
            <v>XZ-HMXX390</v>
          </cell>
        </row>
        <row r="5250">
          <cell r="A5250" t="str">
            <v>XZ-HMXX390-Snow-R3-3839</v>
          </cell>
          <cell r="B5250" t="str">
            <v>XZ-HMXX390</v>
          </cell>
        </row>
        <row r="5251">
          <cell r="A5251" t="str">
            <v>XZ-HMXX390-Snow-W0-3637</v>
          </cell>
          <cell r="B5251" t="str">
            <v>XZ-HMXX390</v>
          </cell>
        </row>
        <row r="5252">
          <cell r="A5252" t="str">
            <v>XZ-HMXX390-Snow-W0-3839</v>
          </cell>
          <cell r="B5252" t="str">
            <v>XZ-HMXX390</v>
          </cell>
        </row>
        <row r="5253">
          <cell r="A5253" t="str">
            <v>XZ-HMXX390-Snow-ZL-3637</v>
          </cell>
          <cell r="B5253" t="str">
            <v>XZ-HMXX390</v>
          </cell>
        </row>
        <row r="5254">
          <cell r="A5254" t="str">
            <v>XZ-HMXX390-Snow-ZL-3839</v>
          </cell>
          <cell r="B5254" t="str">
            <v>XZ-HMXX390</v>
          </cell>
        </row>
        <row r="5255">
          <cell r="A5255" t="str">
            <v>XZ-HMXX390-Velet-P0-3637</v>
          </cell>
          <cell r="B5255" t="str">
            <v>XZ-HMXX390</v>
          </cell>
        </row>
        <row r="5256">
          <cell r="A5256" t="str">
            <v>XZ-HMXX390-Velet-P0-3839</v>
          </cell>
          <cell r="B5256" t="str">
            <v>XZ-HMXX390</v>
          </cell>
        </row>
        <row r="5257">
          <cell r="A5257" t="str">
            <v>XZ-HMXX390-Velet-R3-3637</v>
          </cell>
          <cell r="B5257" t="str">
            <v>XZ-HMXX390</v>
          </cell>
        </row>
        <row r="5258">
          <cell r="A5258" t="str">
            <v>XZ-HMXX390-Velet-R3-3839</v>
          </cell>
          <cell r="B5258" t="str">
            <v>XZ-HMXX390</v>
          </cell>
        </row>
        <row r="5259">
          <cell r="A5259" t="str">
            <v>XZ-HMXY21-R0-3637</v>
          </cell>
          <cell r="B5259" t="str">
            <v>XZ-HMXY21</v>
          </cell>
        </row>
        <row r="5260">
          <cell r="A5260" t="str">
            <v>XZ-HMXY21-R0-3839</v>
          </cell>
          <cell r="B5260" t="str">
            <v>XZ-HMXY21</v>
          </cell>
        </row>
        <row r="5261">
          <cell r="A5261" t="str">
            <v>XZ-HMXY21-ZL-4041</v>
          </cell>
          <cell r="B5261" t="str">
            <v>XZ-HMXY21</v>
          </cell>
        </row>
        <row r="5262">
          <cell r="A5262" t="str">
            <v>XZ-HMYZ22</v>
          </cell>
          <cell r="B5262" t="str">
            <v>XZ-HMYZ22</v>
          </cell>
        </row>
        <row r="5263">
          <cell r="A5263" t="str">
            <v>XZ-HMYZ22-GR-35(3)</v>
          </cell>
          <cell r="B5263" t="str">
            <v>XZ-HMYZ22</v>
          </cell>
        </row>
        <row r="5264">
          <cell r="A5264" t="str">
            <v>XZ-HMYZ22-GR-36(4)</v>
          </cell>
          <cell r="B5264" t="str">
            <v>XZ-HMYZ22</v>
          </cell>
        </row>
        <row r="5265">
          <cell r="A5265" t="str">
            <v>XZ-HMYZ22-GR-3637</v>
          </cell>
          <cell r="B5265" t="str">
            <v>XZ-HMYZ22</v>
          </cell>
        </row>
        <row r="5266">
          <cell r="A5266" t="str">
            <v>XZ-HMYZ22-GR-37(5)</v>
          </cell>
          <cell r="B5266" t="str">
            <v>XZ-HMYZ22</v>
          </cell>
        </row>
        <row r="5267">
          <cell r="A5267" t="str">
            <v>XZ-HMYZ22-GR-38(5.5)</v>
          </cell>
          <cell r="B5267" t="str">
            <v>XZ-HMYZ22</v>
          </cell>
        </row>
        <row r="5268">
          <cell r="A5268" t="str">
            <v>XZ-HMYZ22-GR-3839</v>
          </cell>
          <cell r="B5268" t="str">
            <v>XZ-HMYZ22</v>
          </cell>
        </row>
        <row r="5269">
          <cell r="A5269" t="str">
            <v>XZ-HMYZ22-GR-39(6)</v>
          </cell>
          <cell r="B5269" t="str">
            <v>XZ-HMYZ22</v>
          </cell>
        </row>
        <row r="5270">
          <cell r="A5270" t="str">
            <v>XZ-HMYZ22-GR-40(7)</v>
          </cell>
          <cell r="B5270" t="str">
            <v>XZ-HMYZ22</v>
          </cell>
        </row>
        <row r="5271">
          <cell r="A5271" t="str">
            <v>XZ-HMYZ22-GR-41(8)</v>
          </cell>
          <cell r="B5271" t="str">
            <v>XZ-HMYZ22</v>
          </cell>
        </row>
        <row r="5272">
          <cell r="A5272" t="str">
            <v>XZ-HMYZ22-GR-L</v>
          </cell>
          <cell r="B5272" t="str">
            <v>XZ-HMYZ22</v>
          </cell>
        </row>
        <row r="5273">
          <cell r="A5273" t="str">
            <v>XZ-HMYZ22-GR-M</v>
          </cell>
          <cell r="B5273" t="str">
            <v>XZ-HMYZ22</v>
          </cell>
        </row>
        <row r="5274">
          <cell r="A5274" t="str">
            <v>XZ-HMYZ22-GR-M+</v>
          </cell>
          <cell r="B5274" t="str">
            <v>XZ-HMYZ22</v>
          </cell>
        </row>
        <row r="5275">
          <cell r="A5275" t="str">
            <v>XZ-HMYZ22-GR-S</v>
          </cell>
          <cell r="B5275" t="str">
            <v>XZ-HMYZ22</v>
          </cell>
        </row>
        <row r="5276">
          <cell r="A5276" t="str">
            <v>XZ-HMYZ22-GR-XL</v>
          </cell>
          <cell r="B5276" t="str">
            <v>XZ-HMYZ22</v>
          </cell>
        </row>
        <row r="5277">
          <cell r="A5277" t="str">
            <v>XZ-HMYZ22-GR-XL+</v>
          </cell>
          <cell r="B5277" t="str">
            <v>XZ-HMYZ22</v>
          </cell>
        </row>
        <row r="5278">
          <cell r="A5278" t="str">
            <v>XZ-HMYZ22-PI-35(3)</v>
          </cell>
          <cell r="B5278" t="str">
            <v>XZ-HMYZ22</v>
          </cell>
        </row>
        <row r="5279">
          <cell r="A5279" t="str">
            <v>XZ-HMYZ22-PI-36(4)</v>
          </cell>
          <cell r="B5279" t="str">
            <v>XZ-HMYZ22</v>
          </cell>
        </row>
        <row r="5280">
          <cell r="A5280" t="str">
            <v>XZ-HMYZ22-PI-3637</v>
          </cell>
          <cell r="B5280" t="str">
            <v>XZ-HMYZ22</v>
          </cell>
        </row>
        <row r="5281">
          <cell r="A5281" t="str">
            <v>XZ-HMYZ22-PI-37(5)</v>
          </cell>
          <cell r="B5281" t="str">
            <v>XZ-HMYZ22</v>
          </cell>
        </row>
        <row r="5282">
          <cell r="A5282" t="str">
            <v>XZ-HMYZ22-PI-38(5.5)</v>
          </cell>
          <cell r="B5282" t="str">
            <v>XZ-HMYZ22</v>
          </cell>
        </row>
        <row r="5283">
          <cell r="A5283" t="str">
            <v>XZ-HMYZ22-PI-39(6)</v>
          </cell>
          <cell r="B5283" t="str">
            <v>XZ-HMYZ22</v>
          </cell>
        </row>
        <row r="5284">
          <cell r="A5284" t="str">
            <v>XZ-HMYZ22-PI-40(7)</v>
          </cell>
          <cell r="B5284" t="str">
            <v>XZ-HMYZ22</v>
          </cell>
        </row>
        <row r="5285">
          <cell r="A5285" t="str">
            <v>XZ-HMYZ22-PI-41(8)</v>
          </cell>
          <cell r="B5285" t="str">
            <v>XZ-HMYZ22</v>
          </cell>
        </row>
        <row r="5286">
          <cell r="A5286" t="str">
            <v>XZ-HMYZ22-PI-L</v>
          </cell>
          <cell r="B5286" t="str">
            <v>XZ-HMYZ22</v>
          </cell>
        </row>
        <row r="5287">
          <cell r="A5287" t="str">
            <v>XZ-HMYZ22-PI-M</v>
          </cell>
          <cell r="B5287" t="str">
            <v>XZ-HMYZ22</v>
          </cell>
        </row>
        <row r="5288">
          <cell r="A5288" t="str">
            <v>XZ-HMYZ22-PI-M+</v>
          </cell>
          <cell r="B5288" t="str">
            <v>XZ-HMYZ22</v>
          </cell>
        </row>
        <row r="5289">
          <cell r="A5289" t="str">
            <v>XZ-HMYZ22-PI-S</v>
          </cell>
          <cell r="B5289" t="str">
            <v>XZ-HMYZ22</v>
          </cell>
        </row>
        <row r="5290">
          <cell r="A5290" t="str">
            <v>XZ-HMYZ22-PI-XL</v>
          </cell>
          <cell r="B5290" t="str">
            <v>XZ-HMYZ22</v>
          </cell>
        </row>
        <row r="5291">
          <cell r="A5291" t="str">
            <v>XZ-HMYZ22-PI-XL+</v>
          </cell>
          <cell r="B5291" t="str">
            <v>XZ-HMYZ22</v>
          </cell>
        </row>
        <row r="5292">
          <cell r="A5292" t="str">
            <v>XZ-HMZJ23</v>
          </cell>
          <cell r="B5292" t="str">
            <v>XZ-HMZJ23</v>
          </cell>
        </row>
        <row r="5293">
          <cell r="A5293" t="str">
            <v>XZ-HMZJ23-GR-3637</v>
          </cell>
          <cell r="B5293" t="str">
            <v>XZ-HMZJ23</v>
          </cell>
        </row>
        <row r="5294">
          <cell r="A5294" t="str">
            <v>XZ-HMZJ23-GR-3839</v>
          </cell>
          <cell r="B5294" t="str">
            <v>XZ-HMZJ23</v>
          </cell>
        </row>
        <row r="5295">
          <cell r="A5295" t="str">
            <v>XZ-HMZJ23-GR-4041</v>
          </cell>
          <cell r="B5295" t="str">
            <v>XZ-HMZJ23</v>
          </cell>
        </row>
        <row r="5296">
          <cell r="A5296" t="str">
            <v>XZ-HMZJ23-GR-4243</v>
          </cell>
          <cell r="B5296" t="str">
            <v>XZ-HMZJ23</v>
          </cell>
        </row>
        <row r="5297">
          <cell r="A5297" t="str">
            <v>XZ-PW-1999-CO-37</v>
          </cell>
          <cell r="B5297" t="str">
            <v>XZ-PW-1999</v>
          </cell>
        </row>
        <row r="5298">
          <cell r="A5298" t="str">
            <v>XZ-PW-1999-CO-38</v>
          </cell>
          <cell r="B5298" t="str">
            <v>XZ-PW-1999</v>
          </cell>
        </row>
        <row r="5299">
          <cell r="A5299" t="str">
            <v>XZ-PW-1999-CO-39</v>
          </cell>
          <cell r="B5299" t="str">
            <v>XZ-PW-1999</v>
          </cell>
        </row>
        <row r="5300">
          <cell r="A5300" t="str">
            <v>XZ-PW-1999-CO-40</v>
          </cell>
          <cell r="B5300" t="str">
            <v>XZ-PW-1999</v>
          </cell>
        </row>
        <row r="5301">
          <cell r="A5301" t="str">
            <v>XZ-PW-1999-GR-36</v>
          </cell>
          <cell r="B5301" t="str">
            <v>XZ-PW-1999</v>
          </cell>
        </row>
        <row r="5302">
          <cell r="A5302" t="str">
            <v>XZ-PW-1999-GR-37</v>
          </cell>
          <cell r="B5302" t="str">
            <v>XZ-PW-1999</v>
          </cell>
        </row>
        <row r="5303">
          <cell r="A5303" t="str">
            <v>XZ-PW-1999-GR-38</v>
          </cell>
          <cell r="B5303" t="str">
            <v>XZ-PW-1999</v>
          </cell>
        </row>
        <row r="5304">
          <cell r="A5304" t="str">
            <v>XZ-PW-1999-GR-39</v>
          </cell>
          <cell r="B5304" t="str">
            <v>XZ-PW-1999</v>
          </cell>
        </row>
        <row r="5305">
          <cell r="A5305" t="str">
            <v>XZ-PW-1999-K0-36</v>
          </cell>
          <cell r="B5305" t="str">
            <v>XZ-PW-1999</v>
          </cell>
        </row>
        <row r="5306">
          <cell r="A5306" t="str">
            <v>XZ-PW-1999-K0-37</v>
          </cell>
          <cell r="B5306" t="str">
            <v>XZ-PW-1999</v>
          </cell>
        </row>
        <row r="5307">
          <cell r="A5307" t="str">
            <v>XZ-PW-1999-K0-38</v>
          </cell>
          <cell r="B5307" t="str">
            <v>XZ-PW-1999</v>
          </cell>
        </row>
        <row r="5308">
          <cell r="A5308" t="str">
            <v>XZ-PW-1999-K0-39</v>
          </cell>
          <cell r="B5308" t="str">
            <v>XZ-PW-1999</v>
          </cell>
        </row>
        <row r="5309">
          <cell r="A5309" t="str">
            <v>XZ-PW-1999-K0-40</v>
          </cell>
          <cell r="B5309" t="str">
            <v>XZ-PW-1999</v>
          </cell>
        </row>
        <row r="5310">
          <cell r="A5310" t="str">
            <v>XZ-PW-1999-LB-38</v>
          </cell>
          <cell r="B5310" t="str">
            <v>XZ-PW-1999</v>
          </cell>
        </row>
        <row r="5311">
          <cell r="A5311" t="str">
            <v>XZ-PW-1999-LB-39</v>
          </cell>
          <cell r="B5311" t="str">
            <v>XZ-PW-1999</v>
          </cell>
        </row>
        <row r="5312">
          <cell r="A5312" t="str">
            <v>XZ-PW-1999-LB-40</v>
          </cell>
          <cell r="B5312" t="str">
            <v>XZ-PW-1999</v>
          </cell>
        </row>
        <row r="5313">
          <cell r="A5313" t="str">
            <v>XZ-PW-1999-PU-40</v>
          </cell>
          <cell r="B5313" t="str">
            <v>XZ-PW-1999</v>
          </cell>
        </row>
        <row r="5314">
          <cell r="A5314" t="str">
            <v>XZ-PW-2001-BG-37</v>
          </cell>
          <cell r="B5314" t="str">
            <v>XZ-PW-2001</v>
          </cell>
        </row>
        <row r="5315">
          <cell r="A5315" t="str">
            <v>XZ-PW-2001-BG-38</v>
          </cell>
          <cell r="B5315" t="str">
            <v>XZ-PW-2001</v>
          </cell>
        </row>
        <row r="5316">
          <cell r="A5316" t="str">
            <v>XZ-PW-2001-C0-36</v>
          </cell>
          <cell r="B5316" t="str">
            <v>XZ-PW-2001</v>
          </cell>
        </row>
        <row r="5317">
          <cell r="A5317" t="str">
            <v>XZ-PW-2001-C0-37</v>
          </cell>
          <cell r="B5317" t="str">
            <v>XZ-PW-2001</v>
          </cell>
        </row>
        <row r="5318">
          <cell r="A5318" t="str">
            <v>XZ-PW-2001-G0-36</v>
          </cell>
          <cell r="B5318" t="str">
            <v>XZ-PW-2001</v>
          </cell>
        </row>
        <row r="5319">
          <cell r="A5319" t="str">
            <v>XZ-PW-2001-G0-37</v>
          </cell>
          <cell r="B5319" t="str">
            <v>XZ-PW-2001</v>
          </cell>
        </row>
        <row r="5320">
          <cell r="A5320" t="str">
            <v>XZ-PW-2001-G0-41</v>
          </cell>
          <cell r="B5320" t="str">
            <v>XZ-PW-2001</v>
          </cell>
        </row>
        <row r="5321">
          <cell r="A5321" t="str">
            <v>XZ-PW-2001-K0-36</v>
          </cell>
          <cell r="B5321" t="str">
            <v>XZ-PW-2001</v>
          </cell>
        </row>
        <row r="5322">
          <cell r="A5322" t="str">
            <v>XZ-PW-2001-K0-37</v>
          </cell>
          <cell r="B5322" t="str">
            <v>XZ-PW-2001</v>
          </cell>
        </row>
        <row r="5323">
          <cell r="A5323" t="str">
            <v>XZ-PW-2001-N0-36</v>
          </cell>
          <cell r="B5323" t="str">
            <v>XZ-PW-2001</v>
          </cell>
        </row>
        <row r="5324">
          <cell r="A5324" t="str">
            <v>XZ-PW-2001-N0-37</v>
          </cell>
          <cell r="B5324" t="str">
            <v>XZ-PW-2001</v>
          </cell>
        </row>
        <row r="5325">
          <cell r="A5325" t="str">
            <v>XZ-PW-2001-N0-38</v>
          </cell>
          <cell r="B5325" t="str">
            <v>XZ-PW-2001</v>
          </cell>
        </row>
        <row r="5326">
          <cell r="A5326" t="str">
            <v>XZ-PW-2001-R0-36</v>
          </cell>
          <cell r="B5326" t="str">
            <v>XZ-PW-2001</v>
          </cell>
        </row>
        <row r="5327">
          <cell r="A5327" t="str">
            <v>XZ-PW-2001-R0-37</v>
          </cell>
          <cell r="B5327" t="str">
            <v>XZ-PW-2001</v>
          </cell>
        </row>
        <row r="5328">
          <cell r="A5328" t="str">
            <v>XZ-SM-013GR1-S</v>
          </cell>
          <cell r="B5328" t="str">
            <v>XZ-SM-013</v>
          </cell>
        </row>
        <row r="5329">
          <cell r="A5329" t="str">
            <v>XZ-SM-013GR3-S</v>
          </cell>
          <cell r="B5329" t="str">
            <v>XZ-SM-013</v>
          </cell>
        </row>
        <row r="5330">
          <cell r="A5330" t="str">
            <v>XZ-SM-013PI3-M</v>
          </cell>
          <cell r="B5330" t="str">
            <v>XZ-SM-013</v>
          </cell>
        </row>
        <row r="5331">
          <cell r="A5331" t="str">
            <v>XZ-SM-013PI3-S</v>
          </cell>
          <cell r="B5331" t="str">
            <v>XZ-SM-013</v>
          </cell>
        </row>
        <row r="5332">
          <cell r="A5332" t="str">
            <v>XZ-SM-013WH1-S</v>
          </cell>
          <cell r="B5332" t="str">
            <v>XZ-SM-013</v>
          </cell>
        </row>
        <row r="5333">
          <cell r="A5333" t="str">
            <v>XZ-SM-013WH2-M</v>
          </cell>
          <cell r="B5333" t="str">
            <v>XZ-SM-013</v>
          </cell>
        </row>
        <row r="5334">
          <cell r="A5334" t="str">
            <v>XZ-SM-013WH2-S</v>
          </cell>
          <cell r="B5334" t="str">
            <v>XZ-SM-013</v>
          </cell>
        </row>
        <row r="5335">
          <cell r="A5335" t="str">
            <v>XZ-SM-013WH3-S</v>
          </cell>
          <cell r="B5335" t="str">
            <v>XZ-SM-013</v>
          </cell>
        </row>
        <row r="5336">
          <cell r="A5336" t="str">
            <v>XZ-SM-0299-SH-4243</v>
          </cell>
          <cell r="B5336" t="str">
            <v>XZ-SM-0299</v>
          </cell>
        </row>
        <row r="5337">
          <cell r="A5337" t="str">
            <v>XZ-SM-HMMF360-DB-L</v>
          </cell>
          <cell r="B5337" t="str">
            <v>XZ-SM-HMMF360</v>
          </cell>
        </row>
        <row r="5338">
          <cell r="A5338" t="str">
            <v>XZ-SM-HMMF360-LB-L</v>
          </cell>
          <cell r="B5338" t="str">
            <v>XZ-SM-HMMF360</v>
          </cell>
        </row>
        <row r="5339">
          <cell r="A5339" t="str">
            <v>XZ-SM-HMXX018-Y0-3839</v>
          </cell>
          <cell r="B5339" t="str">
            <v>XZ-SM-HMXX018</v>
          </cell>
        </row>
        <row r="5340">
          <cell r="A5340" t="str">
            <v>XZ-SM-YG7223Co4445</v>
          </cell>
          <cell r="B5340" t="str">
            <v>XZ-SM-YG7223</v>
          </cell>
        </row>
        <row r="5341">
          <cell r="A5341" t="str">
            <v>XZ-SM-YG7223Gr3637</v>
          </cell>
          <cell r="B5341" t="str">
            <v>XZ-SM-YG7223</v>
          </cell>
        </row>
        <row r="5342">
          <cell r="A5342" t="str">
            <v>XZ-SM-YG7223Gr3839</v>
          </cell>
          <cell r="B5342" t="str">
            <v>XZ-SM-YG7223</v>
          </cell>
        </row>
        <row r="5343">
          <cell r="A5343" t="str">
            <v>XZ-SM-YG7223Pu3637</v>
          </cell>
          <cell r="B5343" t="str">
            <v>XZ-SM-YG7223</v>
          </cell>
        </row>
        <row r="5344">
          <cell r="A5344" t="str">
            <v>XZ-SM-YG7223Pu3839</v>
          </cell>
          <cell r="B5344" t="str">
            <v>XZ-SM-YG7223</v>
          </cell>
        </row>
        <row r="5345">
          <cell r="A5345" t="str">
            <v>XZ-SM-ZQCB3056-B0-24</v>
          </cell>
          <cell r="B5345" t="str">
            <v>XZ-SM-ZQCB3056</v>
          </cell>
        </row>
        <row r="5346">
          <cell r="A5346" t="str">
            <v>XZ-SM-ZQCB3056-B0-25</v>
          </cell>
          <cell r="B5346" t="str">
            <v>XZ-SM-ZQCB3056</v>
          </cell>
        </row>
        <row r="5347">
          <cell r="A5347" t="str">
            <v>XZ-SM-ZQCB3056-E0-24</v>
          </cell>
          <cell r="B5347" t="str">
            <v>XZ-SM-ZQCB3056</v>
          </cell>
        </row>
        <row r="5348">
          <cell r="A5348" t="str">
            <v>XZ-SM-ZQCB3056-kQ-24</v>
          </cell>
          <cell r="B5348" t="str">
            <v>XZ-SM-ZQCB3056</v>
          </cell>
        </row>
        <row r="5349">
          <cell r="A5349" t="str">
            <v>XZ-SM-ZQCB3056-R1-24</v>
          </cell>
          <cell r="B5349" t="str">
            <v>XZ-SM-ZQCB3056</v>
          </cell>
        </row>
        <row r="5350">
          <cell r="A5350" t="str">
            <v>XZ-SM-ZQCB3056-R2-24</v>
          </cell>
          <cell r="B5350" t="str">
            <v>XZ-SM-ZQCB3056</v>
          </cell>
        </row>
        <row r="5351">
          <cell r="A5351" t="str">
            <v>XZ-SM-ZQCB3056-R2-25</v>
          </cell>
          <cell r="B5351" t="str">
            <v>XZ-SM-ZQCB3056</v>
          </cell>
        </row>
        <row r="5352">
          <cell r="A5352" t="str">
            <v>XZ-YG7223</v>
          </cell>
          <cell r="B5352" t="str">
            <v>XZ-YG7223-GM</v>
          </cell>
        </row>
        <row r="5353">
          <cell r="A5353" t="str">
            <v>XZ-YG7223Co4041</v>
          </cell>
          <cell r="B5353" t="str">
            <v>XZ-YG7223-GM</v>
          </cell>
        </row>
        <row r="5354">
          <cell r="A5354" t="str">
            <v>XZ-YG7223Co4243</v>
          </cell>
          <cell r="B5354" t="str">
            <v>XZ-YG7223-GM</v>
          </cell>
        </row>
        <row r="5355">
          <cell r="A5355" t="str">
            <v>XZ-YG7223Co4445</v>
          </cell>
          <cell r="B5355" t="str">
            <v>XZ-YG7223-GM</v>
          </cell>
        </row>
        <row r="5356">
          <cell r="A5356" t="str">
            <v>XZ-YG7223Da4041</v>
          </cell>
          <cell r="B5356" t="str">
            <v>XZ-YG7223-GM</v>
          </cell>
        </row>
        <row r="5357">
          <cell r="A5357" t="str">
            <v>XZ-YG7223Da4041-GM</v>
          </cell>
          <cell r="B5357" t="str">
            <v>XZ-YG7223-GM</v>
          </cell>
        </row>
        <row r="5358">
          <cell r="A5358" t="str">
            <v>XZ-YG7223Da4243</v>
          </cell>
          <cell r="B5358" t="str">
            <v>XZ-YG7223-GM</v>
          </cell>
        </row>
        <row r="5359">
          <cell r="A5359" t="str">
            <v>XZ-YG7223Da4445</v>
          </cell>
          <cell r="B5359" t="str">
            <v>XZ-YG7223-GM</v>
          </cell>
        </row>
        <row r="5360">
          <cell r="A5360" t="str">
            <v>XZ-YG7223Da4445-GM</v>
          </cell>
          <cell r="B5360" t="str">
            <v>XZ-YG7223-GM</v>
          </cell>
        </row>
        <row r="5361">
          <cell r="A5361" t="str">
            <v>XZ-YG7223-GM</v>
          </cell>
          <cell r="B5361" t="str">
            <v>XZ-YG7223-GM</v>
          </cell>
        </row>
        <row r="5362">
          <cell r="A5362" t="str">
            <v>XZ-YG7223Gr3637</v>
          </cell>
          <cell r="B5362" t="str">
            <v>XZ-YG7223-GM</v>
          </cell>
        </row>
        <row r="5363">
          <cell r="A5363" t="str">
            <v>XZ-YG7223Gr3839</v>
          </cell>
          <cell r="B5363" t="str">
            <v>XZ-YG7223-GM</v>
          </cell>
        </row>
        <row r="5364">
          <cell r="A5364" t="str">
            <v>XZ-YG7223Gr4041</v>
          </cell>
          <cell r="B5364" t="str">
            <v>XZ-YG7223-GM</v>
          </cell>
        </row>
        <row r="5365">
          <cell r="A5365" t="str">
            <v>XZ-YG7223Pu3637</v>
          </cell>
          <cell r="B5365" t="str">
            <v>XZ-YG7223-GM</v>
          </cell>
        </row>
        <row r="5366">
          <cell r="A5366" t="str">
            <v>XZ-YG7223Pu3839</v>
          </cell>
          <cell r="B5366" t="str">
            <v>XZ-YG7223-GM</v>
          </cell>
        </row>
        <row r="5367">
          <cell r="A5367" t="str">
            <v>XZ-YG7223Pu3839-GM</v>
          </cell>
          <cell r="B5367" t="str">
            <v>XZ-YG7223-GM</v>
          </cell>
        </row>
        <row r="5368">
          <cell r="A5368" t="str">
            <v>XZ-YG7223Pu3839-New</v>
          </cell>
          <cell r="B5368" t="str">
            <v>XZ-YG7223-GM</v>
          </cell>
        </row>
        <row r="5369">
          <cell r="A5369" t="str">
            <v>XZ-YG7223Pu4041</v>
          </cell>
          <cell r="B5369" t="str">
            <v>XZ-YG7223-GM</v>
          </cell>
        </row>
        <row r="5370">
          <cell r="A5370" t="str">
            <v>XZ-YG7223RB3637</v>
          </cell>
          <cell r="B5370" t="str">
            <v>XZ-YG7223-GM</v>
          </cell>
        </row>
        <row r="5371">
          <cell r="A5371" t="str">
            <v>XZ-YG7223RB3839</v>
          </cell>
          <cell r="B5371" t="str">
            <v>XZ-YG7223-GM</v>
          </cell>
        </row>
        <row r="5372">
          <cell r="A5372" t="str">
            <v>XZ-YG7223RB3839-GM</v>
          </cell>
          <cell r="B5372" t="str">
            <v>XZ-YG7223-GM</v>
          </cell>
        </row>
        <row r="5373">
          <cell r="A5373" t="str">
            <v>XZ-YG7223RB4041</v>
          </cell>
          <cell r="B5373" t="str">
            <v>XZ-YG7223-GM</v>
          </cell>
        </row>
        <row r="5374">
          <cell r="A5374" t="str">
            <v>XZ-ZQ1603-E0-270</v>
          </cell>
          <cell r="B5374" t="str">
            <v>XZ-ZQ1603</v>
          </cell>
        </row>
        <row r="5375">
          <cell r="A5375" t="str">
            <v>XZ-ZQ1603-KQ-240</v>
          </cell>
          <cell r="B5375" t="str">
            <v>XZ-ZQ1603</v>
          </cell>
        </row>
        <row r="5376">
          <cell r="A5376" t="str">
            <v>XZ-ZQ2176-B0-1415</v>
          </cell>
          <cell r="B5376" t="str">
            <v>XZ-ZQ2176</v>
          </cell>
        </row>
        <row r="5377">
          <cell r="A5377" t="str">
            <v>XZ-ZQ2176-B0-1617</v>
          </cell>
          <cell r="B5377" t="str">
            <v>XZ-ZQ2176</v>
          </cell>
        </row>
        <row r="5378">
          <cell r="A5378" t="str">
            <v>XZ-ZQ2176-B0-1819</v>
          </cell>
          <cell r="B5378" t="str">
            <v>XZ-ZQ2176</v>
          </cell>
        </row>
        <row r="5379">
          <cell r="A5379" t="str">
            <v>XZ-ZQ2176-B0-21</v>
          </cell>
          <cell r="B5379" t="str">
            <v>XZ-ZQ2176</v>
          </cell>
        </row>
        <row r="5380">
          <cell r="A5380" t="str">
            <v>XZ-ZQ2176-B0-22</v>
          </cell>
          <cell r="B5380" t="str">
            <v>XZ-ZQ2176</v>
          </cell>
        </row>
        <row r="5381">
          <cell r="A5381" t="str">
            <v>XZ-ZQ2176-B0-23</v>
          </cell>
          <cell r="B5381" t="str">
            <v>XZ-ZQ2176</v>
          </cell>
        </row>
        <row r="5382">
          <cell r="A5382" t="str">
            <v>XZ-ZQ2176-E0-1415</v>
          </cell>
          <cell r="B5382" t="str">
            <v>XZ-ZQ2176</v>
          </cell>
        </row>
        <row r="5383">
          <cell r="A5383" t="str">
            <v>XZ-ZQ2176-E0-1617</v>
          </cell>
          <cell r="B5383" t="str">
            <v>XZ-ZQ2176</v>
          </cell>
        </row>
        <row r="5384">
          <cell r="A5384" t="str">
            <v>XZ-ZQ2176-E0-1819</v>
          </cell>
          <cell r="B5384" t="str">
            <v>XZ-ZQ2176</v>
          </cell>
        </row>
        <row r="5385">
          <cell r="A5385" t="str">
            <v>XZ-ZQ2176-E0-20</v>
          </cell>
          <cell r="B5385" t="str">
            <v>XZ-ZQ2176</v>
          </cell>
        </row>
        <row r="5386">
          <cell r="A5386" t="str">
            <v>XZ-ZQ2176-E0-21</v>
          </cell>
          <cell r="B5386" t="str">
            <v>XZ-ZQ2176</v>
          </cell>
        </row>
        <row r="5387">
          <cell r="A5387" t="str">
            <v>XZ-ZQ2176-E0-22</v>
          </cell>
          <cell r="B5387" t="str">
            <v>XZ-ZQ2176</v>
          </cell>
        </row>
        <row r="5388">
          <cell r="A5388" t="str">
            <v>XZ-ZQ2176-E0-4041</v>
          </cell>
          <cell r="B5388" t="str">
            <v>XZ-ZQ2176</v>
          </cell>
        </row>
        <row r="5389">
          <cell r="A5389" t="str">
            <v>XZ-ZQ2176-E0-4243</v>
          </cell>
          <cell r="B5389" t="str">
            <v>XZ-ZQ2176</v>
          </cell>
        </row>
        <row r="5390">
          <cell r="A5390" t="str">
            <v>XZ-ZQ2176-E0-4445</v>
          </cell>
          <cell r="B5390" t="str">
            <v>XZ-ZQ2176</v>
          </cell>
        </row>
        <row r="5391">
          <cell r="A5391" t="str">
            <v>XZ-ZQ2176-K0-1415</v>
          </cell>
          <cell r="B5391" t="str">
            <v>XZ-ZQ2176</v>
          </cell>
        </row>
        <row r="5392">
          <cell r="A5392" t="str">
            <v>XZ-ZQ2176-K0-1617</v>
          </cell>
          <cell r="B5392" t="str">
            <v>XZ-ZQ2176</v>
          </cell>
        </row>
        <row r="5393">
          <cell r="A5393" t="str">
            <v>XZ-ZQ2176-K0-1819</v>
          </cell>
          <cell r="B5393" t="str">
            <v>XZ-ZQ2176</v>
          </cell>
        </row>
        <row r="5394">
          <cell r="A5394" t="str">
            <v>XZ-ZQ2176-K0-20</v>
          </cell>
          <cell r="B5394" t="str">
            <v>XZ-ZQ2176</v>
          </cell>
        </row>
        <row r="5395">
          <cell r="A5395" t="str">
            <v>XZ-ZQ2176-K0-21</v>
          </cell>
          <cell r="B5395" t="str">
            <v>XZ-ZQ2176</v>
          </cell>
        </row>
        <row r="5396">
          <cell r="A5396" t="str">
            <v>XZ-ZQ2176-K0-22</v>
          </cell>
          <cell r="B5396" t="str">
            <v>XZ-ZQ2176</v>
          </cell>
        </row>
        <row r="5397">
          <cell r="A5397" t="str">
            <v>XZ-ZQ2176-KQ-1415</v>
          </cell>
          <cell r="B5397" t="str">
            <v>XZ-ZQ2176</v>
          </cell>
        </row>
        <row r="5398">
          <cell r="A5398" t="str">
            <v>XZ-ZQ2176-KQ-1617</v>
          </cell>
          <cell r="B5398" t="str">
            <v>XZ-ZQ2176</v>
          </cell>
        </row>
        <row r="5399">
          <cell r="A5399" t="str">
            <v>XZ-ZQ2176-KQ-1819</v>
          </cell>
          <cell r="B5399" t="str">
            <v>XZ-ZQ2176</v>
          </cell>
        </row>
        <row r="5400">
          <cell r="A5400" t="str">
            <v>XZ-ZQ2176-KQ-20</v>
          </cell>
          <cell r="B5400" t="str">
            <v>XZ-ZQ2176</v>
          </cell>
        </row>
        <row r="5401">
          <cell r="A5401" t="str">
            <v>XZ-ZQ2176-KQ-21</v>
          </cell>
          <cell r="B5401" t="str">
            <v>XZ-ZQ2176</v>
          </cell>
        </row>
        <row r="5402">
          <cell r="A5402" t="str">
            <v>XZ-ZQ2176-KQ-22</v>
          </cell>
          <cell r="B5402" t="str">
            <v>XZ-ZQ2176</v>
          </cell>
        </row>
        <row r="5403">
          <cell r="A5403" t="str">
            <v>XZ-ZQ2176-KQ-4041</v>
          </cell>
          <cell r="B5403" t="str">
            <v>XZ-ZQ2176</v>
          </cell>
        </row>
        <row r="5404">
          <cell r="A5404" t="str">
            <v>XZ-ZQ2176-KQ-4243</v>
          </cell>
          <cell r="B5404" t="str">
            <v>XZ-ZQ2176</v>
          </cell>
        </row>
        <row r="5405">
          <cell r="A5405" t="str">
            <v>XZ-ZQ2176-KQ-4445</v>
          </cell>
          <cell r="B5405" t="str">
            <v>XZ-ZQ2176</v>
          </cell>
        </row>
        <row r="5406">
          <cell r="A5406" t="str">
            <v>XZ-ZQ2176-P0-1415</v>
          </cell>
          <cell r="B5406" t="str">
            <v>XZ-ZQ2176</v>
          </cell>
        </row>
        <row r="5407">
          <cell r="A5407" t="str">
            <v>XZ-ZQ2176-P0-1617</v>
          </cell>
          <cell r="B5407" t="str">
            <v>XZ-ZQ2176</v>
          </cell>
        </row>
        <row r="5408">
          <cell r="A5408" t="str">
            <v>XZ-ZQ2176-P0-1819</v>
          </cell>
          <cell r="B5408" t="str">
            <v>XZ-ZQ2176</v>
          </cell>
        </row>
        <row r="5409">
          <cell r="A5409" t="str">
            <v>XZ-ZQ2176-P0-20</v>
          </cell>
          <cell r="B5409" t="str">
            <v>XZ-ZQ2176</v>
          </cell>
        </row>
        <row r="5410">
          <cell r="A5410" t="str">
            <v>XZ-ZQ2176-P0-21</v>
          </cell>
          <cell r="B5410" t="str">
            <v>XZ-ZQ2176</v>
          </cell>
        </row>
        <row r="5411">
          <cell r="A5411" t="str">
            <v>XZ-ZQ2176-P0-22</v>
          </cell>
          <cell r="B5411" t="str">
            <v>XZ-ZQ2176</v>
          </cell>
        </row>
        <row r="5412">
          <cell r="A5412" t="str">
            <v>XZ-ZQ2176-P0-3637</v>
          </cell>
          <cell r="B5412" t="str">
            <v>XZ-ZQ2176</v>
          </cell>
        </row>
        <row r="5413">
          <cell r="A5413" t="str">
            <v>XZ-ZQ2176-P0-3839</v>
          </cell>
          <cell r="B5413" t="str">
            <v>XZ-ZQ2176</v>
          </cell>
        </row>
        <row r="5414">
          <cell r="A5414" t="str">
            <v>XZ-ZQ2176-P0-4041</v>
          </cell>
          <cell r="B5414" t="str">
            <v>XZ-ZQ2176</v>
          </cell>
        </row>
        <row r="5415">
          <cell r="A5415" t="str">
            <v>XZ-ZQ2176-R1-1415</v>
          </cell>
          <cell r="B5415" t="str">
            <v>XZ-ZQ2176</v>
          </cell>
        </row>
        <row r="5416">
          <cell r="A5416" t="str">
            <v>XZ-ZQ2176-R1-1617</v>
          </cell>
          <cell r="B5416" t="str">
            <v>XZ-ZQ2176</v>
          </cell>
        </row>
        <row r="5417">
          <cell r="A5417" t="str">
            <v>XZ-ZQ2176-R1-1617-GM</v>
          </cell>
          <cell r="B5417" t="str">
            <v>XZ-ZQ2176</v>
          </cell>
        </row>
        <row r="5418">
          <cell r="A5418" t="str">
            <v>XZ-ZQ2176-R1-1819</v>
          </cell>
          <cell r="B5418" t="str">
            <v>XZ-ZQ2176</v>
          </cell>
        </row>
        <row r="5419">
          <cell r="A5419" t="str">
            <v>XZ-ZQ2176-R1-20</v>
          </cell>
          <cell r="B5419" t="str">
            <v>XZ-ZQ2176</v>
          </cell>
        </row>
        <row r="5420">
          <cell r="A5420" t="str">
            <v>XZ-ZQ2176-R1-21</v>
          </cell>
          <cell r="B5420" t="str">
            <v>XZ-ZQ2176</v>
          </cell>
        </row>
        <row r="5421">
          <cell r="A5421" t="str">
            <v>XZ-ZQ2176-R1-22</v>
          </cell>
          <cell r="B5421" t="str">
            <v>XZ-ZQ2176</v>
          </cell>
        </row>
        <row r="5422">
          <cell r="A5422" t="str">
            <v>XZ-ZQ2176-R1-3637</v>
          </cell>
          <cell r="B5422" t="str">
            <v>XZ-ZQ2176</v>
          </cell>
        </row>
        <row r="5423">
          <cell r="A5423" t="str">
            <v>XZ-ZQ2176-R1-3839</v>
          </cell>
          <cell r="B5423" t="str">
            <v>XZ-ZQ2176</v>
          </cell>
        </row>
        <row r="5424">
          <cell r="A5424" t="str">
            <v>XZ-ZQ2176-R1-4041</v>
          </cell>
          <cell r="B5424" t="str">
            <v>XZ-ZQ2176</v>
          </cell>
        </row>
        <row r="5425">
          <cell r="A5425" t="str">
            <v>XZ-ZQ2182-B0-270</v>
          </cell>
          <cell r="B5425" t="str">
            <v>XZ-ZQ2182</v>
          </cell>
        </row>
        <row r="5426">
          <cell r="A5426" t="str">
            <v>XZ-ZQ2182-B0-280</v>
          </cell>
          <cell r="B5426" t="str">
            <v>XZ-ZQ2182</v>
          </cell>
        </row>
        <row r="5427">
          <cell r="A5427" t="str">
            <v>XZ-ZQ2182-B0-290</v>
          </cell>
          <cell r="B5427" t="str">
            <v>XZ-ZQ2182</v>
          </cell>
        </row>
        <row r="5428">
          <cell r="A5428" t="str">
            <v>XZ-ZQ2182-C0-270</v>
          </cell>
          <cell r="B5428" t="str">
            <v>XZ-ZQ2182</v>
          </cell>
        </row>
        <row r="5429">
          <cell r="A5429" t="str">
            <v>XZ-ZQ2182-C0-280</v>
          </cell>
          <cell r="B5429" t="str">
            <v>XZ-ZQ2182</v>
          </cell>
        </row>
        <row r="5430">
          <cell r="A5430" t="str">
            <v>XZ-ZQ2182-C0-290</v>
          </cell>
          <cell r="B5430" t="str">
            <v>XZ-ZQ2182</v>
          </cell>
        </row>
        <row r="5431">
          <cell r="A5431" t="str">
            <v>XZ-ZQ2182-E0-270</v>
          </cell>
          <cell r="B5431" t="str">
            <v>XZ-ZQ2182</v>
          </cell>
        </row>
        <row r="5432">
          <cell r="A5432" t="str">
            <v>XZ-ZQ2182-E0-280</v>
          </cell>
          <cell r="B5432" t="str">
            <v>XZ-ZQ2182</v>
          </cell>
        </row>
        <row r="5433">
          <cell r="A5433" t="str">
            <v>XZ-ZQ2182-E0-290</v>
          </cell>
          <cell r="B5433" t="str">
            <v>XZ-ZQ2182</v>
          </cell>
        </row>
        <row r="5434">
          <cell r="A5434" t="str">
            <v>XZ-ZQ2182-G0-3839</v>
          </cell>
          <cell r="B5434" t="str">
            <v>XZ-ZQ2182</v>
          </cell>
        </row>
        <row r="5435">
          <cell r="A5435" t="str">
            <v>XZ-ZQ2182-PI-3637</v>
          </cell>
          <cell r="B5435" t="str">
            <v>XZ-ZQ2182</v>
          </cell>
        </row>
        <row r="5436">
          <cell r="A5436" t="str">
            <v>XZ-ZQ2182-PI-3839</v>
          </cell>
          <cell r="B5436" t="str">
            <v>XZ-ZQ2182</v>
          </cell>
        </row>
        <row r="5437">
          <cell r="A5437" t="str">
            <v>XZ-ZQ2182-PI-4041</v>
          </cell>
          <cell r="B5437" t="str">
            <v>XZ-ZQ2182</v>
          </cell>
        </row>
        <row r="5438">
          <cell r="A5438" t="str">
            <v>XZ-ZQ2182-R0-3637</v>
          </cell>
          <cell r="B5438" t="str">
            <v>XZ-ZQ2182</v>
          </cell>
        </row>
        <row r="5439">
          <cell r="A5439" t="str">
            <v>XZ-ZQ2182-R0-3839</v>
          </cell>
          <cell r="B5439" t="str">
            <v>XZ-ZQ2182</v>
          </cell>
        </row>
        <row r="5440">
          <cell r="A5440" t="str">
            <v>XZ-ZQ2182-R0-4041</v>
          </cell>
          <cell r="B5440" t="str">
            <v>XZ-ZQ2182</v>
          </cell>
        </row>
        <row r="5441">
          <cell r="A5441" t="str">
            <v>XZ-ZQ2256-B0-1415</v>
          </cell>
          <cell r="B5441" t="str">
            <v>XZ-ZQ2256</v>
          </cell>
        </row>
        <row r="5442">
          <cell r="A5442" t="str">
            <v>XZ-ZQ2256-B0-1617</v>
          </cell>
          <cell r="B5442" t="str">
            <v>XZ-ZQ2256</v>
          </cell>
        </row>
        <row r="5443">
          <cell r="A5443" t="str">
            <v>XZ-ZQ2256-B0-1819</v>
          </cell>
          <cell r="B5443" t="str">
            <v>XZ-ZQ2256</v>
          </cell>
        </row>
        <row r="5444">
          <cell r="A5444" t="str">
            <v>XZ-ZQ2256-B0-20</v>
          </cell>
          <cell r="B5444" t="str">
            <v>XZ-ZQ2256</v>
          </cell>
        </row>
        <row r="5445">
          <cell r="A5445" t="str">
            <v>XZ-ZQ2256-B0-20-GM</v>
          </cell>
          <cell r="B5445" t="str">
            <v>XZ-ZQ2256</v>
          </cell>
        </row>
        <row r="5446">
          <cell r="A5446" t="str">
            <v>XZ-ZQ2256-B0-21</v>
          </cell>
          <cell r="B5446" t="str">
            <v>XZ-ZQ2256</v>
          </cell>
        </row>
        <row r="5447">
          <cell r="A5447" t="str">
            <v>XZ-ZQ2256-B0-21-GM</v>
          </cell>
          <cell r="B5447" t="str">
            <v>XZ-ZQ2256</v>
          </cell>
        </row>
        <row r="5448">
          <cell r="A5448" t="str">
            <v>XZ-ZQ2256-B0-22</v>
          </cell>
          <cell r="B5448" t="str">
            <v>XZ-ZQ2256</v>
          </cell>
        </row>
        <row r="5449">
          <cell r="A5449" t="str">
            <v>XZ-ZQ2256-B0-24</v>
          </cell>
          <cell r="B5449" t="str">
            <v>XZ-ZQ2256</v>
          </cell>
        </row>
        <row r="5450">
          <cell r="A5450" t="str">
            <v>XZ-ZQ2256-B0-24-GM</v>
          </cell>
          <cell r="B5450" t="str">
            <v>XZ-ZQ2256</v>
          </cell>
        </row>
        <row r="5451">
          <cell r="A5451" t="str">
            <v>XZ-ZQ2256-B0-25</v>
          </cell>
          <cell r="B5451" t="str">
            <v>XZ-ZQ2256</v>
          </cell>
        </row>
        <row r="5452">
          <cell r="A5452" t="str">
            <v>XZ-ZQ2256-B0-26</v>
          </cell>
          <cell r="B5452" t="str">
            <v>XZ-ZQ2256</v>
          </cell>
        </row>
        <row r="5453">
          <cell r="A5453" t="str">
            <v>XZ-ZQ2256-B0-27</v>
          </cell>
          <cell r="B5453" t="str">
            <v>XZ-ZQ2256</v>
          </cell>
        </row>
        <row r="5454">
          <cell r="A5454" t="str">
            <v>XZ-ZQ2256-B0-28</v>
          </cell>
          <cell r="B5454" t="str">
            <v>XZ-ZQ2256</v>
          </cell>
        </row>
        <row r="5455">
          <cell r="A5455" t="str">
            <v>XZ-ZQ2256-G0-1415</v>
          </cell>
          <cell r="B5455" t="str">
            <v>XZ-ZQ2256</v>
          </cell>
        </row>
        <row r="5456">
          <cell r="A5456" t="str">
            <v>XZ-ZQ2256-G0-1617</v>
          </cell>
          <cell r="B5456" t="str">
            <v>XZ-ZQ2256</v>
          </cell>
        </row>
        <row r="5457">
          <cell r="A5457" t="str">
            <v>XZ-ZQ2256-G0-1819</v>
          </cell>
          <cell r="B5457" t="str">
            <v>XZ-ZQ2256</v>
          </cell>
        </row>
        <row r="5458">
          <cell r="A5458" t="str">
            <v>XZ-ZQ2256-G0-20</v>
          </cell>
          <cell r="B5458" t="str">
            <v>XZ-ZQ2256</v>
          </cell>
        </row>
        <row r="5459">
          <cell r="A5459" t="str">
            <v>XZ-ZQ2256-G0-21</v>
          </cell>
          <cell r="B5459" t="str">
            <v>XZ-ZQ2256</v>
          </cell>
        </row>
        <row r="5460">
          <cell r="A5460" t="str">
            <v>XZ-ZQ2256-G0-22</v>
          </cell>
          <cell r="B5460" t="str">
            <v>XZ-ZQ2256</v>
          </cell>
        </row>
        <row r="5461">
          <cell r="A5461" t="str">
            <v>XZ-ZQ2256-G0-22-GM</v>
          </cell>
          <cell r="B5461" t="str">
            <v>XZ-ZQ2256</v>
          </cell>
        </row>
        <row r="5462">
          <cell r="A5462" t="str">
            <v>XZ-ZQ2256-G0-24</v>
          </cell>
          <cell r="B5462" t="str">
            <v>XZ-ZQ2256</v>
          </cell>
        </row>
        <row r="5463">
          <cell r="A5463" t="str">
            <v>XZ-ZQ2256-G0-25</v>
          </cell>
          <cell r="B5463" t="str">
            <v>XZ-ZQ2256</v>
          </cell>
        </row>
        <row r="5464">
          <cell r="A5464" t="str">
            <v>XZ-ZQ2256-G0-26</v>
          </cell>
          <cell r="B5464" t="str">
            <v>XZ-ZQ2256</v>
          </cell>
        </row>
        <row r="5465">
          <cell r="A5465" t="str">
            <v>XZ-ZQ2256-G0-27</v>
          </cell>
          <cell r="B5465" t="str">
            <v>XZ-ZQ2256</v>
          </cell>
        </row>
        <row r="5466">
          <cell r="A5466" t="str">
            <v>XZ-ZQ2256-G0-28</v>
          </cell>
          <cell r="B5466" t="str">
            <v>XZ-ZQ2256</v>
          </cell>
        </row>
        <row r="5467">
          <cell r="A5467" t="str">
            <v>XZ-ZQ2256-K0-1415</v>
          </cell>
          <cell r="B5467" t="str">
            <v>XZ-ZQ2256</v>
          </cell>
        </row>
        <row r="5468">
          <cell r="A5468" t="str">
            <v>XZ-ZQ2256-K0-1617</v>
          </cell>
          <cell r="B5468" t="str">
            <v>XZ-ZQ2256</v>
          </cell>
        </row>
        <row r="5469">
          <cell r="A5469" t="str">
            <v>XZ-ZQ2256-K0-1617-GM</v>
          </cell>
          <cell r="B5469" t="str">
            <v>XZ-ZQ2256</v>
          </cell>
        </row>
        <row r="5470">
          <cell r="A5470" t="str">
            <v>XZ-ZQ2256-K0-1819</v>
          </cell>
          <cell r="B5470" t="str">
            <v>XZ-ZQ2256</v>
          </cell>
        </row>
        <row r="5471">
          <cell r="A5471" t="str">
            <v>XZ-ZQ2256-K0-1819-GM</v>
          </cell>
          <cell r="B5471" t="str">
            <v>XZ-ZQ2256</v>
          </cell>
        </row>
        <row r="5472">
          <cell r="A5472" t="str">
            <v>XZ-ZQ2256-K0-20</v>
          </cell>
          <cell r="B5472" t="str">
            <v>XZ-ZQ2256</v>
          </cell>
        </row>
        <row r="5473">
          <cell r="A5473" t="str">
            <v>XZ-ZQ2256-K0-21</v>
          </cell>
          <cell r="B5473" t="str">
            <v>XZ-ZQ2256</v>
          </cell>
        </row>
        <row r="5474">
          <cell r="A5474" t="str">
            <v>XZ-ZQ2256-K0-22</v>
          </cell>
          <cell r="B5474" t="str">
            <v>XZ-ZQ2256</v>
          </cell>
        </row>
        <row r="5475">
          <cell r="A5475" t="str">
            <v>XZ-ZQ2256-K0-24</v>
          </cell>
          <cell r="B5475" t="str">
            <v>XZ-ZQ2256</v>
          </cell>
        </row>
        <row r="5476">
          <cell r="A5476" t="str">
            <v>XZ-ZQ2256-K0-24-GM</v>
          </cell>
          <cell r="B5476" t="str">
            <v>XZ-ZQ2256</v>
          </cell>
        </row>
        <row r="5477">
          <cell r="A5477" t="str">
            <v>XZ-ZQ2256-K0-25</v>
          </cell>
          <cell r="B5477" t="str">
            <v>XZ-ZQ2256</v>
          </cell>
        </row>
        <row r="5478">
          <cell r="A5478" t="str">
            <v>XZ-ZQ2256-K0-26</v>
          </cell>
          <cell r="B5478" t="str">
            <v>XZ-ZQ2256</v>
          </cell>
        </row>
        <row r="5479">
          <cell r="A5479" t="str">
            <v>XZ-ZQ2256-K0-27</v>
          </cell>
          <cell r="B5479" t="str">
            <v>XZ-ZQ2256</v>
          </cell>
        </row>
        <row r="5480">
          <cell r="A5480" t="str">
            <v>XZ-ZQ2256-K0-27-GM</v>
          </cell>
          <cell r="B5480" t="str">
            <v>XZ-ZQ2256</v>
          </cell>
        </row>
        <row r="5481">
          <cell r="A5481" t="str">
            <v>XZ-ZQ2256-K0-28</v>
          </cell>
          <cell r="B5481" t="str">
            <v>XZ-ZQ2256</v>
          </cell>
        </row>
        <row r="5482">
          <cell r="A5482" t="str">
            <v>XZ-ZQ2256-R0-1415</v>
          </cell>
          <cell r="B5482" t="str">
            <v>XZ-ZQ2256</v>
          </cell>
        </row>
        <row r="5483">
          <cell r="A5483" t="str">
            <v>XZ-ZQ2256-R0-1617</v>
          </cell>
          <cell r="B5483" t="str">
            <v>XZ-ZQ2256</v>
          </cell>
        </row>
        <row r="5484">
          <cell r="A5484" t="str">
            <v>XZ-ZQ2256-R0-1617-GM</v>
          </cell>
          <cell r="B5484" t="str">
            <v>XZ-ZQ2256</v>
          </cell>
        </row>
        <row r="5485">
          <cell r="A5485" t="str">
            <v>XZ-ZQ2256-R0-1819</v>
          </cell>
          <cell r="B5485" t="str">
            <v>XZ-ZQ2256</v>
          </cell>
        </row>
        <row r="5486">
          <cell r="A5486" t="str">
            <v>XZ-ZQ2256-R0-20</v>
          </cell>
          <cell r="B5486" t="str">
            <v>XZ-ZQ2256</v>
          </cell>
        </row>
        <row r="5487">
          <cell r="A5487" t="str">
            <v>XZ-ZQ2256-R0-21</v>
          </cell>
          <cell r="B5487" t="str">
            <v>XZ-ZQ2256</v>
          </cell>
        </row>
        <row r="5488">
          <cell r="A5488" t="str">
            <v>XZ-ZQ2256-R0-22</v>
          </cell>
          <cell r="B5488" t="str">
            <v>XZ-ZQ2256</v>
          </cell>
        </row>
        <row r="5489">
          <cell r="A5489" t="str">
            <v>XZ-ZQ2256-R0-22-GM</v>
          </cell>
          <cell r="B5489" t="str">
            <v>XZ-ZQ2256</v>
          </cell>
        </row>
        <row r="5490">
          <cell r="A5490" t="str">
            <v>XZ-ZQ2256-R0-24</v>
          </cell>
          <cell r="B5490" t="str">
            <v>XZ-ZQ2256</v>
          </cell>
        </row>
        <row r="5491">
          <cell r="A5491" t="str">
            <v>XZ-ZQ2256-R0-25</v>
          </cell>
          <cell r="B5491" t="str">
            <v>XZ-ZQ2256</v>
          </cell>
        </row>
        <row r="5492">
          <cell r="A5492" t="str">
            <v>XZ-ZQ2256-R0-26</v>
          </cell>
          <cell r="B5492" t="str">
            <v>XZ-ZQ2256</v>
          </cell>
        </row>
        <row r="5493">
          <cell r="A5493" t="str">
            <v>XZ-ZQ2256-R1-1415</v>
          </cell>
          <cell r="B5493" t="str">
            <v>XZ-ZQ2256</v>
          </cell>
        </row>
        <row r="5494">
          <cell r="A5494" t="str">
            <v>XZ-ZQ2256-R1-1617</v>
          </cell>
          <cell r="B5494" t="str">
            <v>XZ-ZQ2256</v>
          </cell>
        </row>
        <row r="5495">
          <cell r="A5495" t="str">
            <v>XZ-ZQ2256-R1-1819</v>
          </cell>
          <cell r="B5495" t="str">
            <v>XZ-ZQ2256</v>
          </cell>
        </row>
        <row r="5496">
          <cell r="A5496" t="str">
            <v>XZ-ZQ2256-R1-20</v>
          </cell>
          <cell r="B5496" t="str">
            <v>XZ-ZQ2256</v>
          </cell>
        </row>
        <row r="5497">
          <cell r="A5497" t="str">
            <v>XZ-ZQ2256-R1-21</v>
          </cell>
          <cell r="B5497" t="str">
            <v>XZ-ZQ2256</v>
          </cell>
        </row>
        <row r="5498">
          <cell r="A5498" t="str">
            <v>XZ-ZQ2256-R1-22</v>
          </cell>
          <cell r="B5498" t="str">
            <v>XZ-ZQ2256</v>
          </cell>
        </row>
        <row r="5499">
          <cell r="A5499" t="str">
            <v>XZ-ZQ2256-R1-24</v>
          </cell>
          <cell r="B5499" t="str">
            <v>XZ-ZQ2256</v>
          </cell>
        </row>
        <row r="5500">
          <cell r="A5500" t="str">
            <v>XZ-ZQ2256-R1-25</v>
          </cell>
          <cell r="B5500" t="str">
            <v>XZ-ZQ2256</v>
          </cell>
        </row>
        <row r="5501">
          <cell r="A5501" t="str">
            <v>XZ-ZQ2256-R1-26</v>
          </cell>
          <cell r="B5501" t="str">
            <v>XZ-ZQ2256</v>
          </cell>
        </row>
        <row r="5502">
          <cell r="A5502" t="str">
            <v>XZ-ZQ3115-B0-3738</v>
          </cell>
          <cell r="B5502" t="str">
            <v>XZ-ZQ3115</v>
          </cell>
        </row>
        <row r="5503">
          <cell r="A5503" t="str">
            <v>XZ-ZQ3115-B0-3940</v>
          </cell>
          <cell r="B5503" t="str">
            <v>XZ-ZQ3115</v>
          </cell>
        </row>
        <row r="5504">
          <cell r="A5504" t="str">
            <v>XZ-ZQ3115-B0-4142</v>
          </cell>
          <cell r="B5504" t="str">
            <v>XZ-ZQ3115</v>
          </cell>
        </row>
        <row r="5505">
          <cell r="A5505" t="str">
            <v>XZ-ZQ3115-B0-4344</v>
          </cell>
          <cell r="B5505" t="str">
            <v>XZ-ZQ3115</v>
          </cell>
        </row>
        <row r="5506">
          <cell r="A5506" t="str">
            <v>XZ-ZQ3115-C0-3738</v>
          </cell>
          <cell r="B5506" t="str">
            <v>XZ-ZQ3115</v>
          </cell>
        </row>
        <row r="5507">
          <cell r="A5507" t="str">
            <v>XZ-ZQ3115-C0-3940</v>
          </cell>
          <cell r="B5507" t="str">
            <v>XZ-ZQ3115</v>
          </cell>
        </row>
        <row r="5508">
          <cell r="A5508" t="str">
            <v>XZ-ZQ3115-C0-4142</v>
          </cell>
          <cell r="B5508" t="str">
            <v>XZ-ZQ3115</v>
          </cell>
        </row>
        <row r="5509">
          <cell r="A5509" t="str">
            <v>XZ-ZQ3115-C0-4344</v>
          </cell>
          <cell r="B5509" t="str">
            <v>XZ-ZQ3115</v>
          </cell>
        </row>
        <row r="5510">
          <cell r="A5510" t="str">
            <v>XZ-ZQ3115-R0-3738</v>
          </cell>
          <cell r="B5510" t="str">
            <v>XZ-ZQ3115</v>
          </cell>
        </row>
        <row r="5511">
          <cell r="A5511" t="str">
            <v>XZ-ZQ3115-R0-3940</v>
          </cell>
          <cell r="B5511" t="str">
            <v>XZ-ZQ3115</v>
          </cell>
        </row>
        <row r="5512">
          <cell r="A5512" t="str">
            <v>XZ-ZQ3115-R0-4142</v>
          </cell>
          <cell r="B5512" t="str">
            <v>XZ-ZQ3115</v>
          </cell>
        </row>
        <row r="5513">
          <cell r="A5513" t="str">
            <v>XZ-ZQ3115-R0-4344</v>
          </cell>
          <cell r="B5513" t="str">
            <v>XZ-ZQ3115</v>
          </cell>
        </row>
        <row r="5514">
          <cell r="A5514" t="str">
            <v>XZ-ZQ3115-R1-3738</v>
          </cell>
          <cell r="B5514" t="str">
            <v>XZ-ZQ3115</v>
          </cell>
        </row>
        <row r="5515">
          <cell r="A5515" t="str">
            <v>XZ-ZQ3115-R1-3940</v>
          </cell>
          <cell r="B5515" t="str">
            <v>XZ-ZQ3115</v>
          </cell>
        </row>
        <row r="5516">
          <cell r="A5516" t="str">
            <v>XZ-ZQ3115-R1-4142</v>
          </cell>
          <cell r="B5516" t="str">
            <v>XZ-ZQ3115</v>
          </cell>
        </row>
        <row r="5517">
          <cell r="A5517" t="str">
            <v>XZ-ZQ3115-R1-4344</v>
          </cell>
          <cell r="B5517" t="str">
            <v>XZ-ZQ3115</v>
          </cell>
        </row>
        <row r="5518">
          <cell r="A5518" t="str">
            <v>XZ-ZQ4176-GE-250</v>
          </cell>
          <cell r="B5518" t="str">
            <v>XZ-ZQ4176</v>
          </cell>
        </row>
        <row r="5519">
          <cell r="A5519" t="str">
            <v>XZ-ZQ4176-R2-240</v>
          </cell>
          <cell r="B5519" t="str">
            <v>XZ-ZQ4176</v>
          </cell>
        </row>
        <row r="5520">
          <cell r="A5520" t="str">
            <v>XZ-ZQ6001-B0-1415</v>
          </cell>
          <cell r="B5520" t="str">
            <v>XZ-ZQ6001</v>
          </cell>
        </row>
        <row r="5521">
          <cell r="A5521" t="str">
            <v>XZ-ZQ6001-B0-1617</v>
          </cell>
          <cell r="B5521" t="str">
            <v>XZ-ZQ6001</v>
          </cell>
        </row>
        <row r="5522">
          <cell r="A5522" t="str">
            <v>XZ-ZQ6001-B0-20</v>
          </cell>
          <cell r="B5522" t="str">
            <v>XZ-ZQ6001</v>
          </cell>
        </row>
        <row r="5523">
          <cell r="A5523" t="str">
            <v>XZ-ZQ6001-B0-21</v>
          </cell>
          <cell r="B5523" t="str">
            <v>XZ-ZQ6001</v>
          </cell>
        </row>
        <row r="5524">
          <cell r="A5524" t="str">
            <v>XZ-ZQ6001-B0-23</v>
          </cell>
          <cell r="B5524" t="str">
            <v>XZ-ZQ6001</v>
          </cell>
        </row>
        <row r="5525">
          <cell r="A5525" t="str">
            <v>XZ-ZQ6001-KQ-1415</v>
          </cell>
          <cell r="B5525" t="str">
            <v>XZ-ZQ6001</v>
          </cell>
        </row>
        <row r="5526">
          <cell r="A5526" t="str">
            <v>XZ-ZQ6001-KQ-20</v>
          </cell>
          <cell r="B5526" t="str">
            <v>XZ-ZQ6001</v>
          </cell>
        </row>
        <row r="5527">
          <cell r="A5527" t="str">
            <v>XZ-ZQ6001-KQ-21</v>
          </cell>
          <cell r="B5527" t="str">
            <v>XZ-ZQ6001</v>
          </cell>
        </row>
        <row r="5528">
          <cell r="A5528" t="str">
            <v>XZ-ZQ6001-KQ-22</v>
          </cell>
          <cell r="B5528" t="str">
            <v>XZ-ZQ6001</v>
          </cell>
        </row>
        <row r="5529">
          <cell r="A5529" t="str">
            <v>XZ-ZQ6001-R0-20</v>
          </cell>
          <cell r="B5529" t="str">
            <v>XZ-ZQ6001</v>
          </cell>
        </row>
        <row r="5530">
          <cell r="A5530" t="str">
            <v>XZ-ZQ6001-R0-21</v>
          </cell>
          <cell r="B5530" t="str">
            <v>XZ-ZQ6001</v>
          </cell>
        </row>
        <row r="5531">
          <cell r="A5531" t="str">
            <v>XZ-ZQ6001-R0-22</v>
          </cell>
          <cell r="B5531" t="str">
            <v>XZ-ZQ6001</v>
          </cell>
        </row>
        <row r="5532">
          <cell r="A5532" t="str">
            <v>XZ-ZQ6001-R1-1415</v>
          </cell>
          <cell r="B5532" t="str">
            <v>XZ-ZQ6001</v>
          </cell>
        </row>
        <row r="5533">
          <cell r="A5533" t="str">
            <v>XZ-ZQ6001-R1-1617</v>
          </cell>
          <cell r="B5533" t="str">
            <v>XZ-ZQ6001</v>
          </cell>
        </row>
        <row r="5534">
          <cell r="A5534" t="str">
            <v>XZ-ZQ6001-R1-1819</v>
          </cell>
          <cell r="B5534" t="str">
            <v>XZ-ZQ6001</v>
          </cell>
        </row>
        <row r="5535">
          <cell r="A5535" t="str">
            <v>XZ-ZQ6001-R1-20</v>
          </cell>
          <cell r="B5535" t="str">
            <v>XZ-ZQ6001</v>
          </cell>
        </row>
        <row r="5536">
          <cell r="A5536" t="str">
            <v>XZ-ZQ6001-R1-21</v>
          </cell>
          <cell r="B5536" t="str">
            <v>XZ-ZQ6001</v>
          </cell>
        </row>
        <row r="5537">
          <cell r="A5537" t="str">
            <v>XZ-ZQ6001-R1-22</v>
          </cell>
          <cell r="B5537" t="str">
            <v>XZ-ZQ6001</v>
          </cell>
        </row>
        <row r="5538">
          <cell r="A5538" t="str">
            <v>XZ-ZQ6102-K0-3637</v>
          </cell>
          <cell r="B5538" t="str">
            <v>XZ-ZQ6102</v>
          </cell>
        </row>
        <row r="5539">
          <cell r="A5539" t="str">
            <v>XZ-ZQ6102-K0-3839</v>
          </cell>
          <cell r="B5539" t="str">
            <v>XZ-ZQ6102</v>
          </cell>
        </row>
        <row r="5540">
          <cell r="A5540" t="str">
            <v>XZ-ZQ6102-K0-4041</v>
          </cell>
          <cell r="B5540" t="str">
            <v>XZ-ZQ6102</v>
          </cell>
        </row>
        <row r="5541">
          <cell r="A5541" t="str">
            <v>XZ-ZQ6102-K0-4243</v>
          </cell>
          <cell r="B5541" t="str">
            <v>XZ-ZQ6102</v>
          </cell>
        </row>
        <row r="5542">
          <cell r="A5542" t="str">
            <v>XZ-ZQ6102-K0-4445</v>
          </cell>
          <cell r="B5542" t="str">
            <v>XZ-ZQ6102</v>
          </cell>
        </row>
        <row r="5543">
          <cell r="A5543" t="str">
            <v>XZ-ZQ6102-KW-3637</v>
          </cell>
          <cell r="B5543" t="str">
            <v>XZ-ZQ6102</v>
          </cell>
        </row>
        <row r="5544">
          <cell r="A5544" t="str">
            <v>XZ-ZQ6102-KW-3839</v>
          </cell>
          <cell r="B5544" t="str">
            <v>XZ-ZQ6102</v>
          </cell>
        </row>
        <row r="5545">
          <cell r="A5545" t="str">
            <v>XZ-ZQ6102-KW-4041</v>
          </cell>
          <cell r="B5545" t="str">
            <v>XZ-ZQ6102</v>
          </cell>
        </row>
        <row r="5546">
          <cell r="A5546" t="str">
            <v>XZ-ZQ6102-KW-4243</v>
          </cell>
          <cell r="B5546" t="str">
            <v>XZ-ZQ6102</v>
          </cell>
        </row>
        <row r="5547">
          <cell r="A5547" t="str">
            <v>XZ-ZQ6102-KW-4445</v>
          </cell>
          <cell r="B5547" t="str">
            <v>XZ-ZQ6102</v>
          </cell>
        </row>
        <row r="5548">
          <cell r="A5548" t="str">
            <v>XZ-ZQ6102-N0-4041</v>
          </cell>
          <cell r="B5548" t="str">
            <v>XZ-ZQ6102</v>
          </cell>
        </row>
        <row r="5549">
          <cell r="A5549" t="str">
            <v>XZ-ZQ6102-N0-4243</v>
          </cell>
          <cell r="B5549" t="str">
            <v>XZ-ZQ6102</v>
          </cell>
        </row>
        <row r="5550">
          <cell r="A5550" t="str">
            <v>XZ-ZQ6102-N0-4445</v>
          </cell>
          <cell r="B5550" t="str">
            <v>XZ-ZQ6102</v>
          </cell>
        </row>
        <row r="5551">
          <cell r="A5551" t="str">
            <v>XZ-ZQ6102-R0-3637</v>
          </cell>
          <cell r="B5551" t="str">
            <v>XZ-ZQ6102</v>
          </cell>
        </row>
        <row r="5552">
          <cell r="A5552" t="str">
            <v>XZ-ZQ6102-R0-3839</v>
          </cell>
          <cell r="B5552" t="str">
            <v>XZ-ZQ6102</v>
          </cell>
        </row>
        <row r="5553">
          <cell r="A5553" t="str">
            <v>XZ-ZQ6102-R0-4041</v>
          </cell>
          <cell r="B5553" t="str">
            <v>XZ-ZQ6102</v>
          </cell>
        </row>
        <row r="5554">
          <cell r="A5554" t="str">
            <v>XZ-ZQ6102-R1-3637</v>
          </cell>
          <cell r="B5554" t="str">
            <v>XZ-ZQ6102</v>
          </cell>
        </row>
        <row r="5555">
          <cell r="A5555" t="str">
            <v>XZ-ZQ6102-R1-3839</v>
          </cell>
          <cell r="B5555" t="str">
            <v>XZ-ZQ6102</v>
          </cell>
        </row>
        <row r="5556">
          <cell r="A5556" t="str">
            <v>XZ-ZQ6102-R1-4041</v>
          </cell>
          <cell r="B5556" t="str">
            <v>XZ-ZQ6102</v>
          </cell>
        </row>
        <row r="5557">
          <cell r="A5557" t="str">
            <v>XZ-ZQ6102-W0-3637</v>
          </cell>
          <cell r="B5557" t="str">
            <v>XZ-ZQ6102</v>
          </cell>
        </row>
        <row r="5558">
          <cell r="A5558" t="str">
            <v>XZ-ZQ6102-W0-3839</v>
          </cell>
          <cell r="B5558" t="str">
            <v>XZ-ZQ6102</v>
          </cell>
        </row>
        <row r="5559">
          <cell r="A5559" t="str">
            <v>XZ-ZQ6102-W0-4041</v>
          </cell>
          <cell r="B5559" t="str">
            <v>XZ-ZQ6102</v>
          </cell>
        </row>
        <row r="5560">
          <cell r="A5560" t="str">
            <v>XZ-ZQ6102-W0-4243</v>
          </cell>
          <cell r="B5560" t="str">
            <v>XZ-ZQ6102</v>
          </cell>
        </row>
        <row r="5561">
          <cell r="A5561" t="str">
            <v>XZ-ZQ6102-W0-4445</v>
          </cell>
          <cell r="B5561" t="str">
            <v>XZ-ZQ6102</v>
          </cell>
        </row>
        <row r="5562">
          <cell r="A5562" t="str">
            <v>XZ-ZQ6102-W0-4445-New</v>
          </cell>
          <cell r="B5562" t="str">
            <v>XZ-ZQ6102</v>
          </cell>
        </row>
        <row r="5563">
          <cell r="A5563" t="str">
            <v>XZ-ZQ6603-B0-3637</v>
          </cell>
          <cell r="B5563" t="str">
            <v>XZ-ZQ6603</v>
          </cell>
        </row>
        <row r="5564">
          <cell r="A5564" t="str">
            <v>XZ-ZQ6603-E0-4243</v>
          </cell>
          <cell r="B5564" t="str">
            <v>XZ-ZQ6603</v>
          </cell>
        </row>
        <row r="5565">
          <cell r="A5565" t="str">
            <v>XZ-ZQ6606-C0-4041</v>
          </cell>
          <cell r="B5565" t="str">
            <v>XZ-ZQ6606</v>
          </cell>
        </row>
        <row r="5566">
          <cell r="A5566" t="str">
            <v>XZ-ZQ6606-C0-4243</v>
          </cell>
          <cell r="B5566" t="str">
            <v>XZ-ZQ6606</v>
          </cell>
        </row>
        <row r="5567">
          <cell r="A5567" t="str">
            <v>XZ-ZQ6606-C0-4445</v>
          </cell>
          <cell r="B5567" t="str">
            <v>XZ-ZQ6606</v>
          </cell>
        </row>
        <row r="5568">
          <cell r="A5568" t="str">
            <v>XZ-ZQ6606-E0-4041</v>
          </cell>
          <cell r="B5568" t="str">
            <v>XZ-ZQ6606</v>
          </cell>
        </row>
        <row r="5569">
          <cell r="A5569" t="str">
            <v>XZ-ZQ6606-E0-4243</v>
          </cell>
          <cell r="B5569" t="str">
            <v>XZ-ZQ6606</v>
          </cell>
        </row>
        <row r="5570">
          <cell r="A5570" t="str">
            <v>XZ-ZQ6606-E0-4445</v>
          </cell>
          <cell r="B5570" t="str">
            <v>XZ-ZQ6606</v>
          </cell>
        </row>
        <row r="5571">
          <cell r="A5571" t="str">
            <v>XZ-ZQ6606-E0-4445-GM</v>
          </cell>
          <cell r="B5571" t="str">
            <v>XZ-ZQ6606</v>
          </cell>
        </row>
        <row r="5572">
          <cell r="A5572" t="str">
            <v>XZ-ZQ6606-P0-3637</v>
          </cell>
          <cell r="B5572" t="str">
            <v>XZ-ZQ6606</v>
          </cell>
        </row>
        <row r="5573">
          <cell r="A5573" t="str">
            <v>XZ-ZQ6606-P0-3839</v>
          </cell>
          <cell r="B5573" t="str">
            <v>XZ-ZQ6606</v>
          </cell>
        </row>
        <row r="5574">
          <cell r="A5574" t="str">
            <v>XZ-ZQ6606-P0-4041</v>
          </cell>
          <cell r="B5574" t="str">
            <v>XZ-ZQ6606</v>
          </cell>
        </row>
        <row r="5575">
          <cell r="A5575" t="str">
            <v>XZ-ZQ6606-P2-3637</v>
          </cell>
          <cell r="B5575" t="str">
            <v>XZ-ZQ6606</v>
          </cell>
        </row>
        <row r="5576">
          <cell r="A5576" t="str">
            <v>XZ-ZQ6606-P2-3839</v>
          </cell>
          <cell r="B5576" t="str">
            <v>XZ-ZQ6606</v>
          </cell>
        </row>
        <row r="5577">
          <cell r="A5577" t="str">
            <v>XZ-ZQ6606-P2-4041</v>
          </cell>
          <cell r="B5577" t="str">
            <v>XZ-ZQ6606</v>
          </cell>
        </row>
        <row r="5578">
          <cell r="A5578" t="str">
            <v>XZ-ZQ6606-PI-3637</v>
          </cell>
          <cell r="B5578" t="str">
            <v>XZ-ZQ6606</v>
          </cell>
        </row>
        <row r="5579">
          <cell r="A5579" t="str">
            <v>XZ-ZQ6606-PI-3839</v>
          </cell>
          <cell r="B5579" t="str">
            <v>XZ-ZQ6606</v>
          </cell>
        </row>
        <row r="5580">
          <cell r="A5580" t="str">
            <v>XZ-ZQ6606-PI-4041</v>
          </cell>
          <cell r="B5580" t="str">
            <v>XZ-ZQ6606</v>
          </cell>
        </row>
        <row r="5581">
          <cell r="A5581" t="str">
            <v>XZ-ZQ6625-C0-4243</v>
          </cell>
          <cell r="B5581" t="str">
            <v>XZ-ZQ6625</v>
          </cell>
        </row>
        <row r="5582">
          <cell r="A5582" t="str">
            <v>XZ-ZQ6625-E0-4243</v>
          </cell>
          <cell r="B5582" t="str">
            <v>XZ-ZQ6625</v>
          </cell>
        </row>
        <row r="5583">
          <cell r="A5583" t="str">
            <v>XZ-ZQ6625-R2-3637</v>
          </cell>
          <cell r="B5583" t="str">
            <v>XZ-ZQ6625</v>
          </cell>
        </row>
        <row r="5584">
          <cell r="A5584" t="str">
            <v>XZ-ZQ6834-E0-14-15</v>
          </cell>
          <cell r="B5584" t="str">
            <v>XZ-ZQ6834</v>
          </cell>
        </row>
        <row r="5585">
          <cell r="A5585" t="str">
            <v>XZ-ZQ6834-E0-16-17</v>
          </cell>
          <cell r="B5585" t="str">
            <v>XZ-ZQ6834</v>
          </cell>
        </row>
        <row r="5586">
          <cell r="A5586" t="str">
            <v>XZ-ZQ6834-E0-18-19</v>
          </cell>
          <cell r="B5586" t="str">
            <v>XZ-ZQ6834</v>
          </cell>
        </row>
        <row r="5587">
          <cell r="A5587" t="str">
            <v>XZ-ZQ6834-E0-20</v>
          </cell>
          <cell r="B5587" t="str">
            <v>XZ-ZQ6834</v>
          </cell>
        </row>
        <row r="5588">
          <cell r="A5588" t="str">
            <v>XZ-ZQ6834-E0-21</v>
          </cell>
          <cell r="B5588" t="str">
            <v>XZ-ZQ6834</v>
          </cell>
        </row>
        <row r="5589">
          <cell r="A5589" t="str">
            <v>XZ-ZQ6834-E0-22</v>
          </cell>
          <cell r="B5589" t="str">
            <v>XZ-ZQ6834</v>
          </cell>
        </row>
        <row r="5590">
          <cell r="A5590" t="str">
            <v>XZ-ZQ6834-E0-22-GM</v>
          </cell>
          <cell r="B5590" t="str">
            <v>XZ-ZQ6834</v>
          </cell>
        </row>
        <row r="5591">
          <cell r="A5591" t="str">
            <v>XZ-ZQ6834-E0-270</v>
          </cell>
          <cell r="B5591" t="str">
            <v>XZ-ZQ6834</v>
          </cell>
        </row>
        <row r="5592">
          <cell r="A5592" t="str">
            <v>XZ-ZQ6834-E0-280</v>
          </cell>
          <cell r="B5592" t="str">
            <v>XZ-ZQ6834</v>
          </cell>
        </row>
        <row r="5593">
          <cell r="A5593" t="str">
            <v>XZ-ZQ6834-E0-290</v>
          </cell>
          <cell r="B5593" t="str">
            <v>XZ-ZQ6834</v>
          </cell>
        </row>
        <row r="5594">
          <cell r="A5594" t="str">
            <v>XZ-ZQ6834-GE-14-15</v>
          </cell>
          <cell r="B5594" t="str">
            <v>XZ-ZQ6834</v>
          </cell>
        </row>
        <row r="5595">
          <cell r="A5595" t="str">
            <v>XZ-ZQ6834-GE-16-17</v>
          </cell>
          <cell r="B5595" t="str">
            <v>XZ-ZQ6834</v>
          </cell>
        </row>
        <row r="5596">
          <cell r="A5596" t="str">
            <v>XZ-ZQ6834-GE-18-19</v>
          </cell>
          <cell r="B5596" t="str">
            <v>XZ-ZQ6834</v>
          </cell>
        </row>
        <row r="5597">
          <cell r="A5597" t="str">
            <v>XZ-ZQ6834-GE-20</v>
          </cell>
          <cell r="B5597" t="str">
            <v>XZ-ZQ6834</v>
          </cell>
        </row>
        <row r="5598">
          <cell r="A5598" t="str">
            <v>XZ-ZQ6834-GE-21</v>
          </cell>
          <cell r="B5598" t="str">
            <v>XZ-ZQ6834</v>
          </cell>
        </row>
        <row r="5599">
          <cell r="A5599" t="str">
            <v>XZ-ZQ6834-GE-22</v>
          </cell>
          <cell r="B5599" t="str">
            <v>XZ-ZQ6834</v>
          </cell>
        </row>
        <row r="5600">
          <cell r="A5600" t="str">
            <v>XZ-ZQ6834-GE-240</v>
          </cell>
          <cell r="B5600" t="str">
            <v>XZ-ZQ6834</v>
          </cell>
        </row>
        <row r="5601">
          <cell r="A5601" t="str">
            <v>XZ-ZQ6834-GE-250</v>
          </cell>
          <cell r="B5601" t="str">
            <v>XZ-ZQ6834</v>
          </cell>
        </row>
        <row r="5602">
          <cell r="A5602" t="str">
            <v>XZ-ZQ6834-GE-260</v>
          </cell>
          <cell r="B5602" t="str">
            <v>XZ-ZQ6834</v>
          </cell>
        </row>
        <row r="5603">
          <cell r="A5603" t="str">
            <v>XZ-ZQ6834-KQ-14-15</v>
          </cell>
          <cell r="B5603" t="str">
            <v>XZ-ZQ6834</v>
          </cell>
        </row>
        <row r="5604">
          <cell r="A5604" t="str">
            <v>XZ-ZQ6834-KQ-16-17</v>
          </cell>
          <cell r="B5604" t="str">
            <v>XZ-ZQ6834</v>
          </cell>
        </row>
        <row r="5605">
          <cell r="A5605" t="str">
            <v>XZ-ZQ6834-KQ-18-19</v>
          </cell>
          <cell r="B5605" t="str">
            <v>XZ-ZQ6834</v>
          </cell>
        </row>
        <row r="5606">
          <cell r="A5606" t="str">
            <v>XZ-ZQ6834-KQ-20</v>
          </cell>
          <cell r="B5606" t="str">
            <v>XZ-ZQ6834</v>
          </cell>
        </row>
        <row r="5607">
          <cell r="A5607" t="str">
            <v>XZ-ZQ6834-KQ-21</v>
          </cell>
          <cell r="B5607" t="str">
            <v>XZ-ZQ6834</v>
          </cell>
        </row>
        <row r="5608">
          <cell r="A5608" t="str">
            <v>XZ-ZQ6834-KQ-22</v>
          </cell>
          <cell r="B5608" t="str">
            <v>XZ-ZQ6834</v>
          </cell>
        </row>
        <row r="5609">
          <cell r="A5609" t="str">
            <v>XZ-ZQ6834-KQ-270</v>
          </cell>
          <cell r="B5609" t="str">
            <v>XZ-ZQ6834</v>
          </cell>
        </row>
        <row r="5610">
          <cell r="A5610" t="str">
            <v>XZ-ZQ6834-KQ-280</v>
          </cell>
          <cell r="B5610" t="str">
            <v>XZ-ZQ6834</v>
          </cell>
        </row>
        <row r="5611">
          <cell r="A5611" t="str">
            <v>XZ-ZQ6834-KQ-290</v>
          </cell>
          <cell r="B5611" t="str">
            <v>XZ-ZQ6834</v>
          </cell>
        </row>
        <row r="5612">
          <cell r="A5612" t="str">
            <v>XZ-ZQ6834-R1-14-15</v>
          </cell>
          <cell r="B5612" t="str">
            <v>XZ-ZQ6834</v>
          </cell>
        </row>
        <row r="5613">
          <cell r="A5613" t="str">
            <v>XZ-ZQ6834-R1-16-17</v>
          </cell>
          <cell r="B5613" t="str">
            <v>XZ-ZQ6834</v>
          </cell>
        </row>
        <row r="5614">
          <cell r="A5614" t="str">
            <v>XZ-ZQ6834-R1-18-19</v>
          </cell>
          <cell r="B5614" t="str">
            <v>XZ-ZQ6834</v>
          </cell>
        </row>
        <row r="5615">
          <cell r="A5615" t="str">
            <v>XZ-ZQ6834-R1-20</v>
          </cell>
          <cell r="B5615" t="str">
            <v>XZ-ZQ6834</v>
          </cell>
        </row>
        <row r="5616">
          <cell r="A5616" t="str">
            <v>XZ-ZQ6834-R1-21</v>
          </cell>
          <cell r="B5616" t="str">
            <v>XZ-ZQ6834</v>
          </cell>
        </row>
        <row r="5617">
          <cell r="A5617" t="str">
            <v>XZ-ZQ6834-R1-21-GM</v>
          </cell>
          <cell r="B5617" t="str">
            <v>XZ-ZQ6834</v>
          </cell>
        </row>
        <row r="5618">
          <cell r="A5618" t="str">
            <v>XZ-ZQ6834-R1-22</v>
          </cell>
          <cell r="B5618" t="str">
            <v>XZ-ZQ6834</v>
          </cell>
        </row>
        <row r="5619">
          <cell r="A5619" t="str">
            <v>XZ-ZQ6834-R1-240</v>
          </cell>
          <cell r="B5619" t="str">
            <v>XZ-ZQ6834</v>
          </cell>
        </row>
        <row r="5620">
          <cell r="A5620" t="str">
            <v>XZ-ZQ6834-R1-250</v>
          </cell>
          <cell r="B5620" t="str">
            <v>XZ-ZQ6834</v>
          </cell>
        </row>
        <row r="5621">
          <cell r="A5621" t="str">
            <v>XZ-ZQ6834-R1-260</v>
          </cell>
          <cell r="B5621" t="str">
            <v>XZ-ZQ6834</v>
          </cell>
        </row>
        <row r="5622">
          <cell r="A5622" t="str">
            <v>XZ-ZQ6834-R2-14-15</v>
          </cell>
          <cell r="B5622" t="str">
            <v>XZ-ZQ6834</v>
          </cell>
        </row>
        <row r="5623">
          <cell r="A5623" t="str">
            <v>XZ-ZQ6834-R2-16-17</v>
          </cell>
          <cell r="B5623" t="str">
            <v>XZ-ZQ6834</v>
          </cell>
        </row>
        <row r="5624">
          <cell r="A5624" t="str">
            <v>XZ-ZQ6834-R2-18-19</v>
          </cell>
          <cell r="B5624" t="str">
            <v>XZ-ZQ6834</v>
          </cell>
        </row>
        <row r="5625">
          <cell r="A5625" t="str">
            <v>XZ-ZQ6834-R2-20</v>
          </cell>
          <cell r="B5625" t="str">
            <v>XZ-ZQ6834</v>
          </cell>
        </row>
        <row r="5626">
          <cell r="A5626" t="str">
            <v>XZ-ZQ6834-R2-20-GM</v>
          </cell>
          <cell r="B5626" t="str">
            <v>XZ-ZQ6834</v>
          </cell>
        </row>
        <row r="5627">
          <cell r="A5627" t="str">
            <v>XZ-ZQ6834-R2-21</v>
          </cell>
          <cell r="B5627" t="str">
            <v>XZ-ZQ6834</v>
          </cell>
        </row>
        <row r="5628">
          <cell r="A5628" t="str">
            <v>XZ-ZQ6834-R2-22</v>
          </cell>
          <cell r="B5628" t="str">
            <v>XZ-ZQ6834</v>
          </cell>
        </row>
        <row r="5629">
          <cell r="A5629" t="str">
            <v>XZ-ZQ6834-R2-22-GM</v>
          </cell>
          <cell r="B5629" t="str">
            <v>XZ-ZQ6834</v>
          </cell>
        </row>
        <row r="5630">
          <cell r="A5630" t="str">
            <v>XZ-ZQ6834-R2-240</v>
          </cell>
          <cell r="B5630" t="str">
            <v>XZ-ZQ6834</v>
          </cell>
        </row>
        <row r="5631">
          <cell r="A5631" t="str">
            <v>XZ-ZQ6834-R2-240-GM</v>
          </cell>
          <cell r="B5631" t="str">
            <v>XZ-ZQ6834</v>
          </cell>
        </row>
        <row r="5632">
          <cell r="A5632" t="str">
            <v>XZ-ZQ6834-R2-250</v>
          </cell>
          <cell r="B5632" t="str">
            <v>XZ-ZQ6834</v>
          </cell>
        </row>
        <row r="5633">
          <cell r="A5633" t="str">
            <v>XZ-ZQ6834-R2-260</v>
          </cell>
          <cell r="B5633" t="str">
            <v>XZ-ZQ6834</v>
          </cell>
        </row>
        <row r="5634">
          <cell r="A5634" t="str">
            <v>XZ-ZQ6834-R3-14-15</v>
          </cell>
          <cell r="B5634" t="str">
            <v>XZ-ZQ6834</v>
          </cell>
        </row>
        <row r="5635">
          <cell r="A5635" t="str">
            <v>XZ-ZQ6834-R3-16-17</v>
          </cell>
          <cell r="B5635" t="str">
            <v>XZ-ZQ6834</v>
          </cell>
        </row>
        <row r="5636">
          <cell r="A5636" t="str">
            <v>XZ-ZQ6834-R3-18-19</v>
          </cell>
          <cell r="B5636" t="str">
            <v>XZ-ZQ6834</v>
          </cell>
        </row>
        <row r="5637">
          <cell r="A5637" t="str">
            <v>XZ-ZQ6834-R3-20</v>
          </cell>
          <cell r="B5637" t="str">
            <v>XZ-ZQ6834</v>
          </cell>
        </row>
        <row r="5638">
          <cell r="A5638" t="str">
            <v>XZ-ZQ6834-R3-21</v>
          </cell>
          <cell r="B5638" t="str">
            <v>XZ-ZQ6834</v>
          </cell>
        </row>
        <row r="5639">
          <cell r="A5639" t="str">
            <v>XZ-ZQ6834-R3-22</v>
          </cell>
          <cell r="B5639" t="str">
            <v>XZ-ZQ6834</v>
          </cell>
        </row>
        <row r="5640">
          <cell r="A5640" t="str">
            <v>XZ-ZQ6834-R3-240</v>
          </cell>
          <cell r="B5640" t="str">
            <v>XZ-ZQ6834</v>
          </cell>
        </row>
        <row r="5641">
          <cell r="A5641" t="str">
            <v>XZ-ZQ6834-R3-250</v>
          </cell>
          <cell r="B5641" t="str">
            <v>XZ-ZQ6834</v>
          </cell>
        </row>
        <row r="5642">
          <cell r="A5642" t="str">
            <v>XZ-ZQ6834-R3-260</v>
          </cell>
          <cell r="B5642" t="str">
            <v>XZ-ZQ6834</v>
          </cell>
        </row>
        <row r="5643">
          <cell r="A5643" t="str">
            <v>XZ-ZQ7032-B0-24</v>
          </cell>
          <cell r="B5643" t="str">
            <v>XZ-ZQ7032</v>
          </cell>
        </row>
        <row r="5644">
          <cell r="A5644" t="str">
            <v>XZ-ZQ7032-B0-26</v>
          </cell>
          <cell r="B5644" t="str">
            <v>XZ-ZQ7032</v>
          </cell>
        </row>
        <row r="5645">
          <cell r="A5645" t="str">
            <v>XZ-ZQ7032-K0-24</v>
          </cell>
          <cell r="B5645" t="str">
            <v>XZ-ZQ7032</v>
          </cell>
        </row>
        <row r="5646">
          <cell r="A5646" t="str">
            <v>XZ-ZQ7032-K0-25</v>
          </cell>
          <cell r="B5646" t="str">
            <v>XZ-ZQ7032</v>
          </cell>
        </row>
        <row r="5647">
          <cell r="A5647" t="str">
            <v>XZ-ZQ7032-K0-26</v>
          </cell>
          <cell r="B5647" t="str">
            <v>XZ-ZQ7032</v>
          </cell>
        </row>
        <row r="5648">
          <cell r="A5648" t="str">
            <v>XZ-ZQ7032-K0-27</v>
          </cell>
          <cell r="B5648" t="str">
            <v>XZ-ZQ7032</v>
          </cell>
        </row>
        <row r="5649">
          <cell r="A5649" t="str">
            <v>XZ-ZQ7032-K0-28</v>
          </cell>
          <cell r="B5649" t="str">
            <v>XZ-ZQ7032</v>
          </cell>
        </row>
        <row r="5650">
          <cell r="A5650" t="str">
            <v>XZ-ZQ8032-B0-1415</v>
          </cell>
          <cell r="B5650" t="str">
            <v>XZ-ZQ8032</v>
          </cell>
        </row>
        <row r="5651">
          <cell r="A5651" t="str">
            <v>XZ-ZQ8032-B0-1617</v>
          </cell>
          <cell r="B5651" t="str">
            <v>XZ-ZQ8032</v>
          </cell>
        </row>
        <row r="5652">
          <cell r="A5652" t="str">
            <v>XZ-ZQ8032-B0-1819</v>
          </cell>
          <cell r="B5652" t="str">
            <v>XZ-ZQ8032</v>
          </cell>
        </row>
        <row r="5653">
          <cell r="A5653" t="str">
            <v>XZ-ZQ8032-B0-20</v>
          </cell>
          <cell r="B5653" t="str">
            <v>XZ-ZQ8032</v>
          </cell>
        </row>
        <row r="5654">
          <cell r="A5654" t="str">
            <v>XZ-ZQ8032-B0-21</v>
          </cell>
          <cell r="B5654" t="str">
            <v>XZ-ZQ8032</v>
          </cell>
        </row>
        <row r="5655">
          <cell r="A5655" t="str">
            <v>XZ-ZQ8032-B0-22</v>
          </cell>
          <cell r="B5655" t="str">
            <v>XZ-ZQ8032</v>
          </cell>
        </row>
        <row r="5656">
          <cell r="A5656" t="str">
            <v>XZ-ZQ8032-B0-23</v>
          </cell>
          <cell r="B5656" t="str">
            <v>XZ-ZQ8032</v>
          </cell>
        </row>
        <row r="5657">
          <cell r="A5657" t="str">
            <v>XZ-ZQ8032-K0-1415</v>
          </cell>
          <cell r="B5657" t="str">
            <v>XZ-ZQ8032</v>
          </cell>
        </row>
        <row r="5658">
          <cell r="A5658" t="str">
            <v>XZ-ZQ8032-K0-1617</v>
          </cell>
          <cell r="B5658" t="str">
            <v>XZ-ZQ8032</v>
          </cell>
        </row>
        <row r="5659">
          <cell r="A5659" t="str">
            <v>XZ-ZQ8032-K0-1617-GM</v>
          </cell>
          <cell r="B5659" t="str">
            <v>XZ-ZQ8032</v>
          </cell>
        </row>
        <row r="5660">
          <cell r="A5660" t="str">
            <v>XZ-ZQ8032-K0-1819</v>
          </cell>
          <cell r="B5660" t="str">
            <v>XZ-ZQ8032</v>
          </cell>
        </row>
        <row r="5661">
          <cell r="A5661" t="str">
            <v>XZ-ZQ8032-K0-1819-GM</v>
          </cell>
          <cell r="B5661" t="str">
            <v>XZ-ZQ8032</v>
          </cell>
        </row>
        <row r="5662">
          <cell r="A5662" t="str">
            <v>XZ-ZQ8032-K0-20</v>
          </cell>
          <cell r="B5662" t="str">
            <v>XZ-ZQ8032</v>
          </cell>
        </row>
        <row r="5663">
          <cell r="A5663" t="str">
            <v>XZ-ZQ8032-K0-21</v>
          </cell>
          <cell r="B5663" t="str">
            <v>XZ-ZQ8032</v>
          </cell>
        </row>
        <row r="5664">
          <cell r="A5664" t="str">
            <v>XZ-ZQ8032-K0-22</v>
          </cell>
          <cell r="B5664" t="str">
            <v>XZ-ZQ8032</v>
          </cell>
        </row>
        <row r="5665">
          <cell r="A5665" t="str">
            <v>XZ-ZQ8032-K0-23</v>
          </cell>
          <cell r="B5665" t="str">
            <v>XZ-ZQ8032</v>
          </cell>
        </row>
        <row r="5666">
          <cell r="A5666" t="str">
            <v>XZ-ZQ8032-KQ-1415</v>
          </cell>
          <cell r="B5666" t="str">
            <v>XZ-ZQ8032</v>
          </cell>
        </row>
        <row r="5667">
          <cell r="A5667" t="str">
            <v>XZ-ZQ8032-KQ-1617</v>
          </cell>
          <cell r="B5667" t="str">
            <v>XZ-ZQ8032</v>
          </cell>
        </row>
        <row r="5668">
          <cell r="A5668" t="str">
            <v>XZ-ZQ8032-KQ-1819</v>
          </cell>
          <cell r="B5668" t="str">
            <v>XZ-ZQ8032</v>
          </cell>
        </row>
        <row r="5669">
          <cell r="A5669" t="str">
            <v>XZ-ZQ8032-KQ-20</v>
          </cell>
          <cell r="B5669" t="str">
            <v>XZ-ZQ8032</v>
          </cell>
        </row>
        <row r="5670">
          <cell r="A5670" t="str">
            <v>XZ-ZQ8032-KQ-21</v>
          </cell>
          <cell r="B5670" t="str">
            <v>XZ-ZQ8032</v>
          </cell>
        </row>
        <row r="5671">
          <cell r="A5671" t="str">
            <v>XZ-ZQ8032-KQ-22</v>
          </cell>
          <cell r="B5671" t="str">
            <v>XZ-ZQ8032</v>
          </cell>
        </row>
        <row r="5672">
          <cell r="A5672" t="str">
            <v>XZ-ZQ8032-KQ-23</v>
          </cell>
          <cell r="B5672" t="str">
            <v>XZ-ZQ8032</v>
          </cell>
        </row>
        <row r="5673">
          <cell r="A5673" t="str">
            <v>XZ-ZQ8032-R1-1415</v>
          </cell>
          <cell r="B5673" t="str">
            <v>XZ-ZQ8032</v>
          </cell>
        </row>
        <row r="5674">
          <cell r="A5674" t="str">
            <v>XZ-ZQ8032-R1-1617</v>
          </cell>
          <cell r="B5674" t="str">
            <v>XZ-ZQ8032</v>
          </cell>
        </row>
        <row r="5675">
          <cell r="A5675" t="str">
            <v>XZ-ZQ8032-R1-1819</v>
          </cell>
          <cell r="B5675" t="str">
            <v>XZ-ZQ8032</v>
          </cell>
        </row>
        <row r="5676">
          <cell r="A5676" t="str">
            <v>XZ-ZQ8032-R1-20</v>
          </cell>
          <cell r="B5676" t="str">
            <v>XZ-ZQ8032</v>
          </cell>
        </row>
        <row r="5677">
          <cell r="A5677" t="str">
            <v>XZ-ZQ8032-R1-21</v>
          </cell>
          <cell r="B5677" t="str">
            <v>XZ-ZQ8032</v>
          </cell>
        </row>
        <row r="5678">
          <cell r="A5678" t="str">
            <v>XZ-ZQ8032-R1-22</v>
          </cell>
          <cell r="B5678" t="str">
            <v>XZ-ZQ8032</v>
          </cell>
        </row>
        <row r="5679">
          <cell r="A5679" t="str">
            <v>XZ-ZQ8032-R1-23</v>
          </cell>
          <cell r="B5679" t="str">
            <v>XZ-ZQ8032</v>
          </cell>
        </row>
        <row r="5680">
          <cell r="A5680" t="str">
            <v>XZ-ZQ8812-K0-1415</v>
          </cell>
          <cell r="B5680" t="str">
            <v>XZ-ZQ8812</v>
          </cell>
        </row>
        <row r="5681">
          <cell r="A5681" t="str">
            <v>XZ-ZQ8812-K0-1617</v>
          </cell>
          <cell r="B5681" t="str">
            <v>XZ-ZQ8812</v>
          </cell>
        </row>
        <row r="5682">
          <cell r="A5682" t="str">
            <v>XZ-ZQ8812-K0-1819</v>
          </cell>
          <cell r="B5682" t="str">
            <v>XZ-ZQ8812</v>
          </cell>
        </row>
        <row r="5683">
          <cell r="A5683" t="str">
            <v>XZ-ZQ8812-K0-20</v>
          </cell>
          <cell r="B5683" t="str">
            <v>XZ-ZQ8812</v>
          </cell>
        </row>
        <row r="5684">
          <cell r="A5684" t="str">
            <v>XZ-ZQ8812-K0-21</v>
          </cell>
          <cell r="B5684" t="str">
            <v>XZ-ZQ8812</v>
          </cell>
        </row>
        <row r="5685">
          <cell r="A5685" t="str">
            <v>XZ-ZQ8812-K0-22</v>
          </cell>
          <cell r="B5685" t="str">
            <v>XZ-ZQ8812</v>
          </cell>
        </row>
        <row r="5686">
          <cell r="A5686" t="str">
            <v>XZ-ZQ8812-K0-240</v>
          </cell>
          <cell r="B5686" t="str">
            <v>XZ-ZQ8812</v>
          </cell>
        </row>
        <row r="5687">
          <cell r="A5687" t="str">
            <v>XZ-ZQ8812-K0-250</v>
          </cell>
          <cell r="B5687" t="str">
            <v>XZ-ZQ8812</v>
          </cell>
        </row>
        <row r="5688">
          <cell r="A5688" t="str">
            <v>XZ-ZQ8812-K0-260</v>
          </cell>
          <cell r="B5688" t="str">
            <v>XZ-ZQ8812</v>
          </cell>
        </row>
        <row r="5689">
          <cell r="A5689" t="str">
            <v>XZ-ZQ8812N-K0-260</v>
          </cell>
          <cell r="B5689" t="str">
            <v>XZ-ZQ8812</v>
          </cell>
        </row>
        <row r="5690">
          <cell r="A5690" t="str">
            <v>XZ-ZQ8812N-K0-270</v>
          </cell>
          <cell r="B5690" t="str">
            <v>XZ-ZQ8812</v>
          </cell>
        </row>
        <row r="5691">
          <cell r="A5691" t="str">
            <v>XZ-ZQ8812N-K0-280</v>
          </cell>
          <cell r="B5691" t="str">
            <v>XZ-ZQ8812</v>
          </cell>
        </row>
        <row r="5692">
          <cell r="A5692" t="str">
            <v>XZ-ZQ8812-R0-240</v>
          </cell>
          <cell r="B5692" t="str">
            <v>XZ-ZQ8812</v>
          </cell>
        </row>
        <row r="5693">
          <cell r="A5693" t="str">
            <v>XZ-ZQ8812-R0-250</v>
          </cell>
          <cell r="B5693" t="str">
            <v>XZ-ZQ8812</v>
          </cell>
        </row>
        <row r="5694">
          <cell r="A5694" t="str">
            <v>XZ-ZQ8812-R0-260</v>
          </cell>
          <cell r="B5694" t="str">
            <v>XZ-ZQ8812</v>
          </cell>
        </row>
        <row r="5695">
          <cell r="A5695" t="str">
            <v>XZ-ZQ8812-R1-1415</v>
          </cell>
          <cell r="B5695" t="str">
            <v>XZ-ZQ8812</v>
          </cell>
        </row>
        <row r="5696">
          <cell r="A5696" t="str">
            <v>XZ-ZQ8812-R1-1617</v>
          </cell>
          <cell r="B5696" t="str">
            <v>XZ-ZQ8812</v>
          </cell>
        </row>
        <row r="5697">
          <cell r="A5697" t="str">
            <v>XZ-ZQ8812-R1-1819</v>
          </cell>
          <cell r="B5697" t="str">
            <v>XZ-ZQ8812</v>
          </cell>
        </row>
        <row r="5698">
          <cell r="A5698" t="str">
            <v>XZ-ZQ8812-R1-20</v>
          </cell>
          <cell r="B5698" t="str">
            <v>XZ-ZQ8812</v>
          </cell>
        </row>
        <row r="5699">
          <cell r="A5699" t="str">
            <v>XZ-ZQ8812-R1-21</v>
          </cell>
          <cell r="B5699" t="str">
            <v>XZ-ZQ8812</v>
          </cell>
        </row>
        <row r="5700">
          <cell r="A5700" t="str">
            <v>XZ-ZQ8812-R1-22</v>
          </cell>
          <cell r="B5700" t="str">
            <v>XZ-ZQ8812</v>
          </cell>
        </row>
        <row r="5701">
          <cell r="A5701" t="str">
            <v>XZ-ZQ8812-R2-1415</v>
          </cell>
          <cell r="B5701" t="str">
            <v>XZ-ZQ8812</v>
          </cell>
        </row>
        <row r="5702">
          <cell r="A5702" t="str">
            <v>XZ-ZQ8812-R2-1617</v>
          </cell>
          <cell r="B5702" t="str">
            <v>XZ-ZQ8812</v>
          </cell>
        </row>
        <row r="5703">
          <cell r="A5703" t="str">
            <v>XZ-ZQ8812-R2-1819</v>
          </cell>
          <cell r="B5703" t="str">
            <v>XZ-ZQ8812</v>
          </cell>
        </row>
        <row r="5704">
          <cell r="A5704" t="str">
            <v>XZ-ZQ8812-R2-20</v>
          </cell>
          <cell r="B5704" t="str">
            <v>XZ-ZQ8812</v>
          </cell>
        </row>
        <row r="5705">
          <cell r="A5705" t="str">
            <v>XZ-ZQ8812-R2-21</v>
          </cell>
          <cell r="B5705" t="str">
            <v>XZ-ZQ8812</v>
          </cell>
        </row>
        <row r="5706">
          <cell r="A5706" t="str">
            <v>XZ-ZQ8812-R2-22</v>
          </cell>
          <cell r="B5706" t="str">
            <v>XZ-ZQ8812</v>
          </cell>
        </row>
        <row r="5707">
          <cell r="A5707" t="str">
            <v>XZ-ZQ9901-K0-240</v>
          </cell>
          <cell r="B5707" t="str">
            <v>XZ-ZQ9901</v>
          </cell>
        </row>
        <row r="5708">
          <cell r="A5708" t="str">
            <v>XZ-ZQ9901-K0-250</v>
          </cell>
          <cell r="B5708" t="str">
            <v>XZ-ZQ9901</v>
          </cell>
        </row>
        <row r="5709">
          <cell r="A5709" t="str">
            <v>XZ-ZQ9901-K0-260</v>
          </cell>
          <cell r="B5709" t="str">
            <v>XZ-ZQ9901</v>
          </cell>
        </row>
        <row r="5710">
          <cell r="A5710" t="str">
            <v>XZ-ZQ9901-K0-270</v>
          </cell>
          <cell r="B5710" t="str">
            <v>XZ-ZQ9901</v>
          </cell>
        </row>
        <row r="5711">
          <cell r="A5711" t="str">
            <v>XZ-ZQ9901-K0-280</v>
          </cell>
          <cell r="B5711" t="str">
            <v>XZ-ZQ9901</v>
          </cell>
        </row>
        <row r="5712">
          <cell r="A5712" t="str">
            <v>XZ-ZQ9901-KW-240</v>
          </cell>
          <cell r="B5712" t="str">
            <v>XZ-ZQ9901</v>
          </cell>
        </row>
        <row r="5713">
          <cell r="A5713" t="str">
            <v>XZ-ZQ9901-KW-250</v>
          </cell>
          <cell r="B5713" t="str">
            <v>XZ-ZQ9901</v>
          </cell>
        </row>
        <row r="5714">
          <cell r="A5714" t="str">
            <v>XZ-ZQ9901-KW-260</v>
          </cell>
          <cell r="B5714" t="str">
            <v>XZ-ZQ9901</v>
          </cell>
        </row>
        <row r="5715">
          <cell r="A5715" t="str">
            <v>XZ-ZQ9901-KW-270</v>
          </cell>
          <cell r="B5715" t="str">
            <v>XZ-ZQ9901</v>
          </cell>
        </row>
        <row r="5716">
          <cell r="A5716" t="str">
            <v>XZ-ZQ9901-KW-280</v>
          </cell>
          <cell r="B5716" t="str">
            <v>XZ-ZQ9901</v>
          </cell>
        </row>
        <row r="5717">
          <cell r="A5717" t="str">
            <v>XZ-ZQ9901-W0-240</v>
          </cell>
          <cell r="B5717" t="str">
            <v>XZ-ZQ9901</v>
          </cell>
        </row>
        <row r="5718">
          <cell r="A5718" t="str">
            <v>XZ-ZQ9901-W0-250</v>
          </cell>
          <cell r="B5718" t="str">
            <v>XZ-ZQ9901</v>
          </cell>
        </row>
        <row r="5719">
          <cell r="A5719" t="str">
            <v>XZ-ZQ9901-W0-260</v>
          </cell>
          <cell r="B5719" t="str">
            <v>XZ-ZQ9901</v>
          </cell>
        </row>
        <row r="5720">
          <cell r="A5720" t="str">
            <v>XZ-ZQ9901-W0-270</v>
          </cell>
          <cell r="B5720" t="str">
            <v>XZ-ZQ9901</v>
          </cell>
        </row>
        <row r="5721">
          <cell r="A5721" t="str">
            <v>XZ-ZQ9901-W0-280</v>
          </cell>
          <cell r="B5721" t="str">
            <v>XZ-ZQ9901</v>
          </cell>
        </row>
        <row r="5722">
          <cell r="A5722" t="str">
            <v>XZ-ZQCB1001-C0-40</v>
          </cell>
          <cell r="B5722" t="str">
            <v>XZ-ZQCB1001</v>
          </cell>
        </row>
        <row r="5723">
          <cell r="A5723" t="str">
            <v>XZ-ZQCB1001-C0-42</v>
          </cell>
          <cell r="B5723" t="str">
            <v>XZ-ZQCB1001</v>
          </cell>
        </row>
        <row r="5724">
          <cell r="A5724" t="str">
            <v>XZ-ZQCB1001-C0-44</v>
          </cell>
          <cell r="B5724" t="str">
            <v>XZ-ZQCB1001</v>
          </cell>
        </row>
        <row r="5725">
          <cell r="A5725" t="str">
            <v>XZ-ZQCB1001-K0-36</v>
          </cell>
          <cell r="B5725" t="str">
            <v>XZ-ZQCB1001</v>
          </cell>
        </row>
        <row r="5726">
          <cell r="A5726" t="str">
            <v>XZ-ZQCB1001-K0-38</v>
          </cell>
          <cell r="B5726" t="str">
            <v>XZ-ZQCB1001</v>
          </cell>
        </row>
        <row r="5727">
          <cell r="A5727" t="str">
            <v>XZ-ZQCB1001-K0-40</v>
          </cell>
          <cell r="B5727" t="str">
            <v>XZ-ZQCB1001</v>
          </cell>
        </row>
        <row r="5728">
          <cell r="A5728" t="str">
            <v>XZ-ZQCB1001-K0-42</v>
          </cell>
          <cell r="B5728" t="str">
            <v>XZ-ZQCB1001</v>
          </cell>
        </row>
        <row r="5729">
          <cell r="A5729" t="str">
            <v>XZ-ZQCB1001-K0-44</v>
          </cell>
          <cell r="B5729" t="str">
            <v>XZ-ZQCB1001</v>
          </cell>
        </row>
        <row r="5730">
          <cell r="A5730" t="str">
            <v>XZ-ZQCB1001-R1-36</v>
          </cell>
          <cell r="B5730" t="str">
            <v>XZ-ZQCB1001</v>
          </cell>
        </row>
        <row r="5731">
          <cell r="A5731" t="str">
            <v>XZ-ZQCB1001-R1-38</v>
          </cell>
          <cell r="B5731" t="str">
            <v>XZ-ZQCB1001</v>
          </cell>
        </row>
        <row r="5732">
          <cell r="A5732" t="str">
            <v>XZ-ZQCB1001-R1-40</v>
          </cell>
          <cell r="B5732" t="str">
            <v>XZ-ZQCB1001</v>
          </cell>
        </row>
        <row r="5733">
          <cell r="A5733" t="str">
            <v>XZ-ZQCB1001-R2-36</v>
          </cell>
          <cell r="B5733" t="str">
            <v>XZ-ZQCB1001</v>
          </cell>
        </row>
        <row r="5734">
          <cell r="A5734" t="str">
            <v>XZ-ZQCB1001-R2-38</v>
          </cell>
          <cell r="B5734" t="str">
            <v>XZ-ZQCB1001</v>
          </cell>
        </row>
        <row r="5735">
          <cell r="A5735" t="str">
            <v>XZ-ZQCB1001-R2-40</v>
          </cell>
          <cell r="B5735" t="str">
            <v>XZ-ZQCB1001</v>
          </cell>
        </row>
        <row r="5736">
          <cell r="A5736" t="str">
            <v>XZ-ZQCB2002-C0-40</v>
          </cell>
          <cell r="B5736" t="str">
            <v>XZ-ZQCB2002</v>
          </cell>
        </row>
        <row r="5737">
          <cell r="A5737" t="str">
            <v>XZ-ZQCB2002-C0-42</v>
          </cell>
          <cell r="B5737" t="str">
            <v>XZ-ZQCB2002</v>
          </cell>
        </row>
        <row r="5738">
          <cell r="A5738" t="str">
            <v>XZ-ZQCB2002-C0-44</v>
          </cell>
          <cell r="B5738" t="str">
            <v>XZ-ZQCB2002</v>
          </cell>
        </row>
        <row r="5739">
          <cell r="A5739" t="str">
            <v>XZ-ZQCB2002-K0-36</v>
          </cell>
          <cell r="B5739" t="str">
            <v>XZ-ZQCB2002</v>
          </cell>
        </row>
        <row r="5740">
          <cell r="A5740" t="str">
            <v>XZ-ZQCB2002-K0-38</v>
          </cell>
          <cell r="B5740" t="str">
            <v>XZ-ZQCB2002</v>
          </cell>
        </row>
        <row r="5741">
          <cell r="A5741" t="str">
            <v>XZ-ZQCB2002-K0-40</v>
          </cell>
          <cell r="B5741" t="str">
            <v>XZ-ZQCB2002</v>
          </cell>
        </row>
        <row r="5742">
          <cell r="A5742" t="str">
            <v>XZ-ZQCB2002-K0-42</v>
          </cell>
          <cell r="B5742" t="str">
            <v>XZ-ZQCB2002</v>
          </cell>
        </row>
        <row r="5743">
          <cell r="A5743" t="str">
            <v>XZ-ZQCB2002-K0-44</v>
          </cell>
          <cell r="B5743" t="str">
            <v>XZ-ZQCB2002</v>
          </cell>
        </row>
        <row r="5744">
          <cell r="A5744" t="str">
            <v>XZ-ZQCB2002-R1-36</v>
          </cell>
          <cell r="B5744" t="str">
            <v>XZ-ZQCB2002</v>
          </cell>
        </row>
        <row r="5745">
          <cell r="A5745" t="str">
            <v>XZ-ZQCB2002-R1-38</v>
          </cell>
          <cell r="B5745" t="str">
            <v>XZ-ZQCB2002</v>
          </cell>
        </row>
        <row r="5746">
          <cell r="A5746" t="str">
            <v>XZ-ZQCB2002-R1-40</v>
          </cell>
          <cell r="B5746" t="str">
            <v>XZ-ZQCB2002</v>
          </cell>
        </row>
        <row r="5747">
          <cell r="A5747" t="str">
            <v>XZ-ZQCB2002-R2-36</v>
          </cell>
          <cell r="B5747" t="str">
            <v>XZ-ZQCB2002</v>
          </cell>
        </row>
        <row r="5748">
          <cell r="A5748" t="str">
            <v>XZ-ZQCB2002-R2-38</v>
          </cell>
          <cell r="B5748" t="str">
            <v>XZ-ZQCB2002</v>
          </cell>
        </row>
        <row r="5749">
          <cell r="A5749" t="str">
            <v>XZ-ZQCB2002-R2-40</v>
          </cell>
          <cell r="B5749" t="str">
            <v>XZ-ZQCB2002</v>
          </cell>
        </row>
        <row r="5750">
          <cell r="A5750" t="str">
            <v>XZ-ZQCB2056-B0-1415</v>
          </cell>
          <cell r="B5750" t="str">
            <v>XZ-ZQCB3056</v>
          </cell>
        </row>
        <row r="5751">
          <cell r="A5751" t="str">
            <v>XZ-ZQCB2056-B0-1617</v>
          </cell>
          <cell r="B5751" t="str">
            <v>XZ-ZQCB3056</v>
          </cell>
        </row>
        <row r="5752">
          <cell r="A5752" t="str">
            <v>XZ-ZQCB2056-B0-1819</v>
          </cell>
          <cell r="B5752" t="str">
            <v>XZ-ZQCB3056</v>
          </cell>
        </row>
        <row r="5753">
          <cell r="A5753" t="str">
            <v>XZ-ZQCB2056-B0-21</v>
          </cell>
          <cell r="B5753" t="str">
            <v>XZ-ZQCB3056</v>
          </cell>
        </row>
        <row r="5754">
          <cell r="A5754" t="str">
            <v>XZ-ZQCB2056-B0-22</v>
          </cell>
          <cell r="B5754" t="str">
            <v>XZ-ZQCB3056</v>
          </cell>
        </row>
        <row r="5755">
          <cell r="A5755" t="str">
            <v>XZ-ZQCB2056-B0-22-CS</v>
          </cell>
          <cell r="B5755" t="str">
            <v>XZ-ZQCB3056</v>
          </cell>
        </row>
        <row r="5756">
          <cell r="A5756" t="str">
            <v>XZ-ZQCB2056-B0-23</v>
          </cell>
          <cell r="B5756" t="str">
            <v>XZ-ZQCB3056</v>
          </cell>
        </row>
        <row r="5757">
          <cell r="A5757" t="str">
            <v>XZ-ZQCB2056-E0-1415-GM</v>
          </cell>
          <cell r="B5757" t="str">
            <v>XZ-ZQCB3056</v>
          </cell>
        </row>
        <row r="5758">
          <cell r="A5758" t="str">
            <v>XZ-ZQCB2056-E0-1617</v>
          </cell>
          <cell r="B5758" t="str">
            <v>XZ-ZQCB3056</v>
          </cell>
        </row>
        <row r="5759">
          <cell r="A5759" t="str">
            <v>XZ-ZQCB2056-E0-1819</v>
          </cell>
          <cell r="B5759" t="str">
            <v>XZ-ZQCB3056</v>
          </cell>
        </row>
        <row r="5760">
          <cell r="A5760" t="str">
            <v>XZ-ZQCB2056-E0-21</v>
          </cell>
          <cell r="B5760" t="str">
            <v>XZ-ZQCB3056</v>
          </cell>
        </row>
        <row r="5761">
          <cell r="A5761" t="str">
            <v>XZ-ZQCB2056-E0-22</v>
          </cell>
          <cell r="B5761" t="str">
            <v>XZ-ZQCB3056</v>
          </cell>
        </row>
        <row r="5762">
          <cell r="A5762" t="str">
            <v>XZ-ZQCB2056-E0-23</v>
          </cell>
          <cell r="B5762" t="str">
            <v>XZ-ZQCB3056</v>
          </cell>
        </row>
        <row r="5763">
          <cell r="A5763" t="str">
            <v>XZ-ZQCB2056-E0-23-GM</v>
          </cell>
          <cell r="B5763" t="str">
            <v>XZ-ZQCB3056</v>
          </cell>
        </row>
        <row r="5764">
          <cell r="A5764" t="str">
            <v>XZ-ZQCB2056-KQ-1415</v>
          </cell>
          <cell r="B5764" t="str">
            <v>XZ-ZQCB3056</v>
          </cell>
        </row>
        <row r="5765">
          <cell r="A5765" t="str">
            <v>XZ-ZQCB2056-KQ-1617</v>
          </cell>
          <cell r="B5765" t="str">
            <v>XZ-ZQCB3056</v>
          </cell>
        </row>
        <row r="5766">
          <cell r="A5766" t="str">
            <v>XZ-ZQCB2056-KQ-1819</v>
          </cell>
          <cell r="B5766" t="str">
            <v>XZ-ZQCB3056</v>
          </cell>
        </row>
        <row r="5767">
          <cell r="A5767" t="str">
            <v>XZ-ZQCB2056-KQ-21</v>
          </cell>
          <cell r="B5767" t="str">
            <v>XZ-ZQCB3056</v>
          </cell>
        </row>
        <row r="5768">
          <cell r="A5768" t="str">
            <v>XZ-ZQCB2056-KQ-21-NEW</v>
          </cell>
          <cell r="B5768" t="str">
            <v>XZ-ZQCB3056</v>
          </cell>
        </row>
        <row r="5769">
          <cell r="A5769" t="str">
            <v>XZ-ZQCB2056-KQ-22</v>
          </cell>
          <cell r="B5769" t="str">
            <v>XZ-ZQCB3056</v>
          </cell>
        </row>
        <row r="5770">
          <cell r="A5770" t="str">
            <v>XZ-ZQCB2056-KQ-23</v>
          </cell>
          <cell r="B5770" t="str">
            <v>XZ-ZQCB3056</v>
          </cell>
        </row>
        <row r="5771">
          <cell r="A5771" t="str">
            <v>XZ-ZQCB2056-R1-1415</v>
          </cell>
          <cell r="B5771" t="str">
            <v>XZ-ZQCB3056</v>
          </cell>
        </row>
        <row r="5772">
          <cell r="A5772" t="str">
            <v>XZ-ZQCB2056-R1-1617</v>
          </cell>
          <cell r="B5772" t="str">
            <v>XZ-ZQCB3056</v>
          </cell>
        </row>
        <row r="5773">
          <cell r="A5773" t="str">
            <v>XZ-ZQCB2056-R1-1819</v>
          </cell>
          <cell r="B5773" t="str">
            <v>XZ-ZQCB3056</v>
          </cell>
        </row>
        <row r="5774">
          <cell r="A5774" t="str">
            <v>XZ-ZQCB2056-R1-21</v>
          </cell>
          <cell r="B5774" t="str">
            <v>XZ-ZQCB3056</v>
          </cell>
        </row>
        <row r="5775">
          <cell r="A5775" t="str">
            <v>XZ-ZQCB2056-R1-22</v>
          </cell>
          <cell r="B5775" t="str">
            <v>XZ-ZQCB3056</v>
          </cell>
        </row>
        <row r="5776">
          <cell r="A5776" t="str">
            <v>XZ-ZQCB2056-R1-22-CS</v>
          </cell>
          <cell r="B5776" t="str">
            <v>XZ-ZQCB3056</v>
          </cell>
        </row>
        <row r="5777">
          <cell r="A5777" t="str">
            <v>XZ-ZQCB2056-R1-23</v>
          </cell>
          <cell r="B5777" t="str">
            <v>XZ-ZQCB3056</v>
          </cell>
        </row>
        <row r="5778">
          <cell r="A5778" t="str">
            <v>XZ-ZQCB2056-R2-1415</v>
          </cell>
          <cell r="B5778" t="str">
            <v>XZ-ZQCB3056</v>
          </cell>
        </row>
        <row r="5779">
          <cell r="A5779" t="str">
            <v>XZ-ZQCB2056-R2-1617</v>
          </cell>
          <cell r="B5779" t="str">
            <v>XZ-ZQCB3056</v>
          </cell>
        </row>
        <row r="5780">
          <cell r="A5780" t="str">
            <v>XZ-ZQCB2056-R2-1617-GM</v>
          </cell>
          <cell r="B5780" t="str">
            <v>XZ-ZQCB3056</v>
          </cell>
        </row>
        <row r="5781">
          <cell r="A5781" t="str">
            <v>XZ-ZQCB2056-R2-1819</v>
          </cell>
          <cell r="B5781" t="str">
            <v>XZ-ZQCB3056</v>
          </cell>
        </row>
        <row r="5782">
          <cell r="A5782" t="str">
            <v>XZ-ZQCB2056-R2-1819-GM</v>
          </cell>
          <cell r="B5782" t="str">
            <v>XZ-ZQCB3056</v>
          </cell>
        </row>
        <row r="5783">
          <cell r="A5783" t="str">
            <v>XZ-ZQCB2056-R2-21</v>
          </cell>
          <cell r="B5783" t="str">
            <v>XZ-ZQCB3056</v>
          </cell>
        </row>
        <row r="5784">
          <cell r="A5784" t="str">
            <v>XZ-ZQCB2056-R2-21-CS</v>
          </cell>
          <cell r="B5784" t="str">
            <v>XZ-ZQCB3056</v>
          </cell>
        </row>
        <row r="5785">
          <cell r="A5785" t="str">
            <v>XZ-ZQCB2056-R2-22</v>
          </cell>
          <cell r="B5785" t="str">
            <v>XZ-ZQCB3056</v>
          </cell>
        </row>
        <row r="5786">
          <cell r="A5786" t="str">
            <v>XZ-ZQCB2056-R2-23</v>
          </cell>
          <cell r="B5786" t="str">
            <v>XZ-ZQCB3056</v>
          </cell>
        </row>
        <row r="5787">
          <cell r="A5787" t="str">
            <v>XZ-ZQCB3056-B0-24</v>
          </cell>
          <cell r="B5787" t="str">
            <v>XZ-ZQCB3056</v>
          </cell>
        </row>
        <row r="5788">
          <cell r="A5788" t="str">
            <v>XZ-ZQCB3056-B0-25</v>
          </cell>
          <cell r="B5788" t="str">
            <v>XZ-ZQCB3056</v>
          </cell>
        </row>
        <row r="5789">
          <cell r="A5789" t="str">
            <v>XZ-ZQCB3056-B0-26</v>
          </cell>
          <cell r="B5789" t="str">
            <v>XZ-ZQCB3056</v>
          </cell>
        </row>
        <row r="5790">
          <cell r="A5790" t="str">
            <v>XZ-ZQCB3056-B0-27</v>
          </cell>
          <cell r="B5790" t="str">
            <v>XZ-ZQCB3056</v>
          </cell>
        </row>
        <row r="5791">
          <cell r="A5791" t="str">
            <v>XZ-ZQCB3056-B0-28</v>
          </cell>
          <cell r="B5791" t="str">
            <v>XZ-ZQCB3056</v>
          </cell>
        </row>
        <row r="5792">
          <cell r="A5792" t="str">
            <v>XZ-ZQCB3056-E0-24</v>
          </cell>
          <cell r="B5792" t="str">
            <v>XZ-ZQCB3056</v>
          </cell>
        </row>
        <row r="5793">
          <cell r="A5793" t="str">
            <v>XZ-ZQCB3056-E0-25</v>
          </cell>
          <cell r="B5793" t="str">
            <v>XZ-ZQCB3056</v>
          </cell>
        </row>
        <row r="5794">
          <cell r="A5794" t="str">
            <v>XZ-ZQCB3056-E0-26</v>
          </cell>
          <cell r="B5794" t="str">
            <v>XZ-ZQCB3056</v>
          </cell>
        </row>
        <row r="5795">
          <cell r="A5795" t="str">
            <v>XZ-ZQCB3056-E0-27</v>
          </cell>
          <cell r="B5795" t="str">
            <v>XZ-ZQCB3056</v>
          </cell>
        </row>
        <row r="5796">
          <cell r="A5796" t="str">
            <v>XZ-ZQCB3056-E0-27-GM</v>
          </cell>
          <cell r="B5796" t="str">
            <v>XZ-ZQCB3056</v>
          </cell>
        </row>
        <row r="5797">
          <cell r="A5797" t="str">
            <v>XZ-ZQCB3056-E0-28</v>
          </cell>
          <cell r="B5797" t="str">
            <v>XZ-ZQCB3056</v>
          </cell>
        </row>
        <row r="5798">
          <cell r="A5798" t="str">
            <v>XZ-ZQCB3056-kQ-24</v>
          </cell>
          <cell r="B5798" t="str">
            <v>XZ-ZQCB3056</v>
          </cell>
        </row>
        <row r="5799">
          <cell r="A5799" t="str">
            <v>XZ-ZQCB3056-kQ-25</v>
          </cell>
          <cell r="B5799" t="str">
            <v>XZ-ZQCB3056</v>
          </cell>
        </row>
        <row r="5800">
          <cell r="A5800" t="str">
            <v>XZ-ZQCB3056-KQ-26</v>
          </cell>
          <cell r="B5800" t="str">
            <v>XZ-ZQCB3056</v>
          </cell>
        </row>
        <row r="5801">
          <cell r="A5801" t="str">
            <v>XZ-ZQCB3056-KQ-26-GM</v>
          </cell>
          <cell r="B5801" t="str">
            <v>XZ-ZQCB3056</v>
          </cell>
        </row>
        <row r="5802">
          <cell r="A5802" t="str">
            <v>XZ-ZQCB3056-kQ-27</v>
          </cell>
          <cell r="B5802" t="str">
            <v>XZ-ZQCB3056</v>
          </cell>
        </row>
        <row r="5803">
          <cell r="A5803" t="str">
            <v>XZ-ZQCB3056-KQ-28</v>
          </cell>
          <cell r="B5803" t="str">
            <v>XZ-ZQCB3056</v>
          </cell>
        </row>
        <row r="5804">
          <cell r="A5804" t="str">
            <v>XZ-ZQCB3056-R1-24</v>
          </cell>
          <cell r="B5804" t="str">
            <v>XZ-ZQCB3056</v>
          </cell>
        </row>
        <row r="5805">
          <cell r="A5805" t="str">
            <v>XZ-ZQCB3056-R1-24-New</v>
          </cell>
          <cell r="B5805" t="str">
            <v>XZ-ZQCB3056</v>
          </cell>
        </row>
        <row r="5806">
          <cell r="A5806" t="str">
            <v>XZ-ZQCB3056-R1-25</v>
          </cell>
          <cell r="B5806" t="str">
            <v>XZ-ZQCB3056</v>
          </cell>
        </row>
        <row r="5807">
          <cell r="A5807" t="str">
            <v>XZ-ZQCB3056-R1-26</v>
          </cell>
          <cell r="B5807" t="str">
            <v>XZ-ZQCB3056</v>
          </cell>
        </row>
        <row r="5808">
          <cell r="A5808" t="str">
            <v>XZ-ZQCB3056-R1-27</v>
          </cell>
          <cell r="B5808" t="str">
            <v>XZ-ZQCB3056</v>
          </cell>
        </row>
        <row r="5809">
          <cell r="A5809" t="str">
            <v>XZ-ZQCB3056-R1-28</v>
          </cell>
          <cell r="B5809" t="str">
            <v>XZ-ZQCB3056</v>
          </cell>
        </row>
        <row r="5810">
          <cell r="A5810" t="str">
            <v>XZ-ZQCB3056-R2-24</v>
          </cell>
          <cell r="B5810" t="str">
            <v>XZ-ZQCB3056</v>
          </cell>
        </row>
        <row r="5811">
          <cell r="A5811" t="str">
            <v>XZ-ZQCB3056-R2-25</v>
          </cell>
          <cell r="B5811" t="str">
            <v>XZ-ZQCB3056</v>
          </cell>
        </row>
        <row r="5812">
          <cell r="A5812" t="str">
            <v>XZ-ZQCB3056-R2-26</v>
          </cell>
          <cell r="B5812" t="str">
            <v>XZ-ZQCB3056</v>
          </cell>
        </row>
        <row r="5813">
          <cell r="A5813" t="str">
            <v>XZ-ZQCB3056-R2-27</v>
          </cell>
          <cell r="B5813" t="str">
            <v>XZ-ZQCB3056</v>
          </cell>
        </row>
        <row r="5814">
          <cell r="A5814" t="str">
            <v>XZ-ZQCB3056-R2-28</v>
          </cell>
          <cell r="B5814" t="str">
            <v>XZ-ZQCB3056</v>
          </cell>
        </row>
        <row r="5815">
          <cell r="A5815" t="str">
            <v>XZ-ZQFT720-C0-4243</v>
          </cell>
          <cell r="B5815" t="str">
            <v>XZ-ZQFT720</v>
          </cell>
        </row>
        <row r="5816">
          <cell r="A5816" t="str">
            <v>XZ-ZQFT720-PI-3839</v>
          </cell>
          <cell r="B5816" t="str">
            <v>XZ-ZQFT720</v>
          </cell>
        </row>
        <row r="5817">
          <cell r="A5817" t="str">
            <v>XZ-ZQFT730-B0-3637</v>
          </cell>
          <cell r="B5817" t="str">
            <v>XZ-ZQFT730</v>
          </cell>
        </row>
        <row r="5818">
          <cell r="A5818" t="str">
            <v>XZ-ZQFT730-B0-3839</v>
          </cell>
          <cell r="B5818" t="str">
            <v>XZ-ZQFT730</v>
          </cell>
        </row>
        <row r="5819">
          <cell r="A5819" t="str">
            <v>XZ-ZQFT730-B0-4041</v>
          </cell>
          <cell r="B5819" t="str">
            <v>XZ-ZQFT730</v>
          </cell>
        </row>
        <row r="5820">
          <cell r="A5820" t="str">
            <v>XZ-ZQFT730-C0-4243</v>
          </cell>
          <cell r="B5820" t="str">
            <v>XZ-ZQFT730</v>
          </cell>
        </row>
        <row r="5821">
          <cell r="A5821" t="str">
            <v>XZ-ZQFT730-C0-4445</v>
          </cell>
          <cell r="B5821" t="str">
            <v>XZ-ZQFT730</v>
          </cell>
        </row>
        <row r="5822">
          <cell r="A5822" t="str">
            <v>XZ-ZQFT730-C0-4647</v>
          </cell>
          <cell r="B5822" t="str">
            <v>XZ-ZQFT730</v>
          </cell>
        </row>
        <row r="5823">
          <cell r="A5823" t="str">
            <v>XZ-ZQFT730-E0-4243</v>
          </cell>
          <cell r="B5823" t="str">
            <v>XZ-ZQFT730</v>
          </cell>
        </row>
        <row r="5824">
          <cell r="A5824" t="str">
            <v>XZ-ZQFT730-E0-4445</v>
          </cell>
          <cell r="B5824" t="str">
            <v>XZ-ZQFT730</v>
          </cell>
        </row>
        <row r="5825">
          <cell r="A5825" t="str">
            <v>XZ-ZQFT730-E0-4647</v>
          </cell>
          <cell r="B5825" t="str">
            <v>XZ-ZQFT730</v>
          </cell>
        </row>
        <row r="5826">
          <cell r="A5826" t="str">
            <v>XZ-ZQFT730-K0-3637</v>
          </cell>
          <cell r="B5826" t="str">
            <v>XZ-ZQFT730</v>
          </cell>
        </row>
        <row r="5827">
          <cell r="A5827" t="str">
            <v>XZ-ZQFT730-K0-3839</v>
          </cell>
          <cell r="B5827" t="str">
            <v>XZ-ZQFT730</v>
          </cell>
        </row>
        <row r="5828">
          <cell r="A5828" t="str">
            <v>XZ-ZQFT730-K0-4041</v>
          </cell>
          <cell r="B5828" t="str">
            <v>XZ-ZQFT730</v>
          </cell>
        </row>
        <row r="5829">
          <cell r="A5829" t="str">
            <v>XZ-ZQFT730-K0-4243</v>
          </cell>
          <cell r="B5829" t="str">
            <v>XZ-ZQFT730</v>
          </cell>
        </row>
        <row r="5830">
          <cell r="A5830" t="str">
            <v>XZ-ZQFT730-K0-4445</v>
          </cell>
          <cell r="B5830" t="str">
            <v>XZ-ZQFT730</v>
          </cell>
        </row>
        <row r="5831">
          <cell r="A5831" t="str">
            <v>XZ-ZQFT730-K0-4647</v>
          </cell>
          <cell r="B5831" t="str">
            <v>XZ-ZQFT730</v>
          </cell>
        </row>
        <row r="5832">
          <cell r="A5832" t="str">
            <v>XZ-ZQFT730-P0-3637</v>
          </cell>
          <cell r="B5832" t="str">
            <v>XZ-ZQFT730</v>
          </cell>
        </row>
        <row r="5833">
          <cell r="A5833" t="str">
            <v>XZ-ZQFT730-P0-3839</v>
          </cell>
          <cell r="B5833" t="str">
            <v>XZ-ZQFT730</v>
          </cell>
        </row>
        <row r="5834">
          <cell r="A5834" t="str">
            <v>XZ-ZQFT730-P0-4041</v>
          </cell>
          <cell r="B5834" t="str">
            <v>XZ-ZQFT730</v>
          </cell>
        </row>
        <row r="5835">
          <cell r="A5835" t="str">
            <v>XZ-ZQFT730-PI-3637</v>
          </cell>
          <cell r="B5835" t="str">
            <v>XZ-ZQFT730</v>
          </cell>
        </row>
        <row r="5836">
          <cell r="A5836" t="str">
            <v>XZ-ZQFT730-PI-3839</v>
          </cell>
          <cell r="B5836" t="str">
            <v>XZ-ZQFT730</v>
          </cell>
        </row>
        <row r="5837">
          <cell r="A5837" t="str">
            <v>XZ-ZQFT730-PI-4041</v>
          </cell>
          <cell r="B5837" t="str">
            <v>XZ-ZQFT730</v>
          </cell>
        </row>
        <row r="5838">
          <cell r="A5838" t="str">
            <v>XZ-ZQFT730-R1-3637</v>
          </cell>
          <cell r="B5838" t="str">
            <v>XZ-ZQFT730</v>
          </cell>
        </row>
        <row r="5839">
          <cell r="A5839" t="str">
            <v>XZ-ZQFT730-R1-3839</v>
          </cell>
          <cell r="B5839" t="str">
            <v>XZ-ZQFT730</v>
          </cell>
        </row>
        <row r="5840">
          <cell r="A5840" t="str">
            <v>XZ-ZQFT730-R1-4041</v>
          </cell>
          <cell r="B5840" t="str">
            <v>XZ-ZQFT730</v>
          </cell>
        </row>
        <row r="5841">
          <cell r="A5841" t="str">
            <v>XZ-ZQFT730-R2-3637</v>
          </cell>
          <cell r="B5841" t="str">
            <v>XZ-ZQFT730</v>
          </cell>
        </row>
        <row r="5842">
          <cell r="A5842" t="str">
            <v>XZ-ZQFT730-R2-3839</v>
          </cell>
          <cell r="B5842" t="str">
            <v>XZ-ZQFT730</v>
          </cell>
        </row>
        <row r="5843">
          <cell r="A5843" t="str">
            <v>XZ-ZQFT730-R2-4041</v>
          </cell>
          <cell r="B5843" t="str">
            <v>XZ-ZQFT730</v>
          </cell>
        </row>
        <row r="5844">
          <cell r="A5844" t="str">
            <v>XZ-ZQFT730-ZL-4243</v>
          </cell>
          <cell r="B5844" t="str">
            <v>XZ-ZQFT730</v>
          </cell>
        </row>
        <row r="5845">
          <cell r="A5845" t="str">
            <v>XZ-ZQFT730-ZL-4445</v>
          </cell>
          <cell r="B5845" t="str">
            <v>XZ-ZQFT730</v>
          </cell>
        </row>
        <row r="5846">
          <cell r="A5846" t="str">
            <v>XZ-ZQFT730-ZL-4647</v>
          </cell>
          <cell r="B5846" t="str">
            <v>XZ-ZQFT730</v>
          </cell>
        </row>
        <row r="5847">
          <cell r="A5847" t="str">
            <v>XZ-ZQJZ100-C0-270</v>
          </cell>
          <cell r="B5847" t="str">
            <v>XZ-ZQJZ100</v>
          </cell>
        </row>
        <row r="5848">
          <cell r="A5848" t="str">
            <v>XZ-ZQJZ100-C0-280</v>
          </cell>
          <cell r="B5848" t="str">
            <v>XZ-ZQJZ100</v>
          </cell>
        </row>
        <row r="5849">
          <cell r="A5849" t="str">
            <v>XZ-ZQJZ100-C0-290</v>
          </cell>
          <cell r="B5849" t="str">
            <v>XZ-ZQJZ100</v>
          </cell>
        </row>
        <row r="5850">
          <cell r="A5850" t="str">
            <v>XZ-ZQJZ100-G0-250</v>
          </cell>
          <cell r="B5850" t="str">
            <v>XZ-ZQJZ100</v>
          </cell>
        </row>
        <row r="5851">
          <cell r="A5851" t="str">
            <v>XZ-ZQJZ100-G0-260</v>
          </cell>
          <cell r="B5851" t="str">
            <v>XZ-ZQJZ100</v>
          </cell>
        </row>
        <row r="5852">
          <cell r="A5852" t="str">
            <v>XZ-ZQJZ100-G0-270</v>
          </cell>
          <cell r="B5852" t="str">
            <v>XZ-ZQJZ100</v>
          </cell>
        </row>
        <row r="5853">
          <cell r="A5853" t="str">
            <v>XZ-ZQJZ100-P0-270</v>
          </cell>
          <cell r="B5853" t="str">
            <v>XZ-ZQJZ100</v>
          </cell>
        </row>
        <row r="5854">
          <cell r="A5854" t="str">
            <v>XZ-ZQJZ100-P0-280</v>
          </cell>
          <cell r="B5854" t="str">
            <v>XZ-ZQJZ100</v>
          </cell>
        </row>
        <row r="5855">
          <cell r="A5855" t="str">
            <v>XZ-ZQJZ100-P0-290</v>
          </cell>
          <cell r="B5855" t="str">
            <v>XZ-ZQJZ100</v>
          </cell>
        </row>
        <row r="5856">
          <cell r="A5856" t="str">
            <v>XZ-ZQJZ100-PI-250</v>
          </cell>
          <cell r="B5856" t="str">
            <v>XZ-ZQJZ100</v>
          </cell>
        </row>
        <row r="5857">
          <cell r="A5857" t="str">
            <v>XZ-ZQJZ100-PI-260</v>
          </cell>
          <cell r="B5857" t="str">
            <v>XZ-ZQJZ100</v>
          </cell>
        </row>
        <row r="5858">
          <cell r="A5858" t="str">
            <v>XZ-ZQJZ100-PI-270</v>
          </cell>
          <cell r="B5858" t="str">
            <v>XZ-ZQJZ100</v>
          </cell>
        </row>
        <row r="5859">
          <cell r="A5859" t="str">
            <v>XZ-ZQJZ100-R0-250</v>
          </cell>
          <cell r="B5859" t="str">
            <v>XZ-ZQJZ100</v>
          </cell>
        </row>
        <row r="5860">
          <cell r="A5860" t="str">
            <v>XZ-ZQJZ100-R0-260</v>
          </cell>
          <cell r="B5860" t="str">
            <v>XZ-ZQJZ100</v>
          </cell>
        </row>
        <row r="5861">
          <cell r="A5861" t="str">
            <v>XZ-ZQJZ100-R0-270</v>
          </cell>
          <cell r="B5861" t="str">
            <v>XZ-ZQJZ100</v>
          </cell>
        </row>
        <row r="5862">
          <cell r="A5862" t="str">
            <v>XZ-ZQJZ120-K0-250</v>
          </cell>
          <cell r="B5862" t="str">
            <v>XZ-ZQJZ120</v>
          </cell>
        </row>
        <row r="5863">
          <cell r="A5863" t="str">
            <v>XZ-ZQJZ120-K0-260</v>
          </cell>
          <cell r="B5863" t="str">
            <v>XZ-ZQJZ120</v>
          </cell>
        </row>
        <row r="5864">
          <cell r="A5864" t="str">
            <v>XZ-ZQJZ120-K0-270</v>
          </cell>
          <cell r="B5864" t="str">
            <v>XZ-ZQJZ120</v>
          </cell>
        </row>
        <row r="5865">
          <cell r="A5865" t="str">
            <v>XZ-ZQJZ120-KQ-250</v>
          </cell>
          <cell r="B5865" t="str">
            <v>XZ-ZQJZ120</v>
          </cell>
        </row>
        <row r="5866">
          <cell r="A5866" t="str">
            <v>XZ-ZQJZ120-KQ-260</v>
          </cell>
          <cell r="B5866" t="str">
            <v>XZ-ZQJZ120</v>
          </cell>
        </row>
        <row r="5867">
          <cell r="A5867" t="str">
            <v>XZ-ZQJZ120-KQ-270</v>
          </cell>
          <cell r="B5867" t="str">
            <v>XZ-ZQJZ120</v>
          </cell>
        </row>
        <row r="5868">
          <cell r="A5868" t="str">
            <v>XZ-ZQJZ120-PE-250</v>
          </cell>
          <cell r="B5868" t="str">
            <v>XZ-ZQJZ120</v>
          </cell>
        </row>
        <row r="5869">
          <cell r="A5869" t="str">
            <v>XZ-ZQJZ120-PE-260</v>
          </cell>
          <cell r="B5869" t="str">
            <v>XZ-ZQJZ120</v>
          </cell>
        </row>
        <row r="5870">
          <cell r="A5870" t="str">
            <v>XZ-ZQJZ120-PE-270</v>
          </cell>
          <cell r="B5870" t="str">
            <v>XZ-ZQJZ120</v>
          </cell>
        </row>
        <row r="5871">
          <cell r="A5871" t="str">
            <v>XZ-ZQJZ120-PR-250</v>
          </cell>
          <cell r="B5871" t="str">
            <v>XZ-ZQJZ120</v>
          </cell>
        </row>
        <row r="5872">
          <cell r="A5872" t="str">
            <v>XZ-ZQJZ120-PR-260</v>
          </cell>
          <cell r="B5872" t="str">
            <v>XZ-ZQJZ120</v>
          </cell>
        </row>
        <row r="5873">
          <cell r="A5873" t="str">
            <v>XZ-ZQJZ120-PR-270</v>
          </cell>
          <cell r="B5873" t="str">
            <v>XZ-ZQJZ120</v>
          </cell>
        </row>
        <row r="5874">
          <cell r="A5874" t="str">
            <v>XZ-ZQJZ609-BD-250</v>
          </cell>
          <cell r="B5874" t="str">
            <v>XZ-ZQJZ609</v>
          </cell>
        </row>
        <row r="5875">
          <cell r="A5875" t="str">
            <v>XZ-ZQJZ609-BD-260</v>
          </cell>
          <cell r="B5875" t="str">
            <v>XZ-ZQJZ609</v>
          </cell>
        </row>
        <row r="5876">
          <cell r="A5876" t="str">
            <v>XZ-ZQJZ609-BD-270</v>
          </cell>
          <cell r="B5876" t="str">
            <v>XZ-ZQJZ609</v>
          </cell>
        </row>
        <row r="5877">
          <cell r="A5877" t="str">
            <v>XZ-ZQJZ609-C0-270</v>
          </cell>
          <cell r="B5877" t="str">
            <v>XZ-ZQJZ609</v>
          </cell>
        </row>
        <row r="5878">
          <cell r="A5878" t="str">
            <v>XZ-ZQJZ609-C0-280</v>
          </cell>
          <cell r="B5878" t="str">
            <v>XZ-ZQJZ609</v>
          </cell>
        </row>
        <row r="5879">
          <cell r="A5879" t="str">
            <v>XZ-ZQJZ609-C0-290</v>
          </cell>
          <cell r="B5879" t="str">
            <v>XZ-ZQJZ609</v>
          </cell>
        </row>
        <row r="5880">
          <cell r="A5880" t="str">
            <v>XZ-ZQJZ609-E0-270</v>
          </cell>
          <cell r="B5880" t="str">
            <v>XZ-ZQJZ609</v>
          </cell>
        </row>
        <row r="5881">
          <cell r="A5881" t="str">
            <v>XZ-ZQJZ609-E0-280</v>
          </cell>
          <cell r="B5881" t="str">
            <v>XZ-ZQJZ609</v>
          </cell>
        </row>
        <row r="5882">
          <cell r="A5882" t="str">
            <v>XZ-ZQJZ609-E0-290</v>
          </cell>
          <cell r="B5882" t="str">
            <v>XZ-ZQJZ609</v>
          </cell>
        </row>
        <row r="5883">
          <cell r="A5883" t="str">
            <v>XZ-ZQJZ609-P0-250</v>
          </cell>
          <cell r="B5883" t="str">
            <v>XZ-ZQJZ609</v>
          </cell>
        </row>
        <row r="5884">
          <cell r="A5884" t="str">
            <v>XZ-ZQJZ609-P0-260</v>
          </cell>
          <cell r="B5884" t="str">
            <v>XZ-ZQJZ609</v>
          </cell>
        </row>
        <row r="5885">
          <cell r="A5885" t="str">
            <v>XZ-ZQJZ609-P0-270</v>
          </cell>
          <cell r="B5885" t="str">
            <v>XZ-ZQJZ609</v>
          </cell>
        </row>
        <row r="5886">
          <cell r="A5886" t="str">
            <v>XZ-ZQJZ609-PI-250</v>
          </cell>
          <cell r="B5886" t="str">
            <v>XZ-ZQJZ609</v>
          </cell>
        </row>
        <row r="5887">
          <cell r="A5887" t="str">
            <v>XZ-ZQJZ609-PI-260</v>
          </cell>
          <cell r="B5887" t="str">
            <v>XZ-ZQJZ609</v>
          </cell>
        </row>
        <row r="5888">
          <cell r="A5888" t="str">
            <v>XZ-ZQJZ609-PI-270</v>
          </cell>
          <cell r="B5888" t="str">
            <v>XZ-ZQJZ609</v>
          </cell>
        </row>
        <row r="5889">
          <cell r="A5889" t="str">
            <v>YZ1458</v>
          </cell>
          <cell r="B5889" t="str">
            <v>YZ1458</v>
          </cell>
        </row>
        <row r="5890">
          <cell r="A5890" t="str">
            <v>YZ1458FB3XL</v>
          </cell>
          <cell r="B5890" t="str">
            <v>YZ1458</v>
          </cell>
        </row>
        <row r="5891">
          <cell r="A5891" t="str">
            <v>YZ1458FB4XL</v>
          </cell>
          <cell r="B5891" t="str">
            <v>YZ1458</v>
          </cell>
        </row>
        <row r="5892">
          <cell r="A5892" t="str">
            <v>YZ1458FB5XL</v>
          </cell>
          <cell r="B5892" t="str">
            <v>YZ1458</v>
          </cell>
        </row>
        <row r="5893">
          <cell r="A5893" t="str">
            <v>YZ1458K03XL</v>
          </cell>
          <cell r="B5893" t="str">
            <v>YZ1458</v>
          </cell>
        </row>
        <row r="5894">
          <cell r="A5894" t="str">
            <v>YZ1458K04XL</v>
          </cell>
          <cell r="B5894" t="str">
            <v>YZ1458</v>
          </cell>
        </row>
        <row r="5895">
          <cell r="A5895" t="str">
            <v>YZ1458K05XL</v>
          </cell>
          <cell r="B5895" t="str">
            <v>YZ1458</v>
          </cell>
        </row>
        <row r="5896">
          <cell r="A5896" t="str">
            <v>YZ1458R23XL</v>
          </cell>
          <cell r="B5896" t="str">
            <v>YZ1458</v>
          </cell>
        </row>
        <row r="5897">
          <cell r="A5897" t="str">
            <v>YZ1458R24XL</v>
          </cell>
          <cell r="B5897" t="str">
            <v>YZ1458</v>
          </cell>
        </row>
        <row r="5898">
          <cell r="A5898" t="str">
            <v>YZ1458R25XL</v>
          </cell>
          <cell r="B5898" t="str">
            <v>YZ1458</v>
          </cell>
        </row>
        <row r="5899">
          <cell r="A5899" t="str">
            <v>YZ-160301</v>
          </cell>
          <cell r="B5899" t="str">
            <v>YZ-160301</v>
          </cell>
        </row>
        <row r="5900">
          <cell r="A5900" t="str">
            <v>YZ2216</v>
          </cell>
          <cell r="B5900" t="str">
            <v>YZ2216</v>
          </cell>
        </row>
        <row r="5901">
          <cell r="A5901" t="str">
            <v>YZ2216K0</v>
          </cell>
          <cell r="B5901" t="str">
            <v>YZ2216</v>
          </cell>
        </row>
        <row r="5902">
          <cell r="A5902" t="str">
            <v>YZ2216K01L</v>
          </cell>
          <cell r="B5902" t="str">
            <v>YZ2216</v>
          </cell>
        </row>
        <row r="5903">
          <cell r="A5903" t="str">
            <v>YZ2216K0L</v>
          </cell>
          <cell r="B5903" t="str">
            <v>YZ2216</v>
          </cell>
        </row>
        <row r="5904">
          <cell r="A5904" t="str">
            <v>YZ2216K0M</v>
          </cell>
          <cell r="B5904" t="str">
            <v>YZ2216</v>
          </cell>
        </row>
        <row r="5905">
          <cell r="A5905" t="str">
            <v>YZ2216K0S</v>
          </cell>
          <cell r="B5905" t="str">
            <v>YZ2216</v>
          </cell>
        </row>
        <row r="5906">
          <cell r="A5906" t="str">
            <v>YZ2216R6</v>
          </cell>
          <cell r="B5906" t="str">
            <v>YZ2216</v>
          </cell>
        </row>
        <row r="5907">
          <cell r="A5907" t="str">
            <v>YZ5060B2</v>
          </cell>
          <cell r="B5907" t="str">
            <v>YZ5060</v>
          </cell>
        </row>
        <row r="5908">
          <cell r="A5908" t="str">
            <v>YZ5060B21L</v>
          </cell>
          <cell r="B5908" t="str">
            <v>YZ5060</v>
          </cell>
        </row>
        <row r="5909">
          <cell r="A5909" t="str">
            <v>YZ5060B21L-GM</v>
          </cell>
          <cell r="B5909" t="str">
            <v>YZ5060</v>
          </cell>
        </row>
        <row r="5910">
          <cell r="A5910" t="str">
            <v>YZ5060B21L-MX</v>
          </cell>
          <cell r="B5910" t="str">
            <v>YZ5060</v>
          </cell>
        </row>
        <row r="5911">
          <cell r="A5911" t="str">
            <v>YZ5060B2L</v>
          </cell>
          <cell r="B5911" t="str">
            <v>YZ5060</v>
          </cell>
        </row>
        <row r="5912">
          <cell r="A5912" t="str">
            <v>YZ5060B2M</v>
          </cell>
          <cell r="B5912" t="str">
            <v>YZ5060</v>
          </cell>
        </row>
        <row r="5913">
          <cell r="A5913" t="str">
            <v>YZ5060B2-MX</v>
          </cell>
          <cell r="B5913" t="str">
            <v>YZ5060</v>
          </cell>
        </row>
        <row r="5914">
          <cell r="A5914" t="str">
            <v>YZ5060B2S</v>
          </cell>
          <cell r="B5914" t="str">
            <v>YZ5060</v>
          </cell>
        </row>
        <row r="5915">
          <cell r="A5915" t="str">
            <v>YZ5060B2S-MX</v>
          </cell>
          <cell r="B5915" t="str">
            <v>YZ5060</v>
          </cell>
        </row>
        <row r="5916">
          <cell r="A5916" t="str">
            <v>YZ5060B3</v>
          </cell>
          <cell r="B5916" t="str">
            <v>YZ5060</v>
          </cell>
        </row>
        <row r="5917">
          <cell r="A5917" t="str">
            <v>YZ5060R2</v>
          </cell>
          <cell r="B5917" t="str">
            <v>YZ5060</v>
          </cell>
        </row>
        <row r="5918">
          <cell r="A5918" t="str">
            <v>YZ5060R21L</v>
          </cell>
          <cell r="B5918" t="str">
            <v>YZ5060</v>
          </cell>
        </row>
        <row r="5919">
          <cell r="A5919" t="str">
            <v>YZ5060R21L-MX</v>
          </cell>
          <cell r="B5919" t="str">
            <v>YZ5060</v>
          </cell>
        </row>
        <row r="5920">
          <cell r="A5920" t="str">
            <v>YZ5060R2L</v>
          </cell>
          <cell r="B5920" t="str">
            <v>YZ5060</v>
          </cell>
        </row>
        <row r="5921">
          <cell r="A5921" t="str">
            <v>YZ5060R2M</v>
          </cell>
          <cell r="B5921" t="str">
            <v>YZ5060</v>
          </cell>
        </row>
        <row r="5922">
          <cell r="A5922" t="str">
            <v>YZ5060R2M-MX</v>
          </cell>
          <cell r="B5922" t="str">
            <v>YZ5060</v>
          </cell>
        </row>
        <row r="5923">
          <cell r="A5923" t="str">
            <v>YZ5060R2-MX</v>
          </cell>
          <cell r="B5923" t="str">
            <v>YZ5060</v>
          </cell>
        </row>
        <row r="5924">
          <cell r="A5924" t="str">
            <v>YZ5060R2S</v>
          </cell>
          <cell r="B5924" t="str">
            <v>YZ5060</v>
          </cell>
        </row>
        <row r="5925">
          <cell r="A5925" t="str">
            <v>YZ5060R2S-MX</v>
          </cell>
          <cell r="B5925" t="str">
            <v>YZ5060</v>
          </cell>
        </row>
        <row r="5926">
          <cell r="A5926" t="str">
            <v>YZ5060Y0</v>
          </cell>
          <cell r="B5926" t="str">
            <v>YZ5060</v>
          </cell>
        </row>
        <row r="5927">
          <cell r="A5927" t="str">
            <v>YZ5060Y01L</v>
          </cell>
          <cell r="B5927" t="str">
            <v>YZ5060</v>
          </cell>
        </row>
        <row r="5928">
          <cell r="A5928" t="str">
            <v>YZ5060Y01L-GM</v>
          </cell>
          <cell r="B5928" t="str">
            <v>YZ5060</v>
          </cell>
        </row>
        <row r="5929">
          <cell r="A5929" t="str">
            <v>YZ5060Y01L-MX</v>
          </cell>
          <cell r="B5929" t="str">
            <v>YZ5060</v>
          </cell>
        </row>
        <row r="5930">
          <cell r="A5930" t="str">
            <v>YZ5060Y0L</v>
          </cell>
          <cell r="B5930" t="str">
            <v>YZ5060</v>
          </cell>
        </row>
        <row r="5931">
          <cell r="A5931" t="str">
            <v>YZ5060Y0L-MX</v>
          </cell>
          <cell r="B5931" t="str">
            <v>YZ5060</v>
          </cell>
        </row>
        <row r="5932">
          <cell r="A5932" t="str">
            <v>YZ5060Y0M</v>
          </cell>
          <cell r="B5932" t="str">
            <v>YZ5060</v>
          </cell>
        </row>
        <row r="5933">
          <cell r="A5933" t="str">
            <v>YZ5060Y0-MX</v>
          </cell>
          <cell r="B5933" t="str">
            <v>YZ5060</v>
          </cell>
        </row>
        <row r="5934">
          <cell r="A5934" t="str">
            <v>YZ5060Y0S</v>
          </cell>
          <cell r="B5934" t="str">
            <v>YZ5060</v>
          </cell>
        </row>
        <row r="5935">
          <cell r="A5935" t="str">
            <v>YZ5060Y0S-MX</v>
          </cell>
          <cell r="B5935" t="str">
            <v>YZ5060</v>
          </cell>
        </row>
        <row r="5936">
          <cell r="A5936" t="str">
            <v>YZ5110B0</v>
          </cell>
          <cell r="B5936" t="str">
            <v>YZ5060</v>
          </cell>
        </row>
        <row r="5937">
          <cell r="A5937" t="str">
            <v>YZ5110R0</v>
          </cell>
          <cell r="B5937" t="str">
            <v>YZ5060</v>
          </cell>
        </row>
        <row r="5938">
          <cell r="A5938" t="str">
            <v>YZ5110Y0</v>
          </cell>
          <cell r="B5938" t="str">
            <v>YZ5060</v>
          </cell>
        </row>
        <row r="5939">
          <cell r="A5939" t="str">
            <v>YZ5118</v>
          </cell>
          <cell r="B5939" t="str">
            <v>YZ5118</v>
          </cell>
        </row>
        <row r="5940">
          <cell r="A5940" t="str">
            <v>YZ5118Da0L</v>
          </cell>
          <cell r="B5940" t="str">
            <v>YZ5118</v>
          </cell>
        </row>
        <row r="5941">
          <cell r="A5941" t="str">
            <v>YZ5118Da1L</v>
          </cell>
          <cell r="B5941" t="str">
            <v>YZ5118</v>
          </cell>
        </row>
        <row r="5942">
          <cell r="A5942" t="str">
            <v>YZ5118DaM</v>
          </cell>
          <cell r="B5942" t="str">
            <v>YZ5118</v>
          </cell>
        </row>
        <row r="5943">
          <cell r="A5943" t="str">
            <v>YZ5118DaS</v>
          </cell>
          <cell r="B5943" t="str">
            <v>YZ5118</v>
          </cell>
        </row>
        <row r="5944">
          <cell r="A5944" t="str">
            <v>YZ5118DaXS</v>
          </cell>
          <cell r="B5944" t="str">
            <v>YZ5118</v>
          </cell>
        </row>
        <row r="5945">
          <cell r="A5945" t="str">
            <v>YZ5505</v>
          </cell>
          <cell r="B5945" t="str">
            <v>YZ5505</v>
          </cell>
        </row>
        <row r="5946">
          <cell r="A5946" t="str">
            <v>YZ5505Da</v>
          </cell>
          <cell r="B5946" t="str">
            <v>YZ5505</v>
          </cell>
        </row>
        <row r="5947">
          <cell r="A5947" t="str">
            <v>YZ5505Da2L</v>
          </cell>
          <cell r="B5947" t="str">
            <v>YZ5505</v>
          </cell>
        </row>
        <row r="5948">
          <cell r="A5948" t="str">
            <v>YZ5505Da2L-Non Prime</v>
          </cell>
          <cell r="B5948" t="str">
            <v>YZ5505</v>
          </cell>
        </row>
        <row r="5949">
          <cell r="A5949" t="str">
            <v>YZ5505DaL</v>
          </cell>
          <cell r="B5949" t="str">
            <v>YZ5505</v>
          </cell>
        </row>
        <row r="5950">
          <cell r="A5950" t="str">
            <v>YZ5505DaL-GM</v>
          </cell>
          <cell r="B5950" t="str">
            <v>YZ5505</v>
          </cell>
        </row>
        <row r="5951">
          <cell r="A5951" t="str">
            <v>YZ5505DaL-Non Prime</v>
          </cell>
          <cell r="B5951" t="str">
            <v>YZ5505</v>
          </cell>
        </row>
        <row r="5952">
          <cell r="A5952" t="str">
            <v>YZ5505DaM</v>
          </cell>
          <cell r="B5952" t="str">
            <v>YZ5505</v>
          </cell>
        </row>
        <row r="5953">
          <cell r="A5953" t="str">
            <v>YZ5505DaM-Non Prime</v>
          </cell>
          <cell r="B5953" t="str">
            <v>YZ5505</v>
          </cell>
        </row>
        <row r="5954">
          <cell r="A5954" t="str">
            <v>YZ5505Da-Non Prime</v>
          </cell>
          <cell r="B5954" t="str">
            <v>YZ5505</v>
          </cell>
        </row>
        <row r="5955">
          <cell r="A5955" t="str">
            <v>YZ5505DaS</v>
          </cell>
          <cell r="B5955" t="str">
            <v>YZ5505</v>
          </cell>
        </row>
        <row r="5956">
          <cell r="A5956" t="str">
            <v>YZ5505DaS-Non Prime</v>
          </cell>
          <cell r="B5956" t="str">
            <v>YZ5505</v>
          </cell>
        </row>
        <row r="5957">
          <cell r="A5957" t="str">
            <v>YZ5505DaXL</v>
          </cell>
          <cell r="B5957" t="str">
            <v>YZ5505</v>
          </cell>
        </row>
        <row r="5958">
          <cell r="A5958" t="str">
            <v>YZ5505DaXL-Non Prime</v>
          </cell>
          <cell r="B5958" t="str">
            <v>YZ5505</v>
          </cell>
        </row>
        <row r="5959">
          <cell r="A5959" t="str">
            <v>YZ5505DaXS-FBM</v>
          </cell>
          <cell r="B5959" t="str">
            <v>YZ5505</v>
          </cell>
        </row>
        <row r="5960">
          <cell r="A5960" t="str">
            <v>YZ5505JR</v>
          </cell>
          <cell r="B5960" t="str">
            <v>YZ5505</v>
          </cell>
        </row>
        <row r="5961">
          <cell r="A5961" t="str">
            <v>YZ5505JR0L</v>
          </cell>
          <cell r="B5961" t="str">
            <v>YZ5505</v>
          </cell>
        </row>
        <row r="5962">
          <cell r="A5962" t="str">
            <v>YZ5505JR0S</v>
          </cell>
          <cell r="B5962" t="str">
            <v>YZ5505</v>
          </cell>
        </row>
        <row r="5963">
          <cell r="A5963" t="str">
            <v>YZ5505JR2L</v>
          </cell>
          <cell r="B5963" t="str">
            <v>YZ5505</v>
          </cell>
        </row>
        <row r="5964">
          <cell r="A5964" t="str">
            <v>YZ5505JR2L-GM</v>
          </cell>
          <cell r="B5964" t="str">
            <v>YZ5505</v>
          </cell>
        </row>
        <row r="5965">
          <cell r="A5965" t="str">
            <v>YZ5505JR2L-Non Prime</v>
          </cell>
          <cell r="B5965" t="str">
            <v>YZ5505</v>
          </cell>
        </row>
        <row r="5966">
          <cell r="A5966" t="str">
            <v>YZ5505JRL</v>
          </cell>
          <cell r="B5966" t="str">
            <v>YZ5505</v>
          </cell>
        </row>
        <row r="5967">
          <cell r="A5967" t="str">
            <v>YZ5505JRL-GM</v>
          </cell>
          <cell r="B5967" t="str">
            <v>YZ5505</v>
          </cell>
        </row>
        <row r="5968">
          <cell r="A5968" t="str">
            <v>YZ5505JRL-Non Prime</v>
          </cell>
          <cell r="B5968" t="str">
            <v>YZ5505</v>
          </cell>
        </row>
        <row r="5969">
          <cell r="A5969" t="str">
            <v>YZ5505JRM</v>
          </cell>
          <cell r="B5969" t="str">
            <v>YZ5505</v>
          </cell>
        </row>
        <row r="5970">
          <cell r="A5970" t="str">
            <v>YZ5505JRM-Non Prime</v>
          </cell>
          <cell r="B5970" t="str">
            <v>YZ5505</v>
          </cell>
        </row>
        <row r="5971">
          <cell r="A5971" t="str">
            <v>YZ5505JR-Non Prime</v>
          </cell>
          <cell r="B5971" t="str">
            <v>YZ5505</v>
          </cell>
        </row>
        <row r="5972">
          <cell r="A5972" t="str">
            <v>YZ5505JRS</v>
          </cell>
          <cell r="B5972" t="str">
            <v>YZ5505</v>
          </cell>
        </row>
        <row r="5973">
          <cell r="A5973" t="str">
            <v>YZ5505JRS-Non Prime</v>
          </cell>
          <cell r="B5973" t="str">
            <v>YZ5505</v>
          </cell>
        </row>
        <row r="5974">
          <cell r="A5974" t="str">
            <v>YZ5505JRXL</v>
          </cell>
          <cell r="B5974" t="str">
            <v>YZ5505</v>
          </cell>
        </row>
        <row r="5975">
          <cell r="A5975" t="str">
            <v>YZ5505JRXL-Non Prime</v>
          </cell>
          <cell r="B5975" t="str">
            <v>YZ5505</v>
          </cell>
        </row>
        <row r="5976">
          <cell r="A5976" t="str">
            <v>YZ5505JRXS</v>
          </cell>
          <cell r="B5976" t="str">
            <v>YZ5505</v>
          </cell>
        </row>
        <row r="5977">
          <cell r="A5977" t="str">
            <v>YZ5505K0-2XL</v>
          </cell>
          <cell r="B5977" t="str">
            <v>YZ5505</v>
          </cell>
        </row>
        <row r="5978">
          <cell r="A5978" t="str">
            <v>YZ5505K0-2XL-Non Prime</v>
          </cell>
          <cell r="B5978" t="str">
            <v>YZ5505</v>
          </cell>
        </row>
        <row r="5979">
          <cell r="A5979" t="str">
            <v>YZ5505K0-L</v>
          </cell>
          <cell r="B5979" t="str">
            <v>YZ5505</v>
          </cell>
        </row>
        <row r="5980">
          <cell r="A5980" t="str">
            <v>YZ5505K0-L-Non Prime</v>
          </cell>
          <cell r="B5980" t="str">
            <v>YZ5505</v>
          </cell>
        </row>
        <row r="5981">
          <cell r="A5981" t="str">
            <v>YZ5505K0-M</v>
          </cell>
          <cell r="B5981" t="str">
            <v>YZ5505</v>
          </cell>
        </row>
        <row r="5982">
          <cell r="A5982" t="str">
            <v>YZ5505K0-M-Non Prime</v>
          </cell>
          <cell r="B5982" t="str">
            <v>YZ5505</v>
          </cell>
        </row>
        <row r="5983">
          <cell r="A5983" t="str">
            <v>YZ5505K0-S</v>
          </cell>
          <cell r="B5983" t="str">
            <v>YZ5505</v>
          </cell>
        </row>
        <row r="5984">
          <cell r="A5984" t="str">
            <v>YZ5505K0-S-Non Prime</v>
          </cell>
          <cell r="B5984" t="str">
            <v>YZ5505</v>
          </cell>
        </row>
        <row r="5985">
          <cell r="A5985" t="str">
            <v>YZ5505K0-XL</v>
          </cell>
          <cell r="B5985" t="str">
            <v>YZ5505</v>
          </cell>
        </row>
        <row r="5986">
          <cell r="A5986" t="str">
            <v>YZ5505K0-XL-Non Prime</v>
          </cell>
          <cell r="B5986" t="str">
            <v>YZ5505</v>
          </cell>
        </row>
        <row r="5987">
          <cell r="A5987" t="str">
            <v>YZ5505K0-XS</v>
          </cell>
          <cell r="B5987" t="str">
            <v>YZ5505</v>
          </cell>
        </row>
        <row r="5988">
          <cell r="A5988" t="str">
            <v>YZ5505K0-XS-Non Prime</v>
          </cell>
          <cell r="B5988" t="str">
            <v>YZ5505</v>
          </cell>
        </row>
        <row r="5989">
          <cell r="A5989" t="str">
            <v>YZ5505LB</v>
          </cell>
          <cell r="B5989" t="str">
            <v>YZ5505</v>
          </cell>
        </row>
        <row r="5990">
          <cell r="A5990" t="str">
            <v>YZ5505Lb0XS</v>
          </cell>
          <cell r="B5990" t="str">
            <v>YZ5505</v>
          </cell>
        </row>
        <row r="5991">
          <cell r="A5991" t="str">
            <v>YZ5505Lb0XS-MX</v>
          </cell>
          <cell r="B5991" t="str">
            <v>YZ5505</v>
          </cell>
        </row>
        <row r="5992">
          <cell r="A5992" t="str">
            <v>YZ5505Lb0XS-Non Prime</v>
          </cell>
          <cell r="B5992" t="str">
            <v>YZ5505</v>
          </cell>
        </row>
        <row r="5993">
          <cell r="A5993" t="str">
            <v>YZ5505LbL</v>
          </cell>
          <cell r="B5993" t="str">
            <v>YZ5505</v>
          </cell>
        </row>
        <row r="5994">
          <cell r="A5994" t="str">
            <v>YZ5505LbL-MX</v>
          </cell>
          <cell r="B5994" t="str">
            <v>YZ5505</v>
          </cell>
        </row>
        <row r="5995">
          <cell r="A5995" t="str">
            <v>YZ5505LbL-Non Prime</v>
          </cell>
          <cell r="B5995" t="str">
            <v>YZ5505</v>
          </cell>
        </row>
        <row r="5996">
          <cell r="A5996" t="str">
            <v>YZ5505LbM</v>
          </cell>
          <cell r="B5996" t="str">
            <v>YZ5505</v>
          </cell>
        </row>
        <row r="5997">
          <cell r="A5997" t="str">
            <v>YZ5505LbM-MX</v>
          </cell>
          <cell r="B5997" t="str">
            <v>YZ5505</v>
          </cell>
        </row>
        <row r="5998">
          <cell r="A5998" t="str">
            <v>YZ5505LbM-Non Prime</v>
          </cell>
          <cell r="B5998" t="str">
            <v>YZ5505</v>
          </cell>
        </row>
        <row r="5999">
          <cell r="A5999" t="str">
            <v>YZ5505LbS</v>
          </cell>
          <cell r="B5999" t="str">
            <v>YZ5505</v>
          </cell>
        </row>
        <row r="6000">
          <cell r="A6000" t="str">
            <v>YZ5505LbS-MX</v>
          </cell>
          <cell r="B6000" t="str">
            <v>YZ5505</v>
          </cell>
        </row>
        <row r="6001">
          <cell r="A6001" t="str">
            <v>YZ5505LbS-Non Prime</v>
          </cell>
          <cell r="B6001" t="str">
            <v>YZ5505</v>
          </cell>
        </row>
        <row r="6002">
          <cell r="A6002" t="str">
            <v>YZ5505LbXL</v>
          </cell>
          <cell r="B6002" t="str">
            <v>YZ5505</v>
          </cell>
        </row>
        <row r="6003">
          <cell r="A6003" t="str">
            <v>YZ5505LbXL-MX</v>
          </cell>
          <cell r="B6003" t="str">
            <v>YZ5505</v>
          </cell>
        </row>
        <row r="6004">
          <cell r="A6004" t="str">
            <v>YZ5505LbXL-Non Prime</v>
          </cell>
          <cell r="B6004" t="str">
            <v>YZ5505</v>
          </cell>
        </row>
        <row r="6005">
          <cell r="A6005" t="str">
            <v>YZ5505LbXXL</v>
          </cell>
          <cell r="B6005" t="str">
            <v>YZ5505</v>
          </cell>
        </row>
        <row r="6006">
          <cell r="A6006" t="str">
            <v>YZ5505LbXXL-MX</v>
          </cell>
          <cell r="B6006" t="str">
            <v>YZ5505</v>
          </cell>
        </row>
        <row r="6007">
          <cell r="A6007" t="str">
            <v>YZ5505LbXXL-Non Prime</v>
          </cell>
          <cell r="B6007" t="str">
            <v>YZ5505</v>
          </cell>
        </row>
        <row r="6008">
          <cell r="A6008" t="str">
            <v>YZ5505R0-2X</v>
          </cell>
          <cell r="B6008" t="str">
            <v>YZ5505</v>
          </cell>
        </row>
        <row r="6009">
          <cell r="A6009" t="str">
            <v>YZ5505R0-2X-MX</v>
          </cell>
          <cell r="B6009" t="str">
            <v>YZ5505</v>
          </cell>
        </row>
        <row r="6010">
          <cell r="A6010" t="str">
            <v>YZ5505R0-2X-Non Prime</v>
          </cell>
          <cell r="B6010" t="str">
            <v>YZ5505</v>
          </cell>
        </row>
        <row r="6011">
          <cell r="A6011" t="str">
            <v>YZ5505R0-L</v>
          </cell>
          <cell r="B6011" t="str">
            <v>YZ5505</v>
          </cell>
        </row>
        <row r="6012">
          <cell r="A6012" t="str">
            <v>YZ5505R0-L-GM</v>
          </cell>
          <cell r="B6012" t="str">
            <v>YZ5505</v>
          </cell>
        </row>
        <row r="6013">
          <cell r="A6013" t="str">
            <v>YZ5505R0-L-MX</v>
          </cell>
          <cell r="B6013" t="str">
            <v>YZ5505</v>
          </cell>
        </row>
        <row r="6014">
          <cell r="A6014" t="str">
            <v>YZ5505R0-L-Non Prime</v>
          </cell>
          <cell r="B6014" t="str">
            <v>YZ5505</v>
          </cell>
        </row>
        <row r="6015">
          <cell r="A6015" t="str">
            <v>YZ5505R0-M</v>
          </cell>
          <cell r="B6015" t="str">
            <v>YZ5505</v>
          </cell>
        </row>
        <row r="6016">
          <cell r="A6016" t="str">
            <v>YZ5505R0-M-GM</v>
          </cell>
          <cell r="B6016" t="str">
            <v>YZ5505</v>
          </cell>
        </row>
        <row r="6017">
          <cell r="A6017" t="str">
            <v>YZ5505R0-M-MX</v>
          </cell>
          <cell r="B6017" t="str">
            <v>YZ5505</v>
          </cell>
        </row>
        <row r="6018">
          <cell r="A6018" t="str">
            <v>YZ5505R0-M-Non Prime</v>
          </cell>
          <cell r="B6018" t="str">
            <v>YZ5505</v>
          </cell>
        </row>
        <row r="6019">
          <cell r="A6019" t="str">
            <v>YZ5505R0-S</v>
          </cell>
          <cell r="B6019" t="str">
            <v>YZ5505</v>
          </cell>
        </row>
        <row r="6020">
          <cell r="A6020" t="str">
            <v>YZ5505R0-S-Non Prime</v>
          </cell>
          <cell r="B6020" t="str">
            <v>YZ5505</v>
          </cell>
        </row>
        <row r="6021">
          <cell r="A6021" t="str">
            <v>YZ5505R0-XL</v>
          </cell>
          <cell r="B6021" t="str">
            <v>YZ5505</v>
          </cell>
        </row>
        <row r="6022">
          <cell r="A6022" t="str">
            <v>YZ5505R0-XL-MX</v>
          </cell>
          <cell r="B6022" t="str">
            <v>YZ5505</v>
          </cell>
        </row>
        <row r="6023">
          <cell r="A6023" t="str">
            <v>YZ5505R0-XL-Non Prime</v>
          </cell>
          <cell r="B6023" t="str">
            <v>YZ5505</v>
          </cell>
        </row>
        <row r="6024">
          <cell r="A6024" t="str">
            <v>YZ5505R0-XS</v>
          </cell>
          <cell r="B6024" t="str">
            <v>YZ5505</v>
          </cell>
        </row>
        <row r="6025">
          <cell r="A6025" t="str">
            <v>YZ5505R0-XS-GM</v>
          </cell>
          <cell r="B6025" t="str">
            <v>YZ5505</v>
          </cell>
        </row>
        <row r="6026">
          <cell r="A6026" t="str">
            <v>YZ5505R0-XS-Non Prime</v>
          </cell>
          <cell r="B6026" t="str">
            <v>YZ5505</v>
          </cell>
        </row>
        <row r="6027">
          <cell r="A6027" t="str">
            <v>YZ-6010B0-L</v>
          </cell>
          <cell r="B6027" t="str">
            <v>YZ-6010</v>
          </cell>
        </row>
        <row r="6028">
          <cell r="A6028" t="str">
            <v>YZ-6010B0-XL</v>
          </cell>
          <cell r="B6028" t="str">
            <v>YZ-6010</v>
          </cell>
        </row>
        <row r="6029">
          <cell r="A6029" t="str">
            <v>YZ-6010R6-2XL</v>
          </cell>
          <cell r="B6029" t="str">
            <v>YZ-6010</v>
          </cell>
        </row>
        <row r="6030">
          <cell r="A6030" t="str">
            <v>YZ-6010R6-L</v>
          </cell>
          <cell r="B6030" t="str">
            <v>YZ-6010</v>
          </cell>
        </row>
        <row r="6031">
          <cell r="A6031" t="str">
            <v>YZ7438B04XL</v>
          </cell>
          <cell r="B6031" t="str">
            <v>YZ7438</v>
          </cell>
        </row>
        <row r="6032">
          <cell r="A6032" t="str">
            <v>YZ7438B0L</v>
          </cell>
          <cell r="B6032" t="str">
            <v>YZ7438</v>
          </cell>
        </row>
        <row r="6033">
          <cell r="A6033" t="str">
            <v>YZ7438B0M</v>
          </cell>
          <cell r="B6033" t="str">
            <v>YZ7438</v>
          </cell>
        </row>
        <row r="6034">
          <cell r="A6034" t="str">
            <v>YZ7438B0XL</v>
          </cell>
          <cell r="B6034" t="str">
            <v>YZ7438</v>
          </cell>
        </row>
        <row r="6035">
          <cell r="A6035" t="str">
            <v>YZ7438B0XXL</v>
          </cell>
          <cell r="B6035" t="str">
            <v>YZ7438</v>
          </cell>
        </row>
        <row r="6036">
          <cell r="A6036" t="str">
            <v>YZ7438B0XXXL</v>
          </cell>
          <cell r="B6036" t="str">
            <v>YZ7438</v>
          </cell>
        </row>
        <row r="6037">
          <cell r="A6037" t="str">
            <v>YZ7438K04xL</v>
          </cell>
          <cell r="B6037" t="str">
            <v>YZ7438</v>
          </cell>
        </row>
        <row r="6038">
          <cell r="A6038" t="str">
            <v>YZ7438K0-L</v>
          </cell>
          <cell r="B6038" t="str">
            <v>YZ7438</v>
          </cell>
        </row>
        <row r="6039">
          <cell r="A6039" t="str">
            <v>YZ7438K0M</v>
          </cell>
          <cell r="B6039" t="str">
            <v>YZ7438</v>
          </cell>
        </row>
        <row r="6040">
          <cell r="A6040" t="str">
            <v>YZ7438K0XL</v>
          </cell>
          <cell r="B6040" t="str">
            <v>YZ7438</v>
          </cell>
        </row>
        <row r="6041">
          <cell r="A6041" t="str">
            <v>YZ7438K0XXL</v>
          </cell>
          <cell r="B6041" t="str">
            <v>YZ7438</v>
          </cell>
        </row>
        <row r="6042">
          <cell r="A6042" t="str">
            <v>YZ7438K0XXXL</v>
          </cell>
          <cell r="B6042" t="str">
            <v>YZ7438</v>
          </cell>
        </row>
        <row r="6043">
          <cell r="A6043" t="str">
            <v>YZ-BD16-3XL</v>
          </cell>
          <cell r="B6043" t="str">
            <v>YZ-BD16</v>
          </cell>
        </row>
        <row r="6044">
          <cell r="A6044" t="str">
            <v>YZ-BD16-4XL</v>
          </cell>
          <cell r="B6044" t="str">
            <v>YZ-BD16</v>
          </cell>
        </row>
        <row r="6045">
          <cell r="A6045" t="str">
            <v>YZ-BD16-S</v>
          </cell>
          <cell r="B6045" t="str">
            <v>YZ-BD16</v>
          </cell>
        </row>
        <row r="6046">
          <cell r="A6046" t="str">
            <v>YZ-BD16-XL</v>
          </cell>
          <cell r="B6046" t="str">
            <v>YZ-BD16</v>
          </cell>
        </row>
        <row r="6047">
          <cell r="A6047" t="str">
            <v>YZ-BD1704-K0-2XL</v>
          </cell>
          <cell r="B6047" t="str">
            <v>YZ-BD1704</v>
          </cell>
        </row>
        <row r="6048">
          <cell r="A6048" t="str">
            <v>YZ-BD1704-K0-L</v>
          </cell>
          <cell r="B6048" t="str">
            <v>YZ-BD1704</v>
          </cell>
        </row>
        <row r="6049">
          <cell r="A6049" t="str">
            <v>YZ-BD1704-K0-M</v>
          </cell>
          <cell r="B6049" t="str">
            <v>YZ-BD1704</v>
          </cell>
        </row>
        <row r="6050">
          <cell r="A6050" t="str">
            <v>YZ-BD1704-K0-S</v>
          </cell>
          <cell r="B6050" t="str">
            <v>YZ-BD1704</v>
          </cell>
        </row>
        <row r="6051">
          <cell r="A6051" t="str">
            <v>YZ-BD1704-K0-XL</v>
          </cell>
          <cell r="B6051" t="str">
            <v>YZ-BD1704</v>
          </cell>
        </row>
        <row r="6052">
          <cell r="A6052" t="str">
            <v>YZ-BD1704-K0-XS</v>
          </cell>
          <cell r="B6052" t="str">
            <v>YZ-BD1704</v>
          </cell>
        </row>
        <row r="6053">
          <cell r="A6053" t="str">
            <v>YZ-BS11112R0XL</v>
          </cell>
          <cell r="B6053" t="str">
            <v>YZ-BS11112</v>
          </cell>
        </row>
        <row r="6054">
          <cell r="A6054" t="str">
            <v>YZ-BS5119ZL2XL</v>
          </cell>
          <cell r="B6054" t="str">
            <v>YZ-BShyl5119</v>
          </cell>
        </row>
        <row r="6055">
          <cell r="A6055" t="str">
            <v>YZ-BS5119ZL2XL-GM</v>
          </cell>
          <cell r="B6055" t="str">
            <v>YZ-BShyl5119</v>
          </cell>
        </row>
        <row r="6056">
          <cell r="A6056" t="str">
            <v>YZ-BS5119ZL3XL</v>
          </cell>
          <cell r="B6056" t="str">
            <v>YZ-BShyl5119</v>
          </cell>
        </row>
        <row r="6057">
          <cell r="A6057" t="str">
            <v>YZ-BS5119ZL4XL</v>
          </cell>
          <cell r="B6057" t="str">
            <v>YZ-BShyl5119</v>
          </cell>
        </row>
        <row r="6058">
          <cell r="A6058" t="str">
            <v>YZ-BS5119ZL5XL</v>
          </cell>
          <cell r="B6058" t="str">
            <v>YZ-BShyl5119</v>
          </cell>
        </row>
        <row r="6059">
          <cell r="A6059" t="str">
            <v>YZ-BS5119ZLXL</v>
          </cell>
          <cell r="B6059" t="str">
            <v>YZ-BShyl5119</v>
          </cell>
        </row>
        <row r="6060">
          <cell r="A6060" t="str">
            <v>YZ-BSA160301B02XL</v>
          </cell>
          <cell r="B6060" t="str">
            <v>YZ-BSA160301</v>
          </cell>
        </row>
        <row r="6061">
          <cell r="A6061" t="str">
            <v>YZ-BSA160301B03XL</v>
          </cell>
          <cell r="B6061" t="str">
            <v>YZ-BSA160301</v>
          </cell>
        </row>
        <row r="6062">
          <cell r="A6062" t="str">
            <v>YZ-BSA160301B0L</v>
          </cell>
          <cell r="B6062" t="str">
            <v>YZ-BSA160301</v>
          </cell>
        </row>
        <row r="6063">
          <cell r="A6063" t="str">
            <v>YZ-BSA160301B0M</v>
          </cell>
          <cell r="B6063" t="str">
            <v>YZ-BSA160301</v>
          </cell>
        </row>
        <row r="6064">
          <cell r="A6064" t="str">
            <v>YZ-BSA160301B0XL</v>
          </cell>
          <cell r="B6064" t="str">
            <v>YZ-BSA160301</v>
          </cell>
        </row>
        <row r="6065">
          <cell r="A6065" t="str">
            <v>YZ-BSA160301K02XL</v>
          </cell>
          <cell r="B6065" t="str">
            <v>YZ-BSA160301</v>
          </cell>
        </row>
        <row r="6066">
          <cell r="A6066" t="str">
            <v>YZ-BSA160301K03XL</v>
          </cell>
          <cell r="B6066" t="str">
            <v>YZ-BSA160301</v>
          </cell>
        </row>
        <row r="6067">
          <cell r="A6067" t="str">
            <v>YZ-BSA160301K0L</v>
          </cell>
          <cell r="B6067" t="str">
            <v>YZ-BSA160301</v>
          </cell>
        </row>
        <row r="6068">
          <cell r="A6068" t="str">
            <v>YZ-BSA160301K0M</v>
          </cell>
          <cell r="B6068" t="str">
            <v>YZ-BSA160301</v>
          </cell>
        </row>
        <row r="6069">
          <cell r="A6069" t="str">
            <v>YZ-BSA160301K0XL</v>
          </cell>
          <cell r="B6069" t="str">
            <v>YZ-BSA160301</v>
          </cell>
        </row>
        <row r="6070">
          <cell r="A6070" t="str">
            <v>YZ-BSA160301R02XL</v>
          </cell>
          <cell r="B6070" t="str">
            <v>YZ-BSA160301</v>
          </cell>
        </row>
        <row r="6071">
          <cell r="A6071" t="str">
            <v>YZ-BSA160301R03XL</v>
          </cell>
          <cell r="B6071" t="str">
            <v>YZ-BSA160301</v>
          </cell>
        </row>
        <row r="6072">
          <cell r="A6072" t="str">
            <v>YZ-BSA160301R0L</v>
          </cell>
          <cell r="B6072" t="str">
            <v>YZ-BSA160301</v>
          </cell>
        </row>
        <row r="6073">
          <cell r="A6073" t="str">
            <v>YZ-BSA160301R0M</v>
          </cell>
          <cell r="B6073" t="str">
            <v>YZ-BSA160301</v>
          </cell>
        </row>
        <row r="6074">
          <cell r="A6074" t="str">
            <v>YZ-BSA160301R0XL</v>
          </cell>
          <cell r="B6074" t="str">
            <v>YZ-BSA160301</v>
          </cell>
        </row>
        <row r="6075">
          <cell r="A6075" t="str">
            <v>YZ-BShyl5119K02XL</v>
          </cell>
          <cell r="B6075" t="str">
            <v>YZ-BShyl5119</v>
          </cell>
        </row>
        <row r="6076">
          <cell r="A6076" t="str">
            <v>YZ-BShyl5119K03XL</v>
          </cell>
          <cell r="B6076" t="str">
            <v>YZ-BShyl5119</v>
          </cell>
        </row>
        <row r="6077">
          <cell r="A6077" t="str">
            <v>YZ-BShyl5119K0L</v>
          </cell>
          <cell r="B6077" t="str">
            <v>YZ-BShyl5119</v>
          </cell>
        </row>
        <row r="6078">
          <cell r="A6078" t="str">
            <v>YZ-BShyl5119K0M</v>
          </cell>
          <cell r="B6078" t="str">
            <v>YZ-BShyl5119</v>
          </cell>
        </row>
        <row r="6079">
          <cell r="A6079" t="str">
            <v>YZ-BShyl5119K0XL</v>
          </cell>
          <cell r="B6079" t="str">
            <v>YZ-BShyl5119</v>
          </cell>
        </row>
        <row r="6080">
          <cell r="A6080" t="str">
            <v>YZ-BShyl5119-YH-2XL</v>
          </cell>
          <cell r="B6080" t="str">
            <v>YZ-BShyl5119</v>
          </cell>
        </row>
        <row r="6081">
          <cell r="A6081" t="str">
            <v>YZ-BShyl5119-YH-3XL</v>
          </cell>
          <cell r="B6081" t="str">
            <v>YZ-BShyl5119</v>
          </cell>
        </row>
        <row r="6082">
          <cell r="A6082" t="str">
            <v>YZ-BShyl5119-YH-4XL</v>
          </cell>
          <cell r="B6082" t="str">
            <v>YZ-BShyl5119</v>
          </cell>
        </row>
        <row r="6083">
          <cell r="A6083" t="str">
            <v>YZ-BShyl5119-YH-5XL</v>
          </cell>
          <cell r="B6083" t="str">
            <v>YZ-BShyl5119</v>
          </cell>
        </row>
        <row r="6084">
          <cell r="A6084" t="str">
            <v>YZ-BShyl5119-YH-XL</v>
          </cell>
          <cell r="B6084" t="str">
            <v>YZ-BShyl5119</v>
          </cell>
        </row>
        <row r="6085">
          <cell r="A6085" t="str">
            <v>YZ-BShyl5119-YT-2XL</v>
          </cell>
          <cell r="B6085" t="str">
            <v>YZ-BShyl5119</v>
          </cell>
        </row>
        <row r="6086">
          <cell r="A6086" t="str">
            <v>YZ-BShyl5119-YT-3XL</v>
          </cell>
          <cell r="B6086" t="str">
            <v>YZ-BShyl5119</v>
          </cell>
        </row>
        <row r="6087">
          <cell r="A6087" t="str">
            <v>YZ-BShyl5119-YT-3XL-GM</v>
          </cell>
          <cell r="B6087" t="str">
            <v>YZ-BShyl5119</v>
          </cell>
        </row>
        <row r="6088">
          <cell r="A6088" t="str">
            <v>YZ-BShyl5119-YT-4XL</v>
          </cell>
          <cell r="B6088" t="str">
            <v>YZ-BShyl5119</v>
          </cell>
        </row>
        <row r="6089">
          <cell r="A6089" t="str">
            <v>YZ-BShyl5119-YT-5XL</v>
          </cell>
          <cell r="B6089" t="str">
            <v>YZ-BShyl5119</v>
          </cell>
        </row>
        <row r="6090">
          <cell r="A6090" t="str">
            <v>YZ-BShyl5119-YT-XL</v>
          </cell>
          <cell r="B6090" t="str">
            <v>YZ-BShyl5119</v>
          </cell>
        </row>
        <row r="6091">
          <cell r="A6091" t="str">
            <v>YZ-BSLLHT2XL</v>
          </cell>
          <cell r="B6091" t="str">
            <v>YZ-BSLL</v>
          </cell>
        </row>
        <row r="6092">
          <cell r="A6092" t="str">
            <v>YZ-BSLLHT3XL</v>
          </cell>
          <cell r="B6092" t="str">
            <v>YZ-BSLL</v>
          </cell>
        </row>
        <row r="6093">
          <cell r="A6093" t="str">
            <v>YZ-BSLLHT4XL</v>
          </cell>
          <cell r="B6093" t="str">
            <v>YZ-BSLL</v>
          </cell>
        </row>
        <row r="6094">
          <cell r="A6094" t="str">
            <v>YZ-BSLLHTL</v>
          </cell>
          <cell r="B6094" t="str">
            <v>YZ-BSLL</v>
          </cell>
        </row>
        <row r="6095">
          <cell r="A6095" t="str">
            <v>YZ-BSLLHTM</v>
          </cell>
          <cell r="B6095" t="str">
            <v>YZ-BSLL</v>
          </cell>
        </row>
        <row r="6096">
          <cell r="A6096" t="str">
            <v>YZ-BSLLHTM-GM</v>
          </cell>
          <cell r="B6096" t="str">
            <v>YZ-BSLL</v>
          </cell>
        </row>
        <row r="6097">
          <cell r="A6097" t="str">
            <v>YZ-BSLLHTS</v>
          </cell>
          <cell r="B6097" t="str">
            <v>YZ-BSLL</v>
          </cell>
        </row>
        <row r="6098">
          <cell r="A6098" t="str">
            <v>YZ-BSLLHTXL</v>
          </cell>
          <cell r="B6098" t="str">
            <v>YZ-BSLL</v>
          </cell>
        </row>
        <row r="6099">
          <cell r="A6099" t="str">
            <v>YZ-BSLLIT2XL</v>
          </cell>
          <cell r="B6099" t="str">
            <v>YZ-BSLL</v>
          </cell>
        </row>
        <row r="6100">
          <cell r="A6100" t="str">
            <v>YZ-BSLLIT3XL</v>
          </cell>
          <cell r="B6100" t="str">
            <v>YZ-BSLL</v>
          </cell>
        </row>
        <row r="6101">
          <cell r="A6101" t="str">
            <v>YZ-BSLLIT4XL</v>
          </cell>
          <cell r="B6101" t="str">
            <v>YZ-BSLL</v>
          </cell>
        </row>
        <row r="6102">
          <cell r="A6102" t="str">
            <v>YZ-BSLLITL</v>
          </cell>
          <cell r="B6102" t="str">
            <v>YZ-BSLL</v>
          </cell>
        </row>
        <row r="6103">
          <cell r="A6103" t="str">
            <v>YZ-BSLLITM</v>
          </cell>
          <cell r="B6103" t="str">
            <v>YZ-BSLL</v>
          </cell>
        </row>
        <row r="6104">
          <cell r="A6104" t="str">
            <v>YZ-BSLLITS</v>
          </cell>
          <cell r="B6104" t="str">
            <v>YZ-BSLL</v>
          </cell>
        </row>
        <row r="6105">
          <cell r="A6105" t="str">
            <v>YZ-BSLLITXL</v>
          </cell>
          <cell r="B6105" t="str">
            <v>YZ-BSLL</v>
          </cell>
        </row>
        <row r="6106">
          <cell r="A6106" t="str">
            <v>YZ-BSLLK02XL</v>
          </cell>
          <cell r="B6106" t="str">
            <v>YZ-BSLL</v>
          </cell>
        </row>
        <row r="6107">
          <cell r="A6107" t="str">
            <v>YZ-BSLLK03XL</v>
          </cell>
          <cell r="B6107" t="str">
            <v>YZ-BSLL</v>
          </cell>
        </row>
        <row r="6108">
          <cell r="A6108" t="str">
            <v>YZ-BSLLK04XL</v>
          </cell>
          <cell r="B6108" t="str">
            <v>YZ-BSLL</v>
          </cell>
        </row>
        <row r="6109">
          <cell r="A6109" t="str">
            <v>YZ-BSLLK0L</v>
          </cell>
          <cell r="B6109" t="str">
            <v>YZ-BSLL</v>
          </cell>
        </row>
        <row r="6110">
          <cell r="A6110" t="str">
            <v>YZ-BSLLK0M</v>
          </cell>
          <cell r="B6110" t="str">
            <v>YZ-BSLL</v>
          </cell>
        </row>
        <row r="6111">
          <cell r="A6111" t="str">
            <v>YZ-BSLLK0XL</v>
          </cell>
          <cell r="B6111" t="str">
            <v>YZ-BSLL</v>
          </cell>
        </row>
        <row r="6112">
          <cell r="A6112" t="str">
            <v>YZ-BSY97Z2L</v>
          </cell>
          <cell r="B6112" t="str">
            <v>YZ-BSY97</v>
          </cell>
        </row>
        <row r="6113">
          <cell r="A6113" t="str">
            <v>YZ-BSY97Z2M</v>
          </cell>
          <cell r="B6113" t="str">
            <v>YZ-BSY97</v>
          </cell>
        </row>
        <row r="6114">
          <cell r="A6114" t="str">
            <v>YZ-BSY97Z2XL</v>
          </cell>
          <cell r="B6114" t="str">
            <v>YZ-BSY97</v>
          </cell>
        </row>
        <row r="6115">
          <cell r="A6115" t="str">
            <v>YZ-BSY97Z3L</v>
          </cell>
          <cell r="B6115" t="str">
            <v>YZ-BSY97</v>
          </cell>
        </row>
        <row r="6116">
          <cell r="A6116" t="str">
            <v>YZ-BSY97Z3M</v>
          </cell>
          <cell r="B6116" t="str">
            <v>YZ-BSY97</v>
          </cell>
        </row>
        <row r="6117">
          <cell r="A6117" t="str">
            <v>YZ-BSY97Z3XL</v>
          </cell>
          <cell r="B6117" t="str">
            <v>YZ-BSY97</v>
          </cell>
        </row>
        <row r="6118">
          <cell r="A6118" t="str">
            <v>YZ-BX1443Bl0L</v>
          </cell>
          <cell r="B6118" t="str">
            <v>YZ-BX1443</v>
          </cell>
        </row>
        <row r="6119">
          <cell r="A6119" t="str">
            <v>YZ-BX1443Bl2L</v>
          </cell>
          <cell r="B6119" t="str">
            <v>YZ-BX1443</v>
          </cell>
        </row>
        <row r="6120">
          <cell r="A6120" t="str">
            <v>YZ-BX1443Bl3XL</v>
          </cell>
          <cell r="B6120" t="str">
            <v>YZ-BX1443</v>
          </cell>
        </row>
        <row r="6121">
          <cell r="A6121" t="str">
            <v>YZ-BX1443BlM</v>
          </cell>
          <cell r="B6121" t="str">
            <v>YZ-BX1443</v>
          </cell>
        </row>
        <row r="6122">
          <cell r="A6122" t="str">
            <v>YZ-BX1443BlXL</v>
          </cell>
          <cell r="B6122" t="str">
            <v>YZ-BX1443</v>
          </cell>
        </row>
        <row r="6123">
          <cell r="A6123" t="str">
            <v>YZ-BX1443Cl0L</v>
          </cell>
          <cell r="B6123" t="str">
            <v>YZ-BX1443</v>
          </cell>
        </row>
        <row r="6124">
          <cell r="A6124" t="str">
            <v>YZ-BX1443Cl2L</v>
          </cell>
          <cell r="B6124" t="str">
            <v>YZ-BX1443</v>
          </cell>
        </row>
        <row r="6125">
          <cell r="A6125" t="str">
            <v>YZ-BX1443Cl3L</v>
          </cell>
          <cell r="B6125" t="str">
            <v>YZ-BX1443</v>
          </cell>
        </row>
        <row r="6126">
          <cell r="A6126" t="str">
            <v>YZ-BX1443ClM</v>
          </cell>
          <cell r="B6126" t="str">
            <v>YZ-BX1443</v>
          </cell>
        </row>
        <row r="6127">
          <cell r="A6127" t="str">
            <v>YZ-BX1443ClXL</v>
          </cell>
          <cell r="B6127" t="str">
            <v>YZ-BX1443</v>
          </cell>
        </row>
        <row r="6128">
          <cell r="A6128" t="str">
            <v>YZ-BX1443Pi0L</v>
          </cell>
          <cell r="B6128" t="str">
            <v>YZ-BX1443</v>
          </cell>
        </row>
        <row r="6129">
          <cell r="A6129" t="str">
            <v>YZ-BX1443Pi2L</v>
          </cell>
          <cell r="B6129" t="str">
            <v>YZ-BX1443</v>
          </cell>
        </row>
        <row r="6130">
          <cell r="A6130" t="str">
            <v>YZ-BX1443Pi3L</v>
          </cell>
          <cell r="B6130" t="str">
            <v>YZ-BX1443</v>
          </cell>
        </row>
        <row r="6131">
          <cell r="A6131" t="str">
            <v>YZ-BX1443PiM</v>
          </cell>
          <cell r="B6131" t="str">
            <v>YZ-BX1443</v>
          </cell>
        </row>
        <row r="6132">
          <cell r="A6132" t="str">
            <v>YZ-BX1443PiXL</v>
          </cell>
          <cell r="B6132" t="str">
            <v>YZ-BX1443</v>
          </cell>
        </row>
        <row r="6133">
          <cell r="A6133" t="str">
            <v>YZ-BZ1707-B0-2XL</v>
          </cell>
          <cell r="B6133" t="str">
            <v>YZ-BZ1707</v>
          </cell>
        </row>
        <row r="6134">
          <cell r="A6134" t="str">
            <v>YZ-BZ1707-B0-L</v>
          </cell>
          <cell r="B6134" t="str">
            <v>YZ-BZ1707</v>
          </cell>
        </row>
        <row r="6135">
          <cell r="A6135" t="str">
            <v>YZ-BZ1707-B0-M</v>
          </cell>
          <cell r="B6135" t="str">
            <v>YZ-BZ1707</v>
          </cell>
        </row>
        <row r="6136">
          <cell r="A6136" t="str">
            <v>YZ-BZ1707-B0-S</v>
          </cell>
          <cell r="B6136" t="str">
            <v>YZ-BZ1707</v>
          </cell>
        </row>
        <row r="6137">
          <cell r="A6137" t="str">
            <v>YZ-BZ1707-B0-XL</v>
          </cell>
          <cell r="B6137" t="str">
            <v>YZ-BZ1707</v>
          </cell>
        </row>
        <row r="6138">
          <cell r="A6138" t="str">
            <v>YZ-BZ1707-B0-XS</v>
          </cell>
          <cell r="B6138" t="str">
            <v>YZ-BZ1707</v>
          </cell>
        </row>
        <row r="6139">
          <cell r="A6139" t="str">
            <v>YZ-CA1245001L</v>
          </cell>
          <cell r="B6139" t="str">
            <v>YZ-CA1245</v>
          </cell>
        </row>
        <row r="6140">
          <cell r="A6140" t="str">
            <v>YZ-CA1245003L</v>
          </cell>
          <cell r="B6140" t="str">
            <v>YZ-CA1245</v>
          </cell>
        </row>
        <row r="6141">
          <cell r="A6141" t="str">
            <v>YZ-CA124500L</v>
          </cell>
          <cell r="B6141" t="str">
            <v>YZ-CA1245</v>
          </cell>
        </row>
        <row r="6142">
          <cell r="A6142" t="str">
            <v>YZ-CA124500M</v>
          </cell>
          <cell r="B6142" t="str">
            <v>YZ-CA1245</v>
          </cell>
        </row>
        <row r="6143">
          <cell r="A6143" t="str">
            <v>YZ-CA1245G01L</v>
          </cell>
          <cell r="B6143" t="str">
            <v>YZ-CA1245</v>
          </cell>
        </row>
        <row r="6144">
          <cell r="A6144" t="str">
            <v>YZ-CA1245G02L</v>
          </cell>
          <cell r="B6144" t="str">
            <v>YZ-CA1245</v>
          </cell>
        </row>
        <row r="6145">
          <cell r="A6145" t="str">
            <v>YZ-CA1245G03L</v>
          </cell>
          <cell r="B6145" t="str">
            <v>YZ-CA1245</v>
          </cell>
        </row>
        <row r="6146">
          <cell r="A6146" t="str">
            <v>YZ-CA1245G0L</v>
          </cell>
          <cell r="B6146" t="str">
            <v>YZ-CA1245</v>
          </cell>
        </row>
        <row r="6147">
          <cell r="A6147" t="str">
            <v>YZ-CA1245G0M</v>
          </cell>
          <cell r="B6147" t="str">
            <v>YZ-CA1245</v>
          </cell>
        </row>
        <row r="6148">
          <cell r="A6148" t="str">
            <v>YZ-CA1245W01L</v>
          </cell>
          <cell r="B6148" t="str">
            <v>YZ-CA1245</v>
          </cell>
        </row>
        <row r="6149">
          <cell r="A6149" t="str">
            <v>YZ-CA1245W02L</v>
          </cell>
          <cell r="B6149" t="str">
            <v>YZ-CA1245</v>
          </cell>
        </row>
        <row r="6150">
          <cell r="A6150" t="str">
            <v>YZ-CA1245W03L</v>
          </cell>
          <cell r="B6150" t="str">
            <v>YZ-CA1245</v>
          </cell>
        </row>
        <row r="6151">
          <cell r="A6151" t="str">
            <v>YZ-CA1245W0L</v>
          </cell>
          <cell r="B6151" t="str">
            <v>YZ-CA1245</v>
          </cell>
        </row>
        <row r="6152">
          <cell r="A6152" t="str">
            <v>YZ-CA1245W0M</v>
          </cell>
          <cell r="B6152" t="str">
            <v>YZ-CA1245</v>
          </cell>
        </row>
        <row r="6153">
          <cell r="A6153" t="str">
            <v>YZ-CA160301K02XL</v>
          </cell>
          <cell r="B6153" t="str">
            <v>YZ-CA160301</v>
          </cell>
        </row>
        <row r="6154">
          <cell r="A6154" t="str">
            <v>YZ-CA160301K0L</v>
          </cell>
          <cell r="B6154" t="str">
            <v>YZ-CA160301</v>
          </cell>
        </row>
        <row r="6155">
          <cell r="A6155" t="str">
            <v>YZ-CA160301K0M</v>
          </cell>
          <cell r="B6155" t="str">
            <v>YZ-CA160301</v>
          </cell>
        </row>
        <row r="6156">
          <cell r="A6156" t="str">
            <v>YZ-CA160301K0XL</v>
          </cell>
          <cell r="B6156" t="str">
            <v>YZ-CA160301</v>
          </cell>
        </row>
        <row r="6157">
          <cell r="A6157" t="str">
            <v>YZ-CA2000-2XL</v>
          </cell>
          <cell r="B6157" t="str">
            <v>YZ-CA2000</v>
          </cell>
        </row>
        <row r="6158">
          <cell r="A6158" t="str">
            <v>YZ-CA2000-3XL</v>
          </cell>
          <cell r="B6158" t="str">
            <v>YZ-CA2000</v>
          </cell>
        </row>
        <row r="6159">
          <cell r="A6159" t="str">
            <v>YZ-CA2000-M</v>
          </cell>
          <cell r="B6159" t="str">
            <v>YZ-CA2000</v>
          </cell>
        </row>
        <row r="6160">
          <cell r="A6160" t="str">
            <v>YZ-CA2000-XL</v>
          </cell>
          <cell r="B6160" t="str">
            <v>YZ-CA2000</v>
          </cell>
        </row>
        <row r="6161">
          <cell r="A6161" t="str">
            <v>YZ-CA233-K0-XS</v>
          </cell>
          <cell r="B6161" t="str">
            <v>YZ-CA233</v>
          </cell>
        </row>
        <row r="6162">
          <cell r="A6162" t="str">
            <v>YZ-CA30CH-K0-L</v>
          </cell>
          <cell r="B6162" t="str">
            <v>YZ-CA30CH</v>
          </cell>
        </row>
        <row r="6163">
          <cell r="A6163" t="str">
            <v>YZ-CA30CH-K0-M</v>
          </cell>
          <cell r="B6163" t="str">
            <v>YZ-CA30CH</v>
          </cell>
        </row>
        <row r="6164">
          <cell r="A6164" t="str">
            <v>YZ-CA30CH-L</v>
          </cell>
          <cell r="B6164" t="str">
            <v>YZ-CA30CH</v>
          </cell>
        </row>
        <row r="6165">
          <cell r="A6165" t="str">
            <v>YZ-CA30CH-M</v>
          </cell>
          <cell r="B6165" t="str">
            <v>YZ-CA30CH</v>
          </cell>
        </row>
        <row r="6166">
          <cell r="A6166" t="str">
            <v>YZ-CA30CH-S</v>
          </cell>
          <cell r="B6166" t="str">
            <v>YZ-CA30CH</v>
          </cell>
        </row>
        <row r="6167">
          <cell r="A6167" t="str">
            <v>YZ-CA30CH-XL</v>
          </cell>
          <cell r="B6167" t="str">
            <v>YZ-CA30CH</v>
          </cell>
        </row>
        <row r="6168">
          <cell r="A6168" t="str">
            <v>YZ-CAA160301K03XL</v>
          </cell>
          <cell r="B6168" t="str">
            <v>YZ-CAA160301</v>
          </cell>
        </row>
        <row r="6169">
          <cell r="A6169" t="str">
            <v>YZ-CAY97Z2M</v>
          </cell>
          <cell r="B6169" t="str">
            <v>YZ-CAY97</v>
          </cell>
        </row>
        <row r="6170">
          <cell r="A6170" t="str">
            <v>YZ-CAY97Z2XL</v>
          </cell>
          <cell r="B6170" t="str">
            <v>YZ-CAY97</v>
          </cell>
        </row>
        <row r="6171">
          <cell r="A6171" t="str">
            <v>YZ-CF41998-BU-XL</v>
          </cell>
          <cell r="B6171" t="str">
            <v>YZ-CF41998</v>
          </cell>
        </row>
        <row r="6172">
          <cell r="A6172" t="str">
            <v>YZ-CFAM005-ARGR-M</v>
          </cell>
          <cell r="B6172" t="str">
            <v>YZ-CFAM005</v>
          </cell>
        </row>
        <row r="6173">
          <cell r="A6173" t="str">
            <v>YZ-CFAM005-LABUGR-L</v>
          </cell>
          <cell r="B6173" t="str">
            <v>YZ-CFAM005</v>
          </cell>
        </row>
        <row r="6174">
          <cell r="A6174" t="str">
            <v>YZ-CFAM005-LABUGR-M</v>
          </cell>
          <cell r="B6174" t="str">
            <v>YZ-CFAM005</v>
          </cell>
        </row>
        <row r="6175">
          <cell r="A6175" t="str">
            <v>YZ-CFAM005-LABUGR-S</v>
          </cell>
          <cell r="B6175" t="str">
            <v>YZ-CFAM005</v>
          </cell>
        </row>
        <row r="6176">
          <cell r="A6176" t="str">
            <v>YZ-CL0001-R0-XS</v>
          </cell>
          <cell r="B6176" t="str">
            <v>YZ-CL0001</v>
          </cell>
        </row>
        <row r="6177">
          <cell r="A6177" t="str">
            <v>YZ-CL0001-R1-S</v>
          </cell>
          <cell r="B6177" t="str">
            <v>YZ-CL0001</v>
          </cell>
        </row>
        <row r="6178">
          <cell r="A6178" t="str">
            <v>YZ-CL0001-R2-M</v>
          </cell>
          <cell r="B6178" t="str">
            <v>YZ-CL0001</v>
          </cell>
        </row>
        <row r="6179">
          <cell r="A6179" t="str">
            <v>YZ-CL0001-R3-L</v>
          </cell>
          <cell r="B6179" t="str">
            <v>YZ-CL0001</v>
          </cell>
        </row>
        <row r="6180">
          <cell r="A6180" t="str">
            <v>YZ-CL0001-R4-XL</v>
          </cell>
          <cell r="B6180" t="str">
            <v>YZ-CL0001</v>
          </cell>
        </row>
        <row r="6181">
          <cell r="A6181" t="str">
            <v>YZ-CL0393-B0-L</v>
          </cell>
          <cell r="B6181" t="str">
            <v>YZ-CL0393</v>
          </cell>
        </row>
        <row r="6182">
          <cell r="A6182" t="str">
            <v>YZ-CL0393-B0-M</v>
          </cell>
          <cell r="B6182" t="str">
            <v>YZ-CL0393</v>
          </cell>
        </row>
        <row r="6183">
          <cell r="A6183" t="str">
            <v>YZ-CL0393-B0-XL</v>
          </cell>
          <cell r="B6183" t="str">
            <v>YZ-CL0393</v>
          </cell>
        </row>
        <row r="6184">
          <cell r="A6184" t="str">
            <v>YZ-CL060-L</v>
          </cell>
          <cell r="B6184" t="str">
            <v>YZ-CL060</v>
          </cell>
        </row>
        <row r="6185">
          <cell r="A6185" t="str">
            <v>YZ-CL060-XL</v>
          </cell>
          <cell r="B6185" t="str">
            <v>YZ-CL060</v>
          </cell>
        </row>
        <row r="6186">
          <cell r="A6186" t="str">
            <v>YZ-CL1609-MU-L</v>
          </cell>
          <cell r="B6186" t="str">
            <v>YZ-CL1609</v>
          </cell>
        </row>
        <row r="6187">
          <cell r="A6187" t="str">
            <v>YZ-CL1609-MU-M</v>
          </cell>
          <cell r="B6187" t="str">
            <v>YZ-CL1609</v>
          </cell>
        </row>
        <row r="6188">
          <cell r="A6188" t="str">
            <v>YZ-CL1609-MU-S</v>
          </cell>
          <cell r="B6188" t="str">
            <v>YZ-CL1609</v>
          </cell>
        </row>
        <row r="6189">
          <cell r="A6189" t="str">
            <v>YZ-CL1609-MU-XL</v>
          </cell>
          <cell r="B6189" t="str">
            <v>YZ-CL1609</v>
          </cell>
        </row>
        <row r="6190">
          <cell r="A6190" t="str">
            <v>YZ-CL1704-B0-S</v>
          </cell>
          <cell r="B6190" t="str">
            <v>YZ-CL1704</v>
          </cell>
        </row>
        <row r="6191">
          <cell r="A6191" t="str">
            <v>YZ-CL1704-G0-L</v>
          </cell>
          <cell r="B6191" t="str">
            <v>YZ-CL1704</v>
          </cell>
        </row>
        <row r="6192">
          <cell r="A6192" t="str">
            <v>YZ-CL1704-G0-M</v>
          </cell>
          <cell r="B6192" t="str">
            <v>YZ-CL1704</v>
          </cell>
        </row>
        <row r="6193">
          <cell r="A6193" t="str">
            <v>YZ-CL1704-G0-S</v>
          </cell>
          <cell r="B6193" t="str">
            <v>YZ-CL1704</v>
          </cell>
        </row>
        <row r="6194">
          <cell r="A6194" t="str">
            <v>YZ-CL1704-G0-XL</v>
          </cell>
          <cell r="B6194" t="str">
            <v>YZ-CL1704</v>
          </cell>
        </row>
        <row r="6195">
          <cell r="A6195" t="str">
            <v>YZ-CL1704-R0-M</v>
          </cell>
          <cell r="B6195" t="str">
            <v>YZ-CL1704</v>
          </cell>
        </row>
        <row r="6196">
          <cell r="A6196" t="str">
            <v>YZ-CL1704-R0-S</v>
          </cell>
          <cell r="B6196" t="str">
            <v>YZ-CL1704</v>
          </cell>
        </row>
        <row r="6197">
          <cell r="A6197" t="str">
            <v>YZ-CL1717-W0-L</v>
          </cell>
          <cell r="B6197" t="str">
            <v>YZ-CL1717</v>
          </cell>
        </row>
        <row r="6198">
          <cell r="A6198" t="str">
            <v>YZ-CL1717-W0-M</v>
          </cell>
          <cell r="B6198" t="str">
            <v>YZ-CL1717</v>
          </cell>
        </row>
        <row r="6199">
          <cell r="A6199" t="str">
            <v>YZ-CL1717-W0-S</v>
          </cell>
          <cell r="B6199" t="str">
            <v>YZ-CL1717</v>
          </cell>
        </row>
        <row r="6200">
          <cell r="A6200" t="str">
            <v>YZ-CL7042-R0-L</v>
          </cell>
          <cell r="B6200" t="str">
            <v>YZ-CL7042</v>
          </cell>
        </row>
        <row r="6201">
          <cell r="A6201" t="str">
            <v>YZ-CL7042-R0-M</v>
          </cell>
          <cell r="B6201" t="str">
            <v>YZ-CL7042</v>
          </cell>
        </row>
        <row r="6202">
          <cell r="A6202" t="str">
            <v>YZ-CL7042-ZL-M</v>
          </cell>
          <cell r="B6202" t="str">
            <v>YZ-CL7042</v>
          </cell>
        </row>
        <row r="6203">
          <cell r="A6203" t="str">
            <v>YZ-CL912-BD-L</v>
          </cell>
          <cell r="B6203" t="str">
            <v>YZ-CL912</v>
          </cell>
        </row>
        <row r="6204">
          <cell r="A6204" t="str">
            <v>YZ-CL912-BD-M</v>
          </cell>
          <cell r="B6204" t="str">
            <v>YZ-CL912</v>
          </cell>
        </row>
        <row r="6205">
          <cell r="A6205" t="str">
            <v>YZ-CL912-BD-XL</v>
          </cell>
          <cell r="B6205" t="str">
            <v>YZ-CL912</v>
          </cell>
        </row>
        <row r="6206">
          <cell r="A6206" t="str">
            <v>YZ-CL912-BS-L</v>
          </cell>
          <cell r="B6206" t="str">
            <v>YZ-CL912</v>
          </cell>
        </row>
        <row r="6207">
          <cell r="A6207" t="str">
            <v>YZ-CL912-BS-M</v>
          </cell>
          <cell r="B6207" t="str">
            <v>YZ-CL912</v>
          </cell>
        </row>
        <row r="6208">
          <cell r="A6208" t="str">
            <v>YZ-CL912-FB-L</v>
          </cell>
          <cell r="B6208" t="str">
            <v>YZ-CL912</v>
          </cell>
        </row>
        <row r="6209">
          <cell r="A6209" t="str">
            <v>YZ-CL912-FB-M</v>
          </cell>
          <cell r="B6209" t="str">
            <v>YZ-CL912</v>
          </cell>
        </row>
        <row r="6210">
          <cell r="A6210" t="str">
            <v>YZ-CL912-FB-S</v>
          </cell>
          <cell r="B6210" t="str">
            <v>YZ-CL912</v>
          </cell>
        </row>
        <row r="6211">
          <cell r="A6211" t="str">
            <v>YZ-CL912-FB-XL</v>
          </cell>
          <cell r="B6211" t="str">
            <v>YZ-CL912</v>
          </cell>
        </row>
        <row r="6212">
          <cell r="A6212" t="str">
            <v>YZ-CL912-K0-L</v>
          </cell>
          <cell r="B6212" t="str">
            <v>YZ-CL912</v>
          </cell>
        </row>
        <row r="6213">
          <cell r="A6213" t="str">
            <v>YZ-CL912-K0-M</v>
          </cell>
          <cell r="B6213" t="str">
            <v>YZ-CL912</v>
          </cell>
        </row>
        <row r="6214">
          <cell r="A6214" t="str">
            <v>YZ-CL912-K0-S</v>
          </cell>
          <cell r="B6214" t="str">
            <v>YZ-CL912</v>
          </cell>
        </row>
        <row r="6215">
          <cell r="A6215" t="str">
            <v>YZ-CL912-K0-XL</v>
          </cell>
          <cell r="B6215" t="str">
            <v>YZ-CL912</v>
          </cell>
        </row>
        <row r="6216">
          <cell r="A6216" t="str">
            <v>YZ-CL912-R6-M</v>
          </cell>
          <cell r="B6216" t="str">
            <v>YZ-CL912</v>
          </cell>
        </row>
        <row r="6217">
          <cell r="A6217" t="str">
            <v>YZ-CL912-W0-L</v>
          </cell>
          <cell r="B6217" t="str">
            <v>YZ-CL912</v>
          </cell>
        </row>
        <row r="6218">
          <cell r="A6218" t="str">
            <v>YZ-CL912-W0-M</v>
          </cell>
          <cell r="B6218" t="str">
            <v>YZ-CL912</v>
          </cell>
        </row>
        <row r="6219">
          <cell r="A6219" t="str">
            <v>YZ-CLD072-K0-3XL</v>
          </cell>
          <cell r="B6219" t="str">
            <v>YZ-CLD072</v>
          </cell>
        </row>
        <row r="6220">
          <cell r="A6220" t="str">
            <v>YZ-CLD072-K0-L</v>
          </cell>
          <cell r="B6220" t="str">
            <v>YZ-CLD072</v>
          </cell>
        </row>
        <row r="6221">
          <cell r="A6221" t="str">
            <v>YZ-CLD072-K0-M</v>
          </cell>
          <cell r="B6221" t="str">
            <v>YZ-CLD072</v>
          </cell>
        </row>
        <row r="6222">
          <cell r="A6222" t="str">
            <v>YZ-CLD072-K0-S</v>
          </cell>
          <cell r="B6222" t="str">
            <v>YZ-CLD072</v>
          </cell>
        </row>
        <row r="6223">
          <cell r="A6223" t="str">
            <v>YZ-CLD072-K0-XL</v>
          </cell>
          <cell r="B6223" t="str">
            <v>YZ-CLD072</v>
          </cell>
        </row>
        <row r="6224">
          <cell r="A6224" t="str">
            <v>YZ-CLD072-K0-XXL</v>
          </cell>
          <cell r="B6224" t="str">
            <v>YZ-CLD072</v>
          </cell>
        </row>
        <row r="6225">
          <cell r="A6225" t="str">
            <v>YZ-CLD072-MU-M</v>
          </cell>
          <cell r="B6225" t="str">
            <v>YZ-CLD072</v>
          </cell>
        </row>
        <row r="6226">
          <cell r="A6226" t="str">
            <v>YZ-CLD072-MU-S</v>
          </cell>
          <cell r="B6226" t="str">
            <v>YZ-CLD072</v>
          </cell>
        </row>
        <row r="6227">
          <cell r="A6227" t="str">
            <v>YZ-CLD072-W0-L</v>
          </cell>
          <cell r="B6227" t="str">
            <v>YZ-CLD072</v>
          </cell>
        </row>
        <row r="6228">
          <cell r="A6228" t="str">
            <v>YZ-CLD072-W0-M</v>
          </cell>
          <cell r="B6228" t="str">
            <v>YZ-CLD072</v>
          </cell>
        </row>
        <row r="6229">
          <cell r="A6229" t="str">
            <v>YZ-CLFZ1766-R0-L</v>
          </cell>
          <cell r="B6229" t="str">
            <v>YZ-CLFZ1766</v>
          </cell>
        </row>
        <row r="6230">
          <cell r="A6230" t="str">
            <v>YZ-CLFZ1766-R0-M</v>
          </cell>
          <cell r="B6230" t="str">
            <v>YZ-CLFZ1766</v>
          </cell>
        </row>
        <row r="6231">
          <cell r="A6231" t="str">
            <v>YZ-CLFZ1766-R0-S</v>
          </cell>
          <cell r="B6231" t="str">
            <v>YZ-CLFZ1766</v>
          </cell>
        </row>
        <row r="6232">
          <cell r="A6232" t="str">
            <v>YZ-CLFZ1766-R0-XL</v>
          </cell>
          <cell r="B6232" t="str">
            <v>YZ-CLFZ1766</v>
          </cell>
        </row>
        <row r="6233">
          <cell r="A6233" t="str">
            <v>YZ-CLNK78-B6-L</v>
          </cell>
          <cell r="B6233" t="str">
            <v>YZ-CLNK78</v>
          </cell>
        </row>
        <row r="6234">
          <cell r="A6234" t="str">
            <v>YZ-CLNK78-B6-M</v>
          </cell>
          <cell r="B6234" t="str">
            <v>YZ-CLNK78</v>
          </cell>
        </row>
        <row r="6235">
          <cell r="A6235" t="str">
            <v>YZ-CLNK78-BD-M</v>
          </cell>
          <cell r="B6235" t="str">
            <v>YZ-CLNK78</v>
          </cell>
        </row>
        <row r="6236">
          <cell r="A6236" t="str">
            <v>YZ-CLNK78-K0-M</v>
          </cell>
          <cell r="B6236" t="str">
            <v>YZ-CLNK78</v>
          </cell>
        </row>
        <row r="6237">
          <cell r="A6237" t="str">
            <v>YZ-CLNK78-W0-L</v>
          </cell>
          <cell r="B6237" t="str">
            <v>YZ-CLNK78</v>
          </cell>
        </row>
        <row r="6238">
          <cell r="A6238" t="str">
            <v>YZ-CLNK78-W0-M</v>
          </cell>
          <cell r="B6238" t="str">
            <v>YZ-CLNK78</v>
          </cell>
        </row>
        <row r="6239">
          <cell r="A6239" t="str">
            <v>YZ-DB1443Gr2XL</v>
          </cell>
          <cell r="B6239" t="str">
            <v>YZ-BX1443</v>
          </cell>
        </row>
        <row r="6240">
          <cell r="A6240" t="str">
            <v>YZ-DB1443Gr3XL</v>
          </cell>
          <cell r="B6240" t="str">
            <v>YZ-BX1443</v>
          </cell>
        </row>
        <row r="6241">
          <cell r="A6241" t="str">
            <v>YZ-DB1443GrL</v>
          </cell>
          <cell r="B6241" t="str">
            <v>YZ-BX1443</v>
          </cell>
        </row>
        <row r="6242">
          <cell r="A6242" t="str">
            <v>YZ-DB1443GrM</v>
          </cell>
          <cell r="B6242" t="str">
            <v>YZ-BX1443</v>
          </cell>
        </row>
        <row r="6243">
          <cell r="A6243" t="str">
            <v>YZ-DB1443GrXL</v>
          </cell>
          <cell r="B6243" t="str">
            <v>YZ-BX1443</v>
          </cell>
        </row>
        <row r="6244">
          <cell r="A6244" t="str">
            <v>YZ-FQ008G11L</v>
          </cell>
          <cell r="B6244" t="str">
            <v>YZ-FQ008</v>
          </cell>
        </row>
        <row r="6245">
          <cell r="A6245" t="str">
            <v>YZ-FQ008G12L</v>
          </cell>
          <cell r="B6245" t="str">
            <v>YZ-FQ008</v>
          </cell>
        </row>
        <row r="6246">
          <cell r="A6246" t="str">
            <v>YZ-FQ008G13L</v>
          </cell>
          <cell r="B6246" t="str">
            <v>YZ-FQ008</v>
          </cell>
        </row>
        <row r="6247">
          <cell r="A6247" t="str">
            <v>YZ-FQ008G1L</v>
          </cell>
          <cell r="B6247" t="str">
            <v>YZ-FQ008</v>
          </cell>
        </row>
        <row r="6248">
          <cell r="A6248" t="str">
            <v>YZ-FQ008G1M</v>
          </cell>
          <cell r="B6248" t="str">
            <v>YZ-FQ008</v>
          </cell>
        </row>
        <row r="6249">
          <cell r="A6249" t="str">
            <v>YZ-FQ008K01L</v>
          </cell>
          <cell r="B6249" t="str">
            <v>YZ-FQ008</v>
          </cell>
        </row>
        <row r="6250">
          <cell r="A6250" t="str">
            <v>YZ-FQ008K02L</v>
          </cell>
          <cell r="B6250" t="str">
            <v>YZ-FQ008</v>
          </cell>
        </row>
        <row r="6251">
          <cell r="A6251" t="str">
            <v>YZ-FQ008K03L</v>
          </cell>
          <cell r="B6251" t="str">
            <v>YZ-FQ008</v>
          </cell>
        </row>
        <row r="6252">
          <cell r="A6252" t="str">
            <v>YZ-FQ008K0M</v>
          </cell>
          <cell r="B6252" t="str">
            <v>YZ-FQ008</v>
          </cell>
        </row>
        <row r="6253">
          <cell r="A6253" t="str">
            <v>YZ-FQ008R22L</v>
          </cell>
          <cell r="B6253" t="str">
            <v>YZ-FQ008</v>
          </cell>
        </row>
        <row r="6254">
          <cell r="A6254" t="str">
            <v>YZ-FQ008R23L</v>
          </cell>
          <cell r="B6254" t="str">
            <v>YZ-FQ008</v>
          </cell>
        </row>
        <row r="6255">
          <cell r="A6255" t="str">
            <v>YZ-HE13037EZ1L</v>
          </cell>
          <cell r="B6255" t="str">
            <v>YZ-HE13037</v>
          </cell>
        </row>
        <row r="6256">
          <cell r="A6256" t="str">
            <v>YZ-HE13037EZ1L-MX</v>
          </cell>
          <cell r="B6256" t="str">
            <v>YZ-HE13037</v>
          </cell>
        </row>
        <row r="6257">
          <cell r="A6257" t="str">
            <v>YZ-HE13037EZ2L</v>
          </cell>
          <cell r="B6257" t="str">
            <v>YZ-HE13037</v>
          </cell>
        </row>
        <row r="6258">
          <cell r="A6258" t="str">
            <v>YZ-HE13037EZ3L</v>
          </cell>
          <cell r="B6258" t="str">
            <v>YZ-HE13037</v>
          </cell>
        </row>
        <row r="6259">
          <cell r="A6259" t="str">
            <v>YZ-HE13037EZ4L</v>
          </cell>
          <cell r="B6259" t="str">
            <v>YZ-HE13037</v>
          </cell>
        </row>
        <row r="6260">
          <cell r="A6260" t="str">
            <v>YZ-HE13037EZ5L</v>
          </cell>
          <cell r="B6260" t="str">
            <v>YZ-HE13037</v>
          </cell>
        </row>
        <row r="6261">
          <cell r="A6261" t="str">
            <v>YZ-HE13037EZ6L</v>
          </cell>
          <cell r="B6261" t="str">
            <v>YZ-HE13037</v>
          </cell>
        </row>
        <row r="6262">
          <cell r="A6262" t="str">
            <v>YZ-HE13037EZ6L-GM</v>
          </cell>
          <cell r="B6262" t="str">
            <v>YZ-HE13037</v>
          </cell>
        </row>
        <row r="6263">
          <cell r="A6263" t="str">
            <v>YZ-HE13037EZ7L</v>
          </cell>
          <cell r="B6263" t="str">
            <v>YZ-HE13037</v>
          </cell>
        </row>
        <row r="6264">
          <cell r="A6264" t="str">
            <v>YZ-HE13037EZ8L</v>
          </cell>
          <cell r="B6264" t="str">
            <v>YZ-HE13037</v>
          </cell>
        </row>
        <row r="6265">
          <cell r="A6265" t="str">
            <v>YZ-HE13037EZ8L-GM</v>
          </cell>
          <cell r="B6265" t="str">
            <v>YZ-HE13037</v>
          </cell>
        </row>
        <row r="6266">
          <cell r="A6266" t="str">
            <v>YZ-HE13037EZ9L</v>
          </cell>
          <cell r="B6266" t="str">
            <v>YZ-HE13037</v>
          </cell>
        </row>
        <row r="6267">
          <cell r="A6267" t="str">
            <v>YZ-HE13037Or1L</v>
          </cell>
          <cell r="B6267" t="str">
            <v>YZ-HE13037</v>
          </cell>
        </row>
        <row r="6268">
          <cell r="A6268" t="str">
            <v>YZ-HE13037Or1L-MX</v>
          </cell>
          <cell r="B6268" t="str">
            <v>YZ-HE13037</v>
          </cell>
        </row>
        <row r="6269">
          <cell r="A6269" t="str">
            <v>YZ-HE13037Or2L</v>
          </cell>
          <cell r="B6269" t="str">
            <v>YZ-HE13037</v>
          </cell>
        </row>
        <row r="6270">
          <cell r="A6270" t="str">
            <v>YZ-HE13037Or3L</v>
          </cell>
          <cell r="B6270" t="str">
            <v>YZ-HE13037</v>
          </cell>
        </row>
        <row r="6271">
          <cell r="A6271" t="str">
            <v>YZ-HE13037Or4L</v>
          </cell>
          <cell r="B6271" t="str">
            <v>YZ-HE13037</v>
          </cell>
        </row>
        <row r="6272">
          <cell r="A6272" t="str">
            <v>YZ-HE13037Or5L</v>
          </cell>
          <cell r="B6272" t="str">
            <v>YZ-HE13037</v>
          </cell>
        </row>
        <row r="6273">
          <cell r="A6273" t="str">
            <v>YZ-HE13037Or6L</v>
          </cell>
          <cell r="B6273" t="str">
            <v>YZ-HE13037</v>
          </cell>
        </row>
        <row r="6274">
          <cell r="A6274" t="str">
            <v>YZ-HE13037Or7L</v>
          </cell>
          <cell r="B6274" t="str">
            <v>YZ-HE13037</v>
          </cell>
        </row>
        <row r="6275">
          <cell r="A6275" t="str">
            <v>YZ-HE13037Or7L-MX</v>
          </cell>
          <cell r="B6275" t="str">
            <v>YZ-HE13037</v>
          </cell>
        </row>
        <row r="6276">
          <cell r="A6276" t="str">
            <v>YZ-HE13037Or8L</v>
          </cell>
          <cell r="B6276" t="str">
            <v>YZ-HE13037</v>
          </cell>
        </row>
        <row r="6277">
          <cell r="A6277" t="str">
            <v>YZ-HE13037Or8L-MX</v>
          </cell>
          <cell r="B6277" t="str">
            <v>YZ-HE13037</v>
          </cell>
        </row>
        <row r="6278">
          <cell r="A6278" t="str">
            <v>YZ-HE13037Or9L</v>
          </cell>
          <cell r="B6278" t="str">
            <v>YZ-HE13037</v>
          </cell>
        </row>
        <row r="6279">
          <cell r="A6279" t="str">
            <v>YZ-HE13037Pu1L</v>
          </cell>
          <cell r="B6279" t="str">
            <v>YZ-HE13037</v>
          </cell>
        </row>
        <row r="6280">
          <cell r="A6280" t="str">
            <v>YZ-HE13037Pu1L-MX</v>
          </cell>
          <cell r="B6280" t="str">
            <v>YZ-HE13037</v>
          </cell>
        </row>
        <row r="6281">
          <cell r="A6281" t="str">
            <v>YZ-HE13037Pu2L</v>
          </cell>
          <cell r="B6281" t="str">
            <v>YZ-HE13037</v>
          </cell>
        </row>
        <row r="6282">
          <cell r="A6282" t="str">
            <v>YZ-HE13037Pu3L</v>
          </cell>
          <cell r="B6282" t="str">
            <v>YZ-HE13037</v>
          </cell>
        </row>
        <row r="6283">
          <cell r="A6283" t="str">
            <v>YZ-HE13037Pu4L</v>
          </cell>
          <cell r="B6283" t="str">
            <v>YZ-HE13037</v>
          </cell>
        </row>
        <row r="6284">
          <cell r="A6284" t="str">
            <v>YZ-HE13037Pu4L-MX</v>
          </cell>
          <cell r="B6284" t="str">
            <v>YZ-HE13037</v>
          </cell>
        </row>
        <row r="6285">
          <cell r="A6285" t="str">
            <v>YZ-HE13037Pu5L</v>
          </cell>
          <cell r="B6285" t="str">
            <v>YZ-HE13037</v>
          </cell>
        </row>
        <row r="6286">
          <cell r="A6286" t="str">
            <v>YZ-HE13037Pu6L</v>
          </cell>
          <cell r="B6286" t="str">
            <v>YZ-HE13037</v>
          </cell>
        </row>
        <row r="6287">
          <cell r="A6287" t="str">
            <v>YZ-HE13037Pu7L</v>
          </cell>
          <cell r="B6287" t="str">
            <v>YZ-HE13037</v>
          </cell>
        </row>
        <row r="6288">
          <cell r="A6288" t="str">
            <v>YZ-HE13037Pu8L</v>
          </cell>
          <cell r="B6288" t="str">
            <v>YZ-HE13037</v>
          </cell>
        </row>
        <row r="6289">
          <cell r="A6289" t="str">
            <v>YZ-HE13037Pu9L</v>
          </cell>
          <cell r="B6289" t="str">
            <v>YZ-HE13037</v>
          </cell>
        </row>
        <row r="6290">
          <cell r="A6290" t="str">
            <v>YZ-HE13037Wi1L</v>
          </cell>
          <cell r="B6290" t="str">
            <v>YZ-HE13037</v>
          </cell>
        </row>
        <row r="6291">
          <cell r="A6291" t="str">
            <v>YZ-HE13037Wi1L-MX</v>
          </cell>
          <cell r="B6291" t="str">
            <v>YZ-HE13037</v>
          </cell>
        </row>
        <row r="6292">
          <cell r="A6292" t="str">
            <v>YZ-HE13037Wi2L</v>
          </cell>
          <cell r="B6292" t="str">
            <v>YZ-HE13037</v>
          </cell>
        </row>
        <row r="6293">
          <cell r="A6293" t="str">
            <v>YZ-HE13037Wi2L-MX</v>
          </cell>
          <cell r="B6293" t="str">
            <v>YZ-HE13037</v>
          </cell>
        </row>
        <row r="6294">
          <cell r="A6294" t="str">
            <v>YZ-HE13037Wi3L</v>
          </cell>
          <cell r="B6294" t="str">
            <v>YZ-HE13037</v>
          </cell>
        </row>
        <row r="6295">
          <cell r="A6295" t="str">
            <v>YZ-HE13037Wi4L</v>
          </cell>
          <cell r="B6295" t="str">
            <v>YZ-HE13037</v>
          </cell>
        </row>
        <row r="6296">
          <cell r="A6296" t="str">
            <v>YZ-HE13037Wi5L</v>
          </cell>
          <cell r="B6296" t="str">
            <v>YZ-HE13037</v>
          </cell>
        </row>
        <row r="6297">
          <cell r="A6297" t="str">
            <v>YZ-HE13037Wi6L</v>
          </cell>
          <cell r="B6297" t="str">
            <v>YZ-HE13037</v>
          </cell>
        </row>
        <row r="6298">
          <cell r="A6298" t="str">
            <v>YZ-HE13037Wi7L</v>
          </cell>
          <cell r="B6298" t="str">
            <v>YZ-HE13037</v>
          </cell>
        </row>
        <row r="6299">
          <cell r="A6299" t="str">
            <v>YZ-HE13037Wi7L-MX</v>
          </cell>
          <cell r="B6299" t="str">
            <v>YZ-HE13037</v>
          </cell>
        </row>
        <row r="6300">
          <cell r="A6300" t="str">
            <v>YZ-HE13037Wi8L</v>
          </cell>
          <cell r="B6300" t="str">
            <v>YZ-HE13037</v>
          </cell>
        </row>
        <row r="6301">
          <cell r="A6301" t="str">
            <v>YZ-HE13037Wi8L-MX</v>
          </cell>
          <cell r="B6301" t="str">
            <v>YZ-HE13037</v>
          </cell>
        </row>
        <row r="6302">
          <cell r="A6302" t="str">
            <v>YZ-HE13037Wi9L</v>
          </cell>
          <cell r="B6302" t="str">
            <v>YZ-HE13037</v>
          </cell>
        </row>
        <row r="6303">
          <cell r="A6303" t="str">
            <v>YZ-HE9007</v>
          </cell>
          <cell r="B6303" t="str">
            <v>YZ-HE9007</v>
          </cell>
        </row>
        <row r="6304">
          <cell r="A6304" t="str">
            <v>YZ-HE9007Sa1L</v>
          </cell>
          <cell r="B6304" t="str">
            <v>YZ-HE9007</v>
          </cell>
        </row>
        <row r="6305">
          <cell r="A6305" t="str">
            <v>YZ-HE9007Sa2L</v>
          </cell>
          <cell r="B6305" t="str">
            <v>YZ-HE9007</v>
          </cell>
        </row>
        <row r="6306">
          <cell r="A6306" t="str">
            <v>YZ-HE9007Sa3L</v>
          </cell>
          <cell r="B6306" t="str">
            <v>YZ-HE9007</v>
          </cell>
        </row>
        <row r="6307">
          <cell r="A6307" t="str">
            <v>YZ-HE9007Sa4L</v>
          </cell>
          <cell r="B6307" t="str">
            <v>YZ-HE9007</v>
          </cell>
        </row>
        <row r="6308">
          <cell r="A6308" t="str">
            <v>YZ-HE9007Sa5L</v>
          </cell>
          <cell r="B6308" t="str">
            <v>YZ-HE9007</v>
          </cell>
        </row>
        <row r="6309">
          <cell r="A6309" t="str">
            <v>YZ-HE9007Sa6L</v>
          </cell>
          <cell r="B6309" t="str">
            <v>YZ-HE9007</v>
          </cell>
        </row>
        <row r="6310">
          <cell r="A6310" t="str">
            <v>YZ-HE9007Sa7L</v>
          </cell>
          <cell r="B6310" t="str">
            <v>YZ-HE9007</v>
          </cell>
        </row>
        <row r="6311">
          <cell r="A6311" t="str">
            <v>YZ-HE9007Sa8L</v>
          </cell>
          <cell r="B6311" t="str">
            <v>YZ-HE9007</v>
          </cell>
        </row>
        <row r="6312">
          <cell r="A6312" t="str">
            <v>YZ-HE9007Sa9L</v>
          </cell>
          <cell r="B6312" t="str">
            <v>YZ-HE9007</v>
          </cell>
        </row>
        <row r="6313">
          <cell r="A6313" t="str">
            <v>YZ-HE9007Se1L</v>
          </cell>
          <cell r="B6313" t="str">
            <v>YZ-HE9007</v>
          </cell>
        </row>
        <row r="6314">
          <cell r="A6314" t="str">
            <v>YZ-HE9007Se2L</v>
          </cell>
          <cell r="B6314" t="str">
            <v>YZ-HE9007</v>
          </cell>
        </row>
        <row r="6315">
          <cell r="A6315" t="str">
            <v>YZ-HE9007Se3L</v>
          </cell>
          <cell r="B6315" t="str">
            <v>YZ-HE9007</v>
          </cell>
        </row>
        <row r="6316">
          <cell r="A6316" t="str">
            <v>YZ-HE9007Se4L</v>
          </cell>
          <cell r="B6316" t="str">
            <v>YZ-HE9007</v>
          </cell>
        </row>
        <row r="6317">
          <cell r="A6317" t="str">
            <v>YZ-HE9007Se5L</v>
          </cell>
          <cell r="B6317" t="str">
            <v>YZ-HE9007</v>
          </cell>
        </row>
        <row r="6318">
          <cell r="A6318" t="str">
            <v>YZ-HE9007Se6L</v>
          </cell>
          <cell r="B6318" t="str">
            <v>YZ-HE9007</v>
          </cell>
        </row>
        <row r="6319">
          <cell r="A6319" t="str">
            <v>YZ-HE9007Se7L</v>
          </cell>
          <cell r="B6319" t="str">
            <v>YZ-HE9007</v>
          </cell>
        </row>
        <row r="6320">
          <cell r="A6320" t="str">
            <v>YZ-HE9007Se8L</v>
          </cell>
          <cell r="B6320" t="str">
            <v>YZ-HE9007</v>
          </cell>
        </row>
        <row r="6321">
          <cell r="A6321" t="str">
            <v>YZ-HE9007Se9L</v>
          </cell>
          <cell r="B6321" t="str">
            <v>YZ-HE9007</v>
          </cell>
        </row>
        <row r="6322">
          <cell r="A6322" t="str">
            <v>YZ-HE9008Sa1L</v>
          </cell>
          <cell r="B6322" t="str">
            <v>YZ-HE9007</v>
          </cell>
        </row>
        <row r="6323">
          <cell r="A6323" t="str">
            <v>YZ-HE9008Sa2L</v>
          </cell>
          <cell r="B6323" t="str">
            <v>YZ-HE9007</v>
          </cell>
        </row>
        <row r="6324">
          <cell r="A6324" t="str">
            <v>YZ-HE9008Sa3L</v>
          </cell>
          <cell r="B6324" t="str">
            <v>YZ-HE9007</v>
          </cell>
        </row>
        <row r="6325">
          <cell r="A6325" t="str">
            <v>YZ-HE9008Sa4L</v>
          </cell>
          <cell r="B6325" t="str">
            <v>YZ-HE9007</v>
          </cell>
        </row>
        <row r="6326">
          <cell r="A6326" t="str">
            <v>YZ-HE9008Sa4L-GM</v>
          </cell>
          <cell r="B6326" t="str">
            <v>YZ-HE9007</v>
          </cell>
        </row>
        <row r="6327">
          <cell r="A6327" t="str">
            <v>YZ-HE9008Sa5L</v>
          </cell>
          <cell r="B6327" t="str">
            <v>YZ-HE9007</v>
          </cell>
        </row>
        <row r="6328">
          <cell r="A6328" t="str">
            <v>YZ-HE9008Sa6L</v>
          </cell>
          <cell r="B6328" t="str">
            <v>YZ-HE9007</v>
          </cell>
        </row>
        <row r="6329">
          <cell r="A6329" t="str">
            <v>YZ-HE9008Sa7L</v>
          </cell>
          <cell r="B6329" t="str">
            <v>YZ-HE9007</v>
          </cell>
        </row>
        <row r="6330">
          <cell r="A6330" t="str">
            <v>YZ-HE9008Sa8L</v>
          </cell>
          <cell r="B6330" t="str">
            <v>YZ-HE9007</v>
          </cell>
        </row>
        <row r="6331">
          <cell r="A6331" t="str">
            <v>YZ-HE9008Sa9L</v>
          </cell>
          <cell r="B6331" t="str">
            <v>YZ-HE9007</v>
          </cell>
        </row>
        <row r="6332">
          <cell r="A6332" t="str">
            <v>YZ-HE9008Se1L</v>
          </cell>
          <cell r="B6332" t="str">
            <v>YZ-HE9007</v>
          </cell>
        </row>
        <row r="6333">
          <cell r="A6333" t="str">
            <v>YZ-HE9008Se2L</v>
          </cell>
          <cell r="B6333" t="str">
            <v>YZ-HE9007</v>
          </cell>
        </row>
        <row r="6334">
          <cell r="A6334" t="str">
            <v>YZ-HE9008Se3L</v>
          </cell>
          <cell r="B6334" t="str">
            <v>YZ-HE9007</v>
          </cell>
        </row>
        <row r="6335">
          <cell r="A6335" t="str">
            <v>YZ-HE9008Se4L</v>
          </cell>
          <cell r="B6335" t="str">
            <v>YZ-HE9007</v>
          </cell>
        </row>
        <row r="6336">
          <cell r="A6336" t="str">
            <v>YZ-HE9008Se5L</v>
          </cell>
          <cell r="B6336" t="str">
            <v>YZ-HE9007</v>
          </cell>
        </row>
        <row r="6337">
          <cell r="A6337" t="str">
            <v>YZ-HE9008Se6L</v>
          </cell>
          <cell r="B6337" t="str">
            <v>YZ-HE9007</v>
          </cell>
        </row>
        <row r="6338">
          <cell r="A6338" t="str">
            <v>YZ-HE9008Se7L</v>
          </cell>
          <cell r="B6338" t="str">
            <v>YZ-HE9007</v>
          </cell>
        </row>
        <row r="6339">
          <cell r="A6339" t="str">
            <v>YZ-HE9008Se8L</v>
          </cell>
          <cell r="B6339" t="str">
            <v>YZ-HE9007</v>
          </cell>
        </row>
        <row r="6340">
          <cell r="A6340" t="str">
            <v>YZ-HE9008Se9L</v>
          </cell>
          <cell r="B6340" t="str">
            <v>YZ-HE9007</v>
          </cell>
        </row>
        <row r="6341">
          <cell r="A6341" t="str">
            <v>YZ-HM0007</v>
          </cell>
          <cell r="B6341" t="str">
            <v>YZ-HM0007</v>
          </cell>
        </row>
        <row r="6342">
          <cell r="A6342" t="str">
            <v>YZ-HM0007-B0-2XL</v>
          </cell>
          <cell r="B6342" t="str">
            <v>YZ-HM0007</v>
          </cell>
        </row>
        <row r="6343">
          <cell r="A6343" t="str">
            <v>YZ-HM0007-B0-3XL</v>
          </cell>
          <cell r="B6343" t="str">
            <v>YZ-HM0007</v>
          </cell>
        </row>
        <row r="6344">
          <cell r="A6344" t="str">
            <v>YZ-HM0007-B0-L</v>
          </cell>
          <cell r="B6344" t="str">
            <v>YZ-HM0007</v>
          </cell>
        </row>
        <row r="6345">
          <cell r="A6345" t="str">
            <v>YZ-HM0007-B0-XL</v>
          </cell>
          <cell r="B6345" t="str">
            <v>YZ-HM0007</v>
          </cell>
        </row>
        <row r="6346">
          <cell r="A6346" t="str">
            <v>YZ-HM0007-K0-2XL</v>
          </cell>
          <cell r="B6346" t="str">
            <v>YZ-HM0007</v>
          </cell>
        </row>
        <row r="6347">
          <cell r="A6347" t="str">
            <v>YZ-HM0007-K0-3XL</v>
          </cell>
          <cell r="B6347" t="str">
            <v>YZ-HM0007</v>
          </cell>
        </row>
        <row r="6348">
          <cell r="A6348" t="str">
            <v>YZ-HM0007-K0-L</v>
          </cell>
          <cell r="B6348" t="str">
            <v>YZ-HM0007</v>
          </cell>
        </row>
        <row r="6349">
          <cell r="A6349" t="str">
            <v>YZ-HM0007-K0-XL</v>
          </cell>
          <cell r="B6349" t="str">
            <v>YZ-HM0007</v>
          </cell>
        </row>
        <row r="6350">
          <cell r="A6350" t="str">
            <v>YZ-HM0007-R0-2XL</v>
          </cell>
          <cell r="B6350" t="str">
            <v>YZ-HM0007</v>
          </cell>
        </row>
        <row r="6351">
          <cell r="A6351" t="str">
            <v>YZ-HM0007-R0-3XL</v>
          </cell>
          <cell r="B6351" t="str">
            <v>YZ-HM0007</v>
          </cell>
        </row>
        <row r="6352">
          <cell r="A6352" t="str">
            <v>YZ-HM0007-R0-L</v>
          </cell>
          <cell r="B6352" t="str">
            <v>YZ-HM0007</v>
          </cell>
        </row>
        <row r="6353">
          <cell r="A6353" t="str">
            <v>YZ-HM0007-R0-XL</v>
          </cell>
          <cell r="B6353" t="str">
            <v>YZ-HM0007</v>
          </cell>
        </row>
        <row r="6354">
          <cell r="A6354" t="str">
            <v>YZ-HM0034-TW-L</v>
          </cell>
          <cell r="B6354" t="str">
            <v>YZ-HM0034</v>
          </cell>
        </row>
        <row r="6355">
          <cell r="A6355" t="str">
            <v>YZ-HM0034-TW-M</v>
          </cell>
          <cell r="B6355" t="str">
            <v>YZ-HM0034</v>
          </cell>
        </row>
        <row r="6356">
          <cell r="A6356" t="str">
            <v>YZ-HM0034-TW-S</v>
          </cell>
          <cell r="B6356" t="str">
            <v>YZ-HM0034</v>
          </cell>
        </row>
        <row r="6357">
          <cell r="A6357" t="str">
            <v>YZ-HM0034-TW-XL</v>
          </cell>
          <cell r="B6357" t="str">
            <v>YZ-HM0034</v>
          </cell>
        </row>
        <row r="6358">
          <cell r="A6358" t="str">
            <v>YZ-HM0047-P0-S</v>
          </cell>
          <cell r="B6358" t="str">
            <v>YZ-HM0047</v>
          </cell>
        </row>
        <row r="6359">
          <cell r="A6359" t="str">
            <v>YZ-HM0052-B0-L</v>
          </cell>
          <cell r="B6359" t="str">
            <v>YZ-HM0052</v>
          </cell>
        </row>
        <row r="6360">
          <cell r="A6360" t="str">
            <v>YZ-HM0052-B0-M</v>
          </cell>
          <cell r="B6360" t="str">
            <v>YZ-HM0052</v>
          </cell>
        </row>
        <row r="6361">
          <cell r="A6361" t="str">
            <v>YZ-HM0052-B0-S</v>
          </cell>
          <cell r="B6361" t="str">
            <v>YZ-HM0052</v>
          </cell>
        </row>
        <row r="6362">
          <cell r="A6362" t="str">
            <v>YZ-HM0052-B0-XL</v>
          </cell>
          <cell r="B6362" t="str">
            <v>YZ-HM0052</v>
          </cell>
        </row>
        <row r="6363">
          <cell r="A6363" t="str">
            <v>YZ-HM007-B0-2XL</v>
          </cell>
          <cell r="B6363" t="str">
            <v>YZ-HM0007</v>
          </cell>
        </row>
        <row r="6364">
          <cell r="A6364" t="str">
            <v>YZ-HM015-K0-4</v>
          </cell>
          <cell r="B6364" t="str">
            <v>YZ-HM015</v>
          </cell>
        </row>
        <row r="6365">
          <cell r="A6365" t="str">
            <v>YZ-HM0182-W0-L</v>
          </cell>
          <cell r="B6365" t="str">
            <v>YZ-HM0182</v>
          </cell>
        </row>
        <row r="6366">
          <cell r="A6366" t="str">
            <v>YZ-HM0182-W0-M</v>
          </cell>
          <cell r="B6366" t="str">
            <v>YZ-HM0182</v>
          </cell>
        </row>
        <row r="6367">
          <cell r="A6367" t="str">
            <v>YZ-HM0182-W0-S</v>
          </cell>
          <cell r="B6367" t="str">
            <v>YZ-HM0182</v>
          </cell>
        </row>
        <row r="6368">
          <cell r="A6368" t="str">
            <v>YZ-HM0182-W0-XL</v>
          </cell>
          <cell r="B6368" t="str">
            <v>YZ-HM0182</v>
          </cell>
        </row>
        <row r="6369">
          <cell r="A6369" t="str">
            <v>YZ-HM0182-W0-XXL</v>
          </cell>
          <cell r="B6369" t="str">
            <v>YZ-HM0182</v>
          </cell>
        </row>
        <row r="6370">
          <cell r="A6370" t="str">
            <v>YZ-HM0669-W0-L</v>
          </cell>
          <cell r="B6370" t="str">
            <v>YZ-HM0669</v>
          </cell>
        </row>
        <row r="6371">
          <cell r="A6371" t="str">
            <v>YZ-HM0669-W0-M</v>
          </cell>
          <cell r="B6371" t="str">
            <v>YZ-HM0669</v>
          </cell>
        </row>
        <row r="6372">
          <cell r="A6372" t="str">
            <v>YZ-HM0669-W0-S</v>
          </cell>
          <cell r="B6372" t="str">
            <v>YZ-HM0669</v>
          </cell>
        </row>
        <row r="6373">
          <cell r="A6373" t="str">
            <v>YZ-HM0669-W0-XL</v>
          </cell>
          <cell r="B6373" t="str">
            <v>YZ-HM0669</v>
          </cell>
        </row>
        <row r="6374">
          <cell r="A6374" t="str">
            <v>YZ-HM111-B0-L</v>
          </cell>
          <cell r="B6374" t="str">
            <v>YZ-HM111</v>
          </cell>
        </row>
        <row r="6375">
          <cell r="A6375" t="str">
            <v>YZ-HM111-B0-M</v>
          </cell>
          <cell r="B6375" t="str">
            <v>YZ-HM111</v>
          </cell>
        </row>
        <row r="6376">
          <cell r="A6376" t="str">
            <v>YZ-HM111-B0-S</v>
          </cell>
          <cell r="B6376" t="str">
            <v>YZ-HM111</v>
          </cell>
        </row>
        <row r="6377">
          <cell r="A6377" t="str">
            <v>YZ-HM111-B0-XL</v>
          </cell>
          <cell r="B6377" t="str">
            <v>YZ-HM111</v>
          </cell>
        </row>
        <row r="6378">
          <cell r="A6378" t="str">
            <v>YZ-HM111-K0-L</v>
          </cell>
          <cell r="B6378" t="str">
            <v>YZ-HM111</v>
          </cell>
        </row>
        <row r="6379">
          <cell r="A6379" t="str">
            <v>YZ-HM111-K0-M</v>
          </cell>
          <cell r="B6379" t="str">
            <v>YZ-HM111</v>
          </cell>
        </row>
        <row r="6380">
          <cell r="A6380" t="str">
            <v>YZ-HM111-K0-S</v>
          </cell>
          <cell r="B6380" t="str">
            <v>YZ-HM111</v>
          </cell>
        </row>
        <row r="6381">
          <cell r="A6381" t="str">
            <v>YZ-HM111-K0-S-GM</v>
          </cell>
          <cell r="B6381" t="str">
            <v>YZ-HM111</v>
          </cell>
        </row>
        <row r="6382">
          <cell r="A6382" t="str">
            <v>YZ-HM111-K0-XL</v>
          </cell>
          <cell r="B6382" t="str">
            <v>YZ-HM111</v>
          </cell>
        </row>
        <row r="6383">
          <cell r="A6383" t="str">
            <v>YZ-HM111-YH-L</v>
          </cell>
          <cell r="B6383" t="str">
            <v>YZ-HM111</v>
          </cell>
        </row>
        <row r="6384">
          <cell r="A6384" t="str">
            <v>YZ-HM111-YH-M</v>
          </cell>
          <cell r="B6384" t="str">
            <v>YZ-HM111</v>
          </cell>
        </row>
        <row r="6385">
          <cell r="A6385" t="str">
            <v>YZ-HM111-YH-S</v>
          </cell>
          <cell r="B6385" t="str">
            <v>YZ-HM111</v>
          </cell>
        </row>
        <row r="6386">
          <cell r="A6386" t="str">
            <v>YZ-HM111-YH-XL</v>
          </cell>
          <cell r="B6386" t="str">
            <v>YZ-HM111</v>
          </cell>
        </row>
        <row r="6387">
          <cell r="A6387" t="str">
            <v>YZ-HM1288-B0-2XL</v>
          </cell>
          <cell r="B6387" t="str">
            <v>YZ-HM1288</v>
          </cell>
        </row>
        <row r="6388">
          <cell r="A6388" t="str">
            <v>YZ-HM1288-B0-3XL</v>
          </cell>
          <cell r="B6388" t="str">
            <v>YZ-HM1288</v>
          </cell>
        </row>
        <row r="6389">
          <cell r="A6389" t="str">
            <v>YZ-HM1288-B0-4XL</v>
          </cell>
          <cell r="B6389" t="str">
            <v>YZ-HM1288</v>
          </cell>
        </row>
        <row r="6390">
          <cell r="A6390" t="str">
            <v>YZ-HM1288-B0-5XL</v>
          </cell>
          <cell r="B6390" t="str">
            <v>YZ-HM1288</v>
          </cell>
        </row>
        <row r="6391">
          <cell r="A6391" t="str">
            <v>YZ-HM1288-B0-L</v>
          </cell>
          <cell r="B6391" t="str">
            <v>YZ-HM1288</v>
          </cell>
        </row>
        <row r="6392">
          <cell r="A6392" t="str">
            <v>YZ-HM1288-B0-M</v>
          </cell>
          <cell r="B6392" t="str">
            <v>YZ-HM1288</v>
          </cell>
        </row>
        <row r="6393">
          <cell r="A6393" t="str">
            <v>YZ-HM1288-B0-S</v>
          </cell>
          <cell r="B6393" t="str">
            <v>YZ-HM1288</v>
          </cell>
        </row>
        <row r="6394">
          <cell r="A6394" t="str">
            <v>YZ-HM1288-B0-XL</v>
          </cell>
          <cell r="B6394" t="str">
            <v>YZ-HM1288</v>
          </cell>
        </row>
        <row r="6395">
          <cell r="A6395" t="str">
            <v>YZ-HM1423-B0-2XL</v>
          </cell>
          <cell r="B6395" t="str">
            <v>YZ-HM1423</v>
          </cell>
        </row>
        <row r="6396">
          <cell r="A6396" t="str">
            <v>YZ-HM1423-Y0-2XL</v>
          </cell>
          <cell r="B6396" t="str">
            <v>YZ-HM1423</v>
          </cell>
        </row>
        <row r="6397">
          <cell r="A6397" t="str">
            <v>YZ-HM1478-K0-L</v>
          </cell>
          <cell r="B6397" t="str">
            <v>YZ-HM1478</v>
          </cell>
        </row>
        <row r="6398">
          <cell r="A6398" t="str">
            <v>YZ-HM1478-K0-M</v>
          </cell>
          <cell r="B6398" t="str">
            <v>YZ-HM1478</v>
          </cell>
        </row>
        <row r="6399">
          <cell r="A6399" t="str">
            <v>YZ-HM1478-Wi-L</v>
          </cell>
          <cell r="B6399" t="str">
            <v>YZ-HM1478</v>
          </cell>
        </row>
        <row r="6400">
          <cell r="A6400" t="str">
            <v>YZ-HM1478-Wi-M</v>
          </cell>
          <cell r="B6400" t="str">
            <v>YZ-HM1478</v>
          </cell>
        </row>
        <row r="6401">
          <cell r="A6401" t="str">
            <v>YZ-HM1534</v>
          </cell>
          <cell r="B6401" t="str">
            <v>YZ-HM1534</v>
          </cell>
        </row>
        <row r="6402">
          <cell r="A6402" t="str">
            <v>YZ-HM1534-G0-L</v>
          </cell>
          <cell r="B6402" t="str">
            <v>YZ-HM1534</v>
          </cell>
        </row>
        <row r="6403">
          <cell r="A6403" t="str">
            <v>YZ-HM1534-G0-M</v>
          </cell>
          <cell r="B6403" t="str">
            <v>YZ-HM1534</v>
          </cell>
        </row>
        <row r="6404">
          <cell r="A6404" t="str">
            <v>YZ-HM1534-YH-L</v>
          </cell>
          <cell r="B6404" t="str">
            <v>YZ-HM1534</v>
          </cell>
        </row>
        <row r="6405">
          <cell r="A6405" t="str">
            <v>YZ-HM1534-YH-M</v>
          </cell>
          <cell r="B6405" t="str">
            <v>YZ-HM1534</v>
          </cell>
        </row>
        <row r="6406">
          <cell r="A6406" t="str">
            <v>YZ-HM1584</v>
          </cell>
          <cell r="B6406" t="str">
            <v>YZ-HM1584</v>
          </cell>
        </row>
        <row r="6407">
          <cell r="A6407" t="str">
            <v>YZ-HM1584-K0-1XL</v>
          </cell>
          <cell r="B6407" t="str">
            <v>YZ-HM1584</v>
          </cell>
        </row>
        <row r="6408">
          <cell r="A6408" t="str">
            <v>YZ-HM1584-K0-2XL</v>
          </cell>
          <cell r="B6408" t="str">
            <v>YZ-HM1584</v>
          </cell>
        </row>
        <row r="6409">
          <cell r="A6409" t="str">
            <v>YZ-HM1584-K0-3XL</v>
          </cell>
          <cell r="B6409" t="str">
            <v>YZ-HM1584</v>
          </cell>
        </row>
        <row r="6410">
          <cell r="A6410" t="str">
            <v>YZ-HM1584-K0-3XL-GM</v>
          </cell>
          <cell r="B6410" t="str">
            <v>YZ-HM1584</v>
          </cell>
        </row>
        <row r="6411">
          <cell r="A6411" t="str">
            <v>YZ-HM1584-K0-L</v>
          </cell>
          <cell r="B6411" t="str">
            <v>YZ-HM1584</v>
          </cell>
        </row>
        <row r="6412">
          <cell r="A6412" t="str">
            <v>YZ-HM1584-K0-M</v>
          </cell>
          <cell r="B6412" t="str">
            <v>YZ-HM1584</v>
          </cell>
        </row>
        <row r="6413">
          <cell r="A6413" t="str">
            <v>YZ-HM1584-K0-S</v>
          </cell>
          <cell r="B6413" t="str">
            <v>YZ-HM1584</v>
          </cell>
        </row>
        <row r="6414">
          <cell r="A6414" t="str">
            <v>YZ-HM1625-BD-2XL</v>
          </cell>
          <cell r="B6414" t="str">
            <v>YZ-HM1625</v>
          </cell>
        </row>
        <row r="6415">
          <cell r="A6415" t="str">
            <v>YZ-HM1625-BD-3XL</v>
          </cell>
          <cell r="B6415" t="str">
            <v>YZ-HM1625</v>
          </cell>
        </row>
        <row r="6416">
          <cell r="A6416" t="str">
            <v>YZ-HM1625-BD-L</v>
          </cell>
          <cell r="B6416" t="str">
            <v>YZ-HM1625</v>
          </cell>
        </row>
        <row r="6417">
          <cell r="A6417" t="str">
            <v>YZ-HM1625-BD-M</v>
          </cell>
          <cell r="B6417" t="str">
            <v>YZ-HM1625</v>
          </cell>
        </row>
        <row r="6418">
          <cell r="A6418" t="str">
            <v>YZ-HM1625-BD-S</v>
          </cell>
          <cell r="B6418" t="str">
            <v>YZ-HM1625</v>
          </cell>
        </row>
        <row r="6419">
          <cell r="A6419" t="str">
            <v>YZ-HM1625-BD-XL</v>
          </cell>
          <cell r="B6419" t="str">
            <v>YZ-HM1625</v>
          </cell>
        </row>
        <row r="6420">
          <cell r="A6420" t="str">
            <v>YZ-HM1625-G0-2XL</v>
          </cell>
          <cell r="B6420" t="str">
            <v>YZ-HM1625</v>
          </cell>
        </row>
        <row r="6421">
          <cell r="A6421" t="str">
            <v>YZ-HM1625-G0-3XL</v>
          </cell>
          <cell r="B6421" t="str">
            <v>YZ-HM1625</v>
          </cell>
        </row>
        <row r="6422">
          <cell r="A6422" t="str">
            <v>YZ-HM1625-G0-L</v>
          </cell>
          <cell r="B6422" t="str">
            <v>YZ-HM1625</v>
          </cell>
        </row>
        <row r="6423">
          <cell r="A6423" t="str">
            <v>YZ-HM1625-G0-M</v>
          </cell>
          <cell r="B6423" t="str">
            <v>YZ-HM1625</v>
          </cell>
        </row>
        <row r="6424">
          <cell r="A6424" t="str">
            <v>YZ-HM1625-G0-S</v>
          </cell>
          <cell r="B6424" t="str">
            <v>YZ-HM1625</v>
          </cell>
        </row>
        <row r="6425">
          <cell r="A6425" t="str">
            <v>YZ-HM1625-G0-XL</v>
          </cell>
          <cell r="B6425" t="str">
            <v>YZ-HM1625</v>
          </cell>
        </row>
        <row r="6426">
          <cell r="A6426" t="str">
            <v>YZ-HM1625-GR-2XL</v>
          </cell>
          <cell r="B6426" t="str">
            <v>YZ-HM1625</v>
          </cell>
        </row>
        <row r="6427">
          <cell r="A6427" t="str">
            <v>YZ-HM1625-GR-3XL</v>
          </cell>
          <cell r="B6427" t="str">
            <v>YZ-HM1625</v>
          </cell>
        </row>
        <row r="6428">
          <cell r="A6428" t="str">
            <v>YZ-HM1625-GR-L</v>
          </cell>
          <cell r="B6428" t="str">
            <v>YZ-HM1625</v>
          </cell>
        </row>
        <row r="6429">
          <cell r="A6429" t="str">
            <v>YZ-HM1625-GR-S</v>
          </cell>
          <cell r="B6429" t="str">
            <v>YZ-HM1625</v>
          </cell>
        </row>
        <row r="6430">
          <cell r="A6430" t="str">
            <v>YZ-HM1625-GR-XL</v>
          </cell>
          <cell r="B6430" t="str">
            <v>YZ-HM1625</v>
          </cell>
        </row>
        <row r="6431">
          <cell r="A6431" t="str">
            <v>YZ-HM1625-R0-2XL</v>
          </cell>
          <cell r="B6431" t="str">
            <v>YZ-HM1625</v>
          </cell>
        </row>
        <row r="6432">
          <cell r="A6432" t="str">
            <v>YZ-HM1625-R0-3XL</v>
          </cell>
          <cell r="B6432" t="str">
            <v>YZ-HM1625</v>
          </cell>
        </row>
        <row r="6433">
          <cell r="A6433" t="str">
            <v>YZ-HM1625-R0-L</v>
          </cell>
          <cell r="B6433" t="str">
            <v>YZ-HM1625</v>
          </cell>
        </row>
        <row r="6434">
          <cell r="A6434" t="str">
            <v>YZ-HM1625-R0-S</v>
          </cell>
          <cell r="B6434" t="str">
            <v>YZ-HM1625</v>
          </cell>
        </row>
        <row r="6435">
          <cell r="A6435" t="str">
            <v>YZ-HM1625-R0-XL</v>
          </cell>
          <cell r="B6435" t="str">
            <v>YZ-HM1625</v>
          </cell>
        </row>
        <row r="6436">
          <cell r="A6436" t="str">
            <v>YZ-HM1625-YT-2XL</v>
          </cell>
          <cell r="B6436" t="str">
            <v>YZ-HM1625</v>
          </cell>
        </row>
        <row r="6437">
          <cell r="A6437" t="str">
            <v>YZ-HM1625-YT-3XL</v>
          </cell>
          <cell r="B6437" t="str">
            <v>YZ-HM1625</v>
          </cell>
        </row>
        <row r="6438">
          <cell r="A6438" t="str">
            <v>YZ-HM1625-YT-M</v>
          </cell>
          <cell r="B6438" t="str">
            <v>YZ-HM1625</v>
          </cell>
        </row>
        <row r="6439">
          <cell r="A6439" t="str">
            <v>YZ-HM1625-YT-S</v>
          </cell>
          <cell r="B6439" t="str">
            <v>YZ-HM1625</v>
          </cell>
        </row>
        <row r="6440">
          <cell r="A6440" t="str">
            <v>YZ-HM1625-YT-XL</v>
          </cell>
          <cell r="B6440" t="str">
            <v>YZ-HM1625</v>
          </cell>
        </row>
        <row r="6441">
          <cell r="A6441" t="str">
            <v>YZ-HM1625-ZL-2XL</v>
          </cell>
          <cell r="B6441" t="str">
            <v>YZ-HM1625</v>
          </cell>
        </row>
        <row r="6442">
          <cell r="A6442" t="str">
            <v>YZ-HM1625-ZL-3XL</v>
          </cell>
          <cell r="B6442" t="str">
            <v>YZ-HM1625</v>
          </cell>
        </row>
        <row r="6443">
          <cell r="A6443" t="str">
            <v>YZ-HM1625-ZL-M</v>
          </cell>
          <cell r="B6443" t="str">
            <v>YZ-HM1625</v>
          </cell>
        </row>
        <row r="6444">
          <cell r="A6444" t="str">
            <v>YZ-HM1625-ZL-S</v>
          </cell>
          <cell r="B6444" t="str">
            <v>YZ-HM1625</v>
          </cell>
        </row>
        <row r="6445">
          <cell r="A6445" t="str">
            <v>YZ-HM1625-ZL-XL</v>
          </cell>
          <cell r="B6445" t="str">
            <v>YZ-HM1625</v>
          </cell>
        </row>
        <row r="6446">
          <cell r="A6446" t="str">
            <v>YZ-HM1683-B0-48</v>
          </cell>
          <cell r="B6446" t="str">
            <v>YZ-HM1683</v>
          </cell>
        </row>
        <row r="6447">
          <cell r="A6447" t="str">
            <v>YZ-HM1683-B0-50</v>
          </cell>
          <cell r="B6447" t="str">
            <v>YZ-HM1683</v>
          </cell>
        </row>
        <row r="6448">
          <cell r="A6448" t="str">
            <v>YZ-HM1683-B0-52</v>
          </cell>
          <cell r="B6448" t="str">
            <v>YZ-HM1683</v>
          </cell>
        </row>
        <row r="6449">
          <cell r="A6449" t="str">
            <v>YZ-HM1683-BDB0-50</v>
          </cell>
          <cell r="B6449" t="str">
            <v>YZ-HM1683</v>
          </cell>
        </row>
        <row r="6450">
          <cell r="A6450" t="str">
            <v>YZ-HM1683-BDB0-52</v>
          </cell>
          <cell r="B6450" t="str">
            <v>YZ-HM1683</v>
          </cell>
        </row>
        <row r="6451">
          <cell r="A6451" t="str">
            <v>YZ-HM1683-BDG0-54</v>
          </cell>
          <cell r="B6451" t="str">
            <v>YZ-HM1683</v>
          </cell>
        </row>
        <row r="6452">
          <cell r="A6452" t="str">
            <v>YZ-HM1683-BDG0-56</v>
          </cell>
          <cell r="B6452" t="str">
            <v>YZ-HM1683</v>
          </cell>
        </row>
        <row r="6453">
          <cell r="A6453" t="str">
            <v>YZ-HM1683-BDZL-48</v>
          </cell>
          <cell r="B6453" t="str">
            <v>YZ-HM1683</v>
          </cell>
        </row>
        <row r="6454">
          <cell r="A6454" t="str">
            <v>YZ-HM1683-BDZL-50</v>
          </cell>
          <cell r="B6454" t="str">
            <v>YZ-HM1683</v>
          </cell>
        </row>
        <row r="6455">
          <cell r="A6455" t="str">
            <v>YZ-HM1683-BDZL-56</v>
          </cell>
          <cell r="B6455" t="str">
            <v>YZ-HM1683</v>
          </cell>
        </row>
        <row r="6456">
          <cell r="A6456" t="str">
            <v>YZ-HM1683-G0-48</v>
          </cell>
          <cell r="B6456" t="str">
            <v>YZ-HM1683</v>
          </cell>
        </row>
        <row r="6457">
          <cell r="A6457" t="str">
            <v>YZ-HM1683-G0-54</v>
          </cell>
          <cell r="B6457" t="str">
            <v>YZ-HM1683</v>
          </cell>
        </row>
        <row r="6458">
          <cell r="A6458" t="str">
            <v>YZ-HM1683-G0-56</v>
          </cell>
          <cell r="B6458" t="str">
            <v>YZ-HM1683</v>
          </cell>
        </row>
        <row r="6459">
          <cell r="A6459" t="str">
            <v>YZ-HM1683-R0-52</v>
          </cell>
          <cell r="B6459" t="str">
            <v>YZ-HM1683</v>
          </cell>
        </row>
        <row r="6460">
          <cell r="A6460" t="str">
            <v>YZ-HM1683-ZL-48</v>
          </cell>
          <cell r="B6460" t="str">
            <v>YZ-HM1683</v>
          </cell>
        </row>
        <row r="6461">
          <cell r="A6461" t="str">
            <v>YZ-HM1683-ZL-52</v>
          </cell>
          <cell r="B6461" t="str">
            <v>YZ-HM1683</v>
          </cell>
        </row>
        <row r="6462">
          <cell r="A6462" t="str">
            <v>YZ-HM1683-ZL-54</v>
          </cell>
          <cell r="B6462" t="str">
            <v>YZ-HM1683</v>
          </cell>
        </row>
        <row r="6463">
          <cell r="A6463" t="str">
            <v>YZ-HM1689-R0-50</v>
          </cell>
          <cell r="B6463" t="str">
            <v>YZ-HM1689</v>
          </cell>
        </row>
        <row r="6464">
          <cell r="A6464" t="str">
            <v>YZ-HM1689-R0-52</v>
          </cell>
          <cell r="B6464" t="str">
            <v>YZ-HM1689</v>
          </cell>
        </row>
        <row r="6465">
          <cell r="A6465" t="str">
            <v>YZ-HM1689-R0-54</v>
          </cell>
          <cell r="B6465" t="str">
            <v>YZ-HM1689</v>
          </cell>
        </row>
        <row r="6466">
          <cell r="A6466" t="str">
            <v>YZ-HM1689-R0-56</v>
          </cell>
          <cell r="B6466" t="str">
            <v>YZ-HM1689</v>
          </cell>
        </row>
        <row r="6467">
          <cell r="A6467" t="str">
            <v>YZ-HM17015</v>
          </cell>
          <cell r="B6467" t="str">
            <v>YZ-HM17015</v>
          </cell>
        </row>
        <row r="6468">
          <cell r="A6468" t="str">
            <v>YZ-HM17015-B0-L</v>
          </cell>
          <cell r="B6468" t="str">
            <v>YZ-HM17015</v>
          </cell>
        </row>
        <row r="6469">
          <cell r="A6469" t="str">
            <v>YZ-HM17015-B0-M</v>
          </cell>
          <cell r="B6469" t="str">
            <v>YZ-HM17015</v>
          </cell>
        </row>
        <row r="6470">
          <cell r="A6470" t="str">
            <v>YZ-HM17015-B0-S</v>
          </cell>
          <cell r="B6470" t="str">
            <v>YZ-HM17015</v>
          </cell>
        </row>
        <row r="6471">
          <cell r="A6471" t="str">
            <v>YZ-HM17015-B0-XL</v>
          </cell>
          <cell r="B6471" t="str">
            <v>YZ-HM17015</v>
          </cell>
        </row>
        <row r="6472">
          <cell r="A6472" t="str">
            <v>YZ-HM17015-K0-L</v>
          </cell>
          <cell r="B6472" t="str">
            <v>YZ-HM17015</v>
          </cell>
        </row>
        <row r="6473">
          <cell r="A6473" t="str">
            <v>YZ-HM17015-K0-M</v>
          </cell>
          <cell r="B6473" t="str">
            <v>YZ-HM17015</v>
          </cell>
        </row>
        <row r="6474">
          <cell r="A6474" t="str">
            <v>YZ-HM17015-K0-S</v>
          </cell>
          <cell r="B6474" t="str">
            <v>YZ-HM17015</v>
          </cell>
        </row>
        <row r="6475">
          <cell r="A6475" t="str">
            <v>YZ-HM17015-K0-XL</v>
          </cell>
          <cell r="B6475" t="str">
            <v>YZ-HM17015</v>
          </cell>
        </row>
        <row r="6476">
          <cell r="A6476" t="str">
            <v>YZ-HM17015-OR-L</v>
          </cell>
          <cell r="B6476" t="str">
            <v>YZ-HM17015</v>
          </cell>
        </row>
        <row r="6477">
          <cell r="A6477" t="str">
            <v>YZ-HM17015-OR-M</v>
          </cell>
          <cell r="B6477" t="str">
            <v>YZ-HM17015</v>
          </cell>
        </row>
        <row r="6478">
          <cell r="A6478" t="str">
            <v>YZ-HM17015-OR-S</v>
          </cell>
          <cell r="B6478" t="str">
            <v>YZ-HM17015</v>
          </cell>
        </row>
        <row r="6479">
          <cell r="A6479" t="str">
            <v>YZ-HM17015-OR-XL</v>
          </cell>
          <cell r="B6479" t="str">
            <v>YZ-HM17015</v>
          </cell>
        </row>
        <row r="6480">
          <cell r="A6480" t="str">
            <v>YZ-HM17015-WI-L</v>
          </cell>
          <cell r="B6480" t="str">
            <v>YZ-HM17015</v>
          </cell>
        </row>
        <row r="6481">
          <cell r="A6481" t="str">
            <v>YZ-HM17015-WI-M</v>
          </cell>
          <cell r="B6481" t="str">
            <v>YZ-HM17015</v>
          </cell>
        </row>
        <row r="6482">
          <cell r="A6482" t="str">
            <v>YZ-HM17015-WI-S</v>
          </cell>
          <cell r="B6482" t="str">
            <v>YZ-HM17015</v>
          </cell>
        </row>
        <row r="6483">
          <cell r="A6483" t="str">
            <v>YZ-HM17015-WI-XL</v>
          </cell>
          <cell r="B6483" t="str">
            <v>YZ-HM17015</v>
          </cell>
        </row>
        <row r="6484">
          <cell r="A6484" t="str">
            <v>YZ-HM17077-B0-L</v>
          </cell>
          <cell r="B6484" t="str">
            <v>YZ-HM17077</v>
          </cell>
        </row>
        <row r="6485">
          <cell r="A6485" t="str">
            <v>YZ-HM17077-B0-M</v>
          </cell>
          <cell r="B6485" t="str">
            <v>YZ-HM17077</v>
          </cell>
        </row>
        <row r="6486">
          <cell r="A6486" t="str">
            <v>YZ-HM17077-B0-XL</v>
          </cell>
          <cell r="B6486" t="str">
            <v>YZ-HM17077</v>
          </cell>
        </row>
        <row r="6487">
          <cell r="A6487" t="str">
            <v>YZ-HM17077-CO-L</v>
          </cell>
          <cell r="B6487" t="str">
            <v>YZ-HM17077</v>
          </cell>
        </row>
        <row r="6488">
          <cell r="A6488" t="str">
            <v>YZ-HM17077-CO-M</v>
          </cell>
          <cell r="B6488" t="str">
            <v>YZ-HM17077</v>
          </cell>
        </row>
        <row r="6489">
          <cell r="A6489" t="str">
            <v>YZ-HM17077-K0-L</v>
          </cell>
          <cell r="B6489" t="str">
            <v>YZ-HM17077</v>
          </cell>
        </row>
        <row r="6490">
          <cell r="A6490" t="str">
            <v>YZ-HM17077-K0-M</v>
          </cell>
          <cell r="B6490" t="str">
            <v>YZ-HM17077</v>
          </cell>
        </row>
        <row r="6491">
          <cell r="A6491" t="str">
            <v>YZ-HM17077-K0-XL</v>
          </cell>
          <cell r="B6491" t="str">
            <v>YZ-HM17077</v>
          </cell>
        </row>
        <row r="6492">
          <cell r="A6492" t="str">
            <v>YZ-HM17077-PI-L</v>
          </cell>
          <cell r="B6492" t="str">
            <v>YZ-HM17077</v>
          </cell>
        </row>
        <row r="6493">
          <cell r="A6493" t="str">
            <v>YZ-HM17077-PI-S</v>
          </cell>
          <cell r="B6493" t="str">
            <v>YZ-HM17077</v>
          </cell>
        </row>
        <row r="6494">
          <cell r="A6494" t="str">
            <v>YZ-HM17077-W0-L</v>
          </cell>
          <cell r="B6494" t="str">
            <v>YZ-HM17077</v>
          </cell>
        </row>
        <row r="6495">
          <cell r="A6495" t="str">
            <v>YZ-HM17077-W0-M</v>
          </cell>
          <cell r="B6495" t="str">
            <v>YZ-HM17077</v>
          </cell>
        </row>
        <row r="6496">
          <cell r="A6496" t="str">
            <v>YZ-HM17077-W0-XL</v>
          </cell>
          <cell r="B6496" t="str">
            <v>YZ-HM17077</v>
          </cell>
        </row>
        <row r="6497">
          <cell r="A6497" t="str">
            <v>YZ-HM1711-B0-L</v>
          </cell>
          <cell r="B6497" t="str">
            <v>YZ-HM1711</v>
          </cell>
        </row>
        <row r="6498">
          <cell r="A6498" t="str">
            <v>YZ-HM1711-B0-M</v>
          </cell>
          <cell r="B6498" t="str">
            <v>YZ-HM1711</v>
          </cell>
        </row>
        <row r="6499">
          <cell r="A6499" t="str">
            <v>YZ-HM1711-B0-S</v>
          </cell>
          <cell r="B6499" t="str">
            <v>YZ-HM1711</v>
          </cell>
        </row>
        <row r="6500">
          <cell r="A6500" t="str">
            <v>YZ-HM1711-B0-XL</v>
          </cell>
          <cell r="B6500" t="str">
            <v>YZ-HM1711</v>
          </cell>
        </row>
        <row r="6501">
          <cell r="A6501" t="str">
            <v>YZ-HM1711-K0-XL</v>
          </cell>
          <cell r="B6501" t="str">
            <v>YZ-HM1711</v>
          </cell>
        </row>
        <row r="6502">
          <cell r="A6502" t="str">
            <v>YZ-HM17125-K0-2XL</v>
          </cell>
          <cell r="B6502" t="str">
            <v>YZ-HM1727</v>
          </cell>
        </row>
        <row r="6503">
          <cell r="A6503" t="str">
            <v>YZ-HM17125-K0-3XL</v>
          </cell>
          <cell r="B6503" t="str">
            <v>YZ-HM1727</v>
          </cell>
        </row>
        <row r="6504">
          <cell r="A6504" t="str">
            <v>YZ-HM17125-K0-4XL</v>
          </cell>
          <cell r="B6504" t="str">
            <v>YZ-HM1727</v>
          </cell>
        </row>
        <row r="6505">
          <cell r="A6505" t="str">
            <v>YZ-HM1718-K0-2XL</v>
          </cell>
          <cell r="B6505" t="str">
            <v>YZ-HM1718</v>
          </cell>
        </row>
        <row r="6506">
          <cell r="A6506" t="str">
            <v>YZ-HM1718-K0-3XL</v>
          </cell>
          <cell r="B6506" t="str">
            <v>YZ-HM1718</v>
          </cell>
        </row>
        <row r="6507">
          <cell r="A6507" t="str">
            <v>YZ-HM1718-K0-4XL</v>
          </cell>
          <cell r="B6507" t="str">
            <v>YZ-HM1718</v>
          </cell>
        </row>
        <row r="6508">
          <cell r="A6508" t="str">
            <v>YZ-HM1718-K0-L</v>
          </cell>
          <cell r="B6508" t="str">
            <v>YZ-HM1718</v>
          </cell>
        </row>
        <row r="6509">
          <cell r="A6509" t="str">
            <v>YZ-HM1718-K0-M</v>
          </cell>
          <cell r="B6509" t="str">
            <v>YZ-HM1718</v>
          </cell>
        </row>
        <row r="6510">
          <cell r="A6510" t="str">
            <v>YZ-HM1718-K0-S</v>
          </cell>
          <cell r="B6510" t="str">
            <v>YZ-HM1718</v>
          </cell>
        </row>
        <row r="6511">
          <cell r="A6511" t="str">
            <v>YZ-HM1718-K0-XL</v>
          </cell>
          <cell r="B6511" t="str">
            <v>YZ-HM1718</v>
          </cell>
        </row>
        <row r="6512">
          <cell r="A6512" t="str">
            <v>YZ-HM1718-R0-2XL</v>
          </cell>
          <cell r="B6512" t="str">
            <v>YZ-HM1718</v>
          </cell>
        </row>
        <row r="6513">
          <cell r="A6513" t="str">
            <v>YZ-HM1718-R0-3XL</v>
          </cell>
          <cell r="B6513" t="str">
            <v>YZ-HM1718</v>
          </cell>
        </row>
        <row r="6514">
          <cell r="A6514" t="str">
            <v>YZ-HM1718-R0-4XL</v>
          </cell>
          <cell r="B6514" t="str">
            <v>YZ-HM1718</v>
          </cell>
        </row>
        <row r="6515">
          <cell r="A6515" t="str">
            <v>YZ-HM1718-R0-L</v>
          </cell>
          <cell r="B6515" t="str">
            <v>YZ-HM1718</v>
          </cell>
        </row>
        <row r="6516">
          <cell r="A6516" t="str">
            <v>YZ-HM1718-R0-M</v>
          </cell>
          <cell r="B6516" t="str">
            <v>YZ-HM1718</v>
          </cell>
        </row>
        <row r="6517">
          <cell r="A6517" t="str">
            <v>YZ-HM1718-R0-S</v>
          </cell>
          <cell r="B6517" t="str">
            <v>YZ-HM1718</v>
          </cell>
        </row>
        <row r="6518">
          <cell r="A6518" t="str">
            <v>YZ-HM1718-R0-XL</v>
          </cell>
          <cell r="B6518" t="str">
            <v>YZ-HM1718</v>
          </cell>
        </row>
        <row r="6519">
          <cell r="A6519" t="str">
            <v>YZ-HM1727-Pi-2XL</v>
          </cell>
          <cell r="B6519" t="str">
            <v>YZ-HM1727</v>
          </cell>
        </row>
        <row r="6520">
          <cell r="A6520" t="str">
            <v>YZ-HM1727-Pi-3XL</v>
          </cell>
          <cell r="B6520" t="str">
            <v>YZ-HM1727</v>
          </cell>
        </row>
        <row r="6521">
          <cell r="A6521" t="str">
            <v>YZ-HM1727-Pi-4XL</v>
          </cell>
          <cell r="B6521" t="str">
            <v>YZ-HM1727</v>
          </cell>
        </row>
        <row r="6522">
          <cell r="A6522" t="str">
            <v>YZ-HM1727-Pi-5XL</v>
          </cell>
          <cell r="B6522" t="str">
            <v>YZ-HM1727</v>
          </cell>
        </row>
        <row r="6523">
          <cell r="A6523" t="str">
            <v>YZ-HM1727-Pi-L</v>
          </cell>
          <cell r="B6523" t="str">
            <v>YZ-HM1727</v>
          </cell>
        </row>
        <row r="6524">
          <cell r="A6524" t="str">
            <v>YZ-HM1727-Pi-L-GM</v>
          </cell>
          <cell r="B6524" t="str">
            <v>YZ-HM1727</v>
          </cell>
        </row>
        <row r="6525">
          <cell r="A6525" t="str">
            <v>YZ-HM1727-Pi-M</v>
          </cell>
          <cell r="B6525" t="str">
            <v>YZ-HM1727</v>
          </cell>
        </row>
        <row r="6526">
          <cell r="A6526" t="str">
            <v>YZ-HM1727-Pi-S</v>
          </cell>
          <cell r="B6526" t="str">
            <v>YZ-HM1727</v>
          </cell>
        </row>
        <row r="6527">
          <cell r="A6527" t="str">
            <v>YZ-HM1727-Pi-XL</v>
          </cell>
          <cell r="B6527" t="str">
            <v>YZ-HM1727</v>
          </cell>
        </row>
        <row r="6528">
          <cell r="A6528" t="str">
            <v>YZ-HM1727-Pi-XL-GM</v>
          </cell>
          <cell r="B6528" t="str">
            <v>YZ-HM1727</v>
          </cell>
        </row>
        <row r="6529">
          <cell r="A6529" t="str">
            <v>YZ-HM1728-ZL-L</v>
          </cell>
          <cell r="B6529" t="str">
            <v>YZ-HM1728</v>
          </cell>
        </row>
        <row r="6530">
          <cell r="A6530" t="str">
            <v>YZ-HM1728-ZL-M</v>
          </cell>
          <cell r="B6530" t="str">
            <v>YZ-HM1728</v>
          </cell>
        </row>
        <row r="6531">
          <cell r="A6531" t="str">
            <v>YZ-HM1728-ZL-S</v>
          </cell>
          <cell r="B6531" t="str">
            <v>YZ-HM1728</v>
          </cell>
        </row>
        <row r="6532">
          <cell r="A6532" t="str">
            <v>YZ-HM1728-ZL-XL</v>
          </cell>
          <cell r="B6532" t="str">
            <v>YZ-HM1728</v>
          </cell>
        </row>
        <row r="6533">
          <cell r="A6533" t="str">
            <v>YZ-HM174164-SY-2XL</v>
          </cell>
          <cell r="B6533" t="str">
            <v>YZ-HM174164</v>
          </cell>
        </row>
        <row r="6534">
          <cell r="A6534" t="str">
            <v>YZ-HM174164-SY-3XL</v>
          </cell>
          <cell r="B6534" t="str">
            <v>YZ-HM174164</v>
          </cell>
        </row>
        <row r="6535">
          <cell r="A6535" t="str">
            <v>YZ-HM174164-SY-4XL</v>
          </cell>
          <cell r="B6535" t="str">
            <v>YZ-HM174164</v>
          </cell>
        </row>
        <row r="6536">
          <cell r="A6536" t="str">
            <v>YZ-HM174164-SY-5XL</v>
          </cell>
          <cell r="B6536" t="str">
            <v>YZ-HM174164</v>
          </cell>
        </row>
        <row r="6537">
          <cell r="A6537" t="str">
            <v>YZ-HM174164-SY-L</v>
          </cell>
          <cell r="B6537" t="str">
            <v>YZ-HM174164</v>
          </cell>
        </row>
        <row r="6538">
          <cell r="A6538" t="str">
            <v>YZ-HM174164-SY-M</v>
          </cell>
          <cell r="B6538" t="str">
            <v>YZ-HM174164</v>
          </cell>
        </row>
        <row r="6539">
          <cell r="A6539" t="str">
            <v>YZ-HM174164-SY-S</v>
          </cell>
          <cell r="B6539" t="str">
            <v>YZ-HM174164</v>
          </cell>
        </row>
        <row r="6540">
          <cell r="A6540" t="str">
            <v>YZ-HM174164-SY-XL</v>
          </cell>
          <cell r="B6540" t="str">
            <v>YZ-HM174164</v>
          </cell>
        </row>
        <row r="6541">
          <cell r="A6541" t="str">
            <v>YZ-HM1757-K0-L</v>
          </cell>
          <cell r="B6541" t="str">
            <v>YZ-HM1757</v>
          </cell>
        </row>
        <row r="6542">
          <cell r="A6542" t="str">
            <v>YZ-HM1757-K0-M</v>
          </cell>
          <cell r="B6542" t="str">
            <v>YZ-HM1757</v>
          </cell>
        </row>
        <row r="6543">
          <cell r="A6543" t="str">
            <v>YZ-HM1757-K0-S</v>
          </cell>
          <cell r="B6543" t="str">
            <v>YZ-HM1757</v>
          </cell>
        </row>
        <row r="6544">
          <cell r="A6544" t="str">
            <v>YZ-HM1757-K0-XL</v>
          </cell>
          <cell r="B6544" t="str">
            <v>YZ-HM1757</v>
          </cell>
        </row>
        <row r="6545">
          <cell r="A6545" t="str">
            <v>YZ-HM1757-Pi-L</v>
          </cell>
          <cell r="B6545" t="str">
            <v>YZ-HM1757</v>
          </cell>
        </row>
        <row r="6546">
          <cell r="A6546" t="str">
            <v>YZ-HM1757-Pi-L-GM</v>
          </cell>
          <cell r="B6546" t="str">
            <v>YZ-HM1757</v>
          </cell>
        </row>
        <row r="6547">
          <cell r="A6547" t="str">
            <v>YZ-HM1757-Pi-M</v>
          </cell>
          <cell r="B6547" t="str">
            <v>YZ-HM1757</v>
          </cell>
        </row>
        <row r="6548">
          <cell r="A6548" t="str">
            <v>YZ-HM1757-Pi-S</v>
          </cell>
          <cell r="B6548" t="str">
            <v>YZ-HM1757</v>
          </cell>
        </row>
        <row r="6549">
          <cell r="A6549" t="str">
            <v>YZ-HM1757-Pi-XL</v>
          </cell>
          <cell r="B6549" t="str">
            <v>YZ-HM1757</v>
          </cell>
        </row>
        <row r="6550">
          <cell r="A6550" t="str">
            <v>YZ-HM17845-YH-L</v>
          </cell>
          <cell r="B6550" t="str">
            <v>YZ-HM17845</v>
          </cell>
        </row>
        <row r="6551">
          <cell r="A6551" t="str">
            <v>YZ-HM17845-YH-M</v>
          </cell>
          <cell r="B6551" t="str">
            <v>YZ-HM17845</v>
          </cell>
        </row>
        <row r="6552">
          <cell r="A6552" t="str">
            <v>YZ-HM17845-YH-S</v>
          </cell>
          <cell r="B6552" t="str">
            <v>YZ-HM17845</v>
          </cell>
        </row>
        <row r="6553">
          <cell r="A6553" t="str">
            <v>YZ-HM17845-YH-S-GM</v>
          </cell>
          <cell r="B6553" t="str">
            <v>YZ-HM17845</v>
          </cell>
        </row>
        <row r="6554">
          <cell r="A6554" t="str">
            <v>YZ-HM17845-YH-XL</v>
          </cell>
          <cell r="B6554" t="str">
            <v>YZ-HM17845</v>
          </cell>
        </row>
        <row r="6555">
          <cell r="A6555" t="str">
            <v>YZ-HM17-G0-2XL</v>
          </cell>
          <cell r="B6555" t="str">
            <v>YZ-HM17</v>
          </cell>
        </row>
        <row r="6556">
          <cell r="A6556" t="str">
            <v>YZ-HM17-G0-L</v>
          </cell>
          <cell r="B6556" t="str">
            <v>YZ-HM17</v>
          </cell>
        </row>
        <row r="6557">
          <cell r="A6557" t="str">
            <v>YZ-HM17-G0-XL</v>
          </cell>
          <cell r="B6557" t="str">
            <v>YZ-HM17</v>
          </cell>
        </row>
        <row r="6558">
          <cell r="A6558" t="str">
            <v>YZ-HM241-DS-2XL</v>
          </cell>
          <cell r="B6558" t="str">
            <v>YZ-HM241</v>
          </cell>
        </row>
        <row r="6559">
          <cell r="A6559" t="str">
            <v>YZ-HM241-DS-L</v>
          </cell>
          <cell r="B6559" t="str">
            <v>YZ-HM241</v>
          </cell>
        </row>
        <row r="6560">
          <cell r="A6560" t="str">
            <v>YZ-HM241-DS-M</v>
          </cell>
          <cell r="B6560" t="str">
            <v>YZ-HM241</v>
          </cell>
        </row>
        <row r="6561">
          <cell r="A6561" t="str">
            <v>YZ-HM241-DS-XL</v>
          </cell>
          <cell r="B6561" t="str">
            <v>YZ-HM241</v>
          </cell>
        </row>
        <row r="6562">
          <cell r="A6562" t="str">
            <v>YZ-HM241-G0-2XL</v>
          </cell>
          <cell r="B6562" t="str">
            <v>YZ-HM241</v>
          </cell>
        </row>
        <row r="6563">
          <cell r="A6563" t="str">
            <v>YZ-HM241-G0-3XL</v>
          </cell>
          <cell r="B6563" t="str">
            <v>YZ-HM241</v>
          </cell>
        </row>
        <row r="6564">
          <cell r="A6564" t="str">
            <v>YZ-HM241-G0-L</v>
          </cell>
          <cell r="B6564" t="str">
            <v>YZ-HM241</v>
          </cell>
        </row>
        <row r="6565">
          <cell r="A6565" t="str">
            <v>YZ-HM241-G0-M</v>
          </cell>
          <cell r="B6565" t="str">
            <v>YZ-HM241</v>
          </cell>
        </row>
        <row r="6566">
          <cell r="A6566" t="str">
            <v>YZ-HM241-G0-S</v>
          </cell>
          <cell r="B6566" t="str">
            <v>YZ-HM241</v>
          </cell>
        </row>
        <row r="6567">
          <cell r="A6567" t="str">
            <v>YZ-HM241-G0-XL</v>
          </cell>
          <cell r="B6567" t="str">
            <v>YZ-HM241</v>
          </cell>
        </row>
        <row r="6568">
          <cell r="A6568" t="str">
            <v>YZ-HM241-K0-2XL</v>
          </cell>
          <cell r="B6568" t="str">
            <v>YZ-HM241</v>
          </cell>
        </row>
        <row r="6569">
          <cell r="A6569" t="str">
            <v>YZ-HM241-K0-3XL</v>
          </cell>
          <cell r="B6569" t="str">
            <v>YZ-HM241</v>
          </cell>
        </row>
        <row r="6570">
          <cell r="A6570" t="str">
            <v>YZ-HM241-K0-4XL</v>
          </cell>
          <cell r="B6570" t="str">
            <v>YZ-HM241</v>
          </cell>
        </row>
        <row r="6571">
          <cell r="A6571" t="str">
            <v>YZ-HM241-K0-5XL</v>
          </cell>
          <cell r="B6571" t="str">
            <v>YZ-HM241</v>
          </cell>
        </row>
        <row r="6572">
          <cell r="A6572" t="str">
            <v>YZ-HM241-K0-L</v>
          </cell>
          <cell r="B6572" t="str">
            <v>YZ-HM241</v>
          </cell>
        </row>
        <row r="6573">
          <cell r="A6573" t="str">
            <v>YZ-HM241-K0-M</v>
          </cell>
          <cell r="B6573" t="str">
            <v>YZ-HM241</v>
          </cell>
        </row>
        <row r="6574">
          <cell r="A6574" t="str">
            <v>YZ-HM241-K0-S</v>
          </cell>
          <cell r="B6574" t="str">
            <v>YZ-HM241</v>
          </cell>
        </row>
        <row r="6575">
          <cell r="A6575" t="str">
            <v>YZ-HM241-K0-XL</v>
          </cell>
          <cell r="B6575" t="str">
            <v>YZ-HM241</v>
          </cell>
        </row>
        <row r="6576">
          <cell r="A6576" t="str">
            <v>YZ-HM241-R0-2XL</v>
          </cell>
          <cell r="B6576" t="str">
            <v>YZ-HM241</v>
          </cell>
        </row>
        <row r="6577">
          <cell r="A6577" t="str">
            <v>YZ-HM241-R0-3XL</v>
          </cell>
          <cell r="B6577" t="str">
            <v>YZ-HM241</v>
          </cell>
        </row>
        <row r="6578">
          <cell r="A6578" t="str">
            <v>YZ-HM241-R0-L</v>
          </cell>
          <cell r="B6578" t="str">
            <v>YZ-HM241</v>
          </cell>
        </row>
        <row r="6579">
          <cell r="A6579" t="str">
            <v>YZ-HM241-R0-M</v>
          </cell>
          <cell r="B6579" t="str">
            <v>YZ-HM241</v>
          </cell>
        </row>
        <row r="6580">
          <cell r="A6580" t="str">
            <v>YZ-HM241-R0-S</v>
          </cell>
          <cell r="B6580" t="str">
            <v>YZ-HM241</v>
          </cell>
        </row>
        <row r="6581">
          <cell r="A6581" t="str">
            <v>YZ-HM241-R0-XL</v>
          </cell>
          <cell r="B6581" t="str">
            <v>YZ-HM241</v>
          </cell>
        </row>
        <row r="6582">
          <cell r="A6582" t="str">
            <v>YZ-HM241-SH-2XL</v>
          </cell>
          <cell r="B6582" t="str">
            <v>YZ-HM241</v>
          </cell>
        </row>
        <row r="6583">
          <cell r="A6583" t="str">
            <v>YZ-HM241-SH-3XL</v>
          </cell>
          <cell r="B6583" t="str">
            <v>YZ-HM241</v>
          </cell>
        </row>
        <row r="6584">
          <cell r="A6584" t="str">
            <v>YZ-HM241-SH-4XL</v>
          </cell>
          <cell r="B6584" t="str">
            <v>YZ-HM241</v>
          </cell>
        </row>
        <row r="6585">
          <cell r="A6585" t="str">
            <v>YZ-HM241-SH-5XL</v>
          </cell>
          <cell r="B6585" t="str">
            <v>YZ-HM241</v>
          </cell>
        </row>
        <row r="6586">
          <cell r="A6586" t="str">
            <v>YZ-HM241-SH-L</v>
          </cell>
          <cell r="B6586" t="str">
            <v>YZ-HM241</v>
          </cell>
        </row>
        <row r="6587">
          <cell r="A6587" t="str">
            <v>YZ-HM241-SH-M</v>
          </cell>
          <cell r="B6587" t="str">
            <v>YZ-HM241</v>
          </cell>
        </row>
        <row r="6588">
          <cell r="A6588" t="str">
            <v>YZ-HM241-SH-S</v>
          </cell>
          <cell r="B6588" t="str">
            <v>YZ-HM241</v>
          </cell>
        </row>
        <row r="6589">
          <cell r="A6589" t="str">
            <v>YZ-HM241-SH-XL</v>
          </cell>
          <cell r="B6589" t="str">
            <v>YZ-HM241</v>
          </cell>
        </row>
        <row r="6590">
          <cell r="A6590" t="str">
            <v>YZ-HM241-ZL-2XL</v>
          </cell>
          <cell r="B6590" t="str">
            <v>YZ-HM241</v>
          </cell>
        </row>
        <row r="6591">
          <cell r="A6591" t="str">
            <v>YZ-HM241-ZL-3XL</v>
          </cell>
          <cell r="B6591" t="str">
            <v>YZ-HM241</v>
          </cell>
        </row>
        <row r="6592">
          <cell r="A6592" t="str">
            <v>YZ-HM241-ZL-L</v>
          </cell>
          <cell r="B6592" t="str">
            <v>YZ-HM241</v>
          </cell>
        </row>
        <row r="6593">
          <cell r="A6593" t="str">
            <v>YZ-HM241-ZL-M</v>
          </cell>
          <cell r="B6593" t="str">
            <v>YZ-HM241</v>
          </cell>
        </row>
        <row r="6594">
          <cell r="A6594" t="str">
            <v>YZ-HM241-ZL-S</v>
          </cell>
          <cell r="B6594" t="str">
            <v>YZ-HM241</v>
          </cell>
        </row>
        <row r="6595">
          <cell r="A6595" t="str">
            <v>YZ-HM241-ZL-XL</v>
          </cell>
          <cell r="B6595" t="str">
            <v>YZ-HM241</v>
          </cell>
        </row>
        <row r="6596">
          <cell r="A6596" t="str">
            <v>YZ-HM2508-G0-L</v>
          </cell>
          <cell r="B6596" t="str">
            <v>YZ-HM2508</v>
          </cell>
        </row>
        <row r="6597">
          <cell r="A6597" t="str">
            <v>YZ-HM2508-G0-M</v>
          </cell>
          <cell r="B6597" t="str">
            <v>YZ-HM2508</v>
          </cell>
        </row>
        <row r="6598">
          <cell r="A6598" t="str">
            <v>YZ-HM2508-K0-L</v>
          </cell>
          <cell r="B6598" t="str">
            <v>YZ-HM2508</v>
          </cell>
        </row>
        <row r="6599">
          <cell r="A6599" t="str">
            <v>YZ-HM2508-K0-M</v>
          </cell>
          <cell r="B6599" t="str">
            <v>YZ-HM2508</v>
          </cell>
        </row>
        <row r="6600">
          <cell r="A6600" t="str">
            <v>YZ-HM2508-R0-L</v>
          </cell>
          <cell r="B6600" t="str">
            <v>YZ-HM2508</v>
          </cell>
        </row>
        <row r="6601">
          <cell r="A6601" t="str">
            <v>YZ-HM2508-R0-M</v>
          </cell>
          <cell r="B6601" t="str">
            <v>YZ-HM2508</v>
          </cell>
        </row>
        <row r="6602">
          <cell r="A6602" t="str">
            <v>YZ-HM30CH</v>
          </cell>
          <cell r="B6602" t="str">
            <v>YZ-HM30CH</v>
          </cell>
        </row>
        <row r="6603">
          <cell r="A6603" t="str">
            <v>YZ-HM30CH-K0-L</v>
          </cell>
          <cell r="B6603" t="str">
            <v>YZ-HM30CH</v>
          </cell>
        </row>
        <row r="6604">
          <cell r="A6604" t="str">
            <v>YZ-HM30CH-K0-M</v>
          </cell>
          <cell r="B6604" t="str">
            <v>YZ-HM30CH</v>
          </cell>
        </row>
        <row r="6605">
          <cell r="A6605" t="str">
            <v>YZ-HM30CH-K0-S</v>
          </cell>
          <cell r="B6605" t="str">
            <v>YZ-HM30CH</v>
          </cell>
        </row>
        <row r="6606">
          <cell r="A6606" t="str">
            <v>YZ-HM30CH-K0-S-GM</v>
          </cell>
          <cell r="B6606" t="str">
            <v>YZ-HM30CH</v>
          </cell>
        </row>
        <row r="6607">
          <cell r="A6607" t="str">
            <v>YZ-HM30CH-K0-XL</v>
          </cell>
          <cell r="B6607" t="str">
            <v>YZ-HM30CH</v>
          </cell>
        </row>
        <row r="6608">
          <cell r="A6608" t="str">
            <v>YZ-HM30CH-K0-XS</v>
          </cell>
          <cell r="B6608" t="str">
            <v>YZ-HM30CH</v>
          </cell>
        </row>
        <row r="6609">
          <cell r="A6609" t="str">
            <v>YZ-HM30CH-L</v>
          </cell>
          <cell r="B6609" t="str">
            <v>YZ-HM30CH</v>
          </cell>
        </row>
        <row r="6610">
          <cell r="A6610" t="str">
            <v>YZ-HM30CH-L-GM</v>
          </cell>
          <cell r="B6610" t="str">
            <v>YZ-HM30CH</v>
          </cell>
        </row>
        <row r="6611">
          <cell r="A6611" t="str">
            <v>YZ-HM30CH-M</v>
          </cell>
          <cell r="B6611" t="str">
            <v>YZ-HM30CH</v>
          </cell>
        </row>
        <row r="6612">
          <cell r="A6612" t="str">
            <v>YZ-HM30CH-M-GM</v>
          </cell>
          <cell r="B6612" t="str">
            <v>YZ-HM30CH</v>
          </cell>
        </row>
        <row r="6613">
          <cell r="A6613" t="str">
            <v>YZ-HM30CH-Pi-L</v>
          </cell>
          <cell r="B6613" t="str">
            <v>YZ-HM30CH</v>
          </cell>
        </row>
        <row r="6614">
          <cell r="A6614" t="str">
            <v>YZ-HM30CH-Pi-M</v>
          </cell>
          <cell r="B6614" t="str">
            <v>YZ-HM30CH</v>
          </cell>
        </row>
        <row r="6615">
          <cell r="A6615" t="str">
            <v>YZ-HM30CH-Pi-S</v>
          </cell>
          <cell r="B6615" t="str">
            <v>YZ-HM30CH</v>
          </cell>
        </row>
        <row r="6616">
          <cell r="A6616" t="str">
            <v>YZ-HM30CH-Pi-XL</v>
          </cell>
          <cell r="B6616" t="str">
            <v>YZ-HM30CH</v>
          </cell>
        </row>
        <row r="6617">
          <cell r="A6617" t="str">
            <v>YZ-HM30CH-Pi-XS</v>
          </cell>
          <cell r="B6617" t="str">
            <v>YZ-HM30CH</v>
          </cell>
        </row>
        <row r="6618">
          <cell r="A6618" t="str">
            <v>YZ-HM30CH-S</v>
          </cell>
          <cell r="B6618" t="str">
            <v>YZ-HM30CH</v>
          </cell>
        </row>
        <row r="6619">
          <cell r="A6619" t="str">
            <v>YZ-HM30CH-S-GM</v>
          </cell>
          <cell r="B6619" t="str">
            <v>YZ-HM30CH</v>
          </cell>
        </row>
        <row r="6620">
          <cell r="A6620" t="str">
            <v>YZ-HM30CH-XL</v>
          </cell>
          <cell r="B6620" t="str">
            <v>YZ-HM30CH</v>
          </cell>
        </row>
        <row r="6621">
          <cell r="A6621" t="str">
            <v>YZ-HM30CH-XL-GM</v>
          </cell>
          <cell r="B6621" t="str">
            <v>YZ-HM30CH</v>
          </cell>
        </row>
        <row r="6622">
          <cell r="A6622" t="str">
            <v>YZ-HM30CH-XL-GMM</v>
          </cell>
          <cell r="B6622" t="str">
            <v>YZ-HM30CH</v>
          </cell>
        </row>
        <row r="6623">
          <cell r="A6623" t="str">
            <v>YZ-HM30CH-XS</v>
          </cell>
          <cell r="B6623" t="str">
            <v>YZ-HM30CH</v>
          </cell>
        </row>
        <row r="6624">
          <cell r="A6624" t="str">
            <v>YZ-HM30CH-XS-GM</v>
          </cell>
          <cell r="B6624" t="str">
            <v>YZ-HM30CH</v>
          </cell>
        </row>
        <row r="6625">
          <cell r="A6625" t="str">
            <v>YZ-HM33-B0-L</v>
          </cell>
          <cell r="B6625" t="str">
            <v>YZ-HM33</v>
          </cell>
        </row>
        <row r="6626">
          <cell r="A6626" t="str">
            <v>YZ-HM33-B0-M</v>
          </cell>
          <cell r="B6626" t="str">
            <v>YZ-HM33</v>
          </cell>
        </row>
        <row r="6627">
          <cell r="A6627" t="str">
            <v>YZ-HM33-K0-L</v>
          </cell>
          <cell r="B6627" t="str">
            <v>YZ-HM33</v>
          </cell>
        </row>
        <row r="6628">
          <cell r="A6628" t="str">
            <v>YZ-HM33-K0-M</v>
          </cell>
          <cell r="B6628" t="str">
            <v>YZ-HM33</v>
          </cell>
        </row>
        <row r="6629">
          <cell r="A6629" t="str">
            <v>YZ-HM33-K0-S</v>
          </cell>
          <cell r="B6629" t="str">
            <v>YZ-HM33</v>
          </cell>
        </row>
        <row r="6630">
          <cell r="A6630" t="str">
            <v>YZ-HM33-K0-XL</v>
          </cell>
          <cell r="B6630" t="str">
            <v>YZ-HM33</v>
          </cell>
        </row>
        <row r="6631">
          <cell r="A6631" t="str">
            <v>YZ-HM33-R0-L</v>
          </cell>
          <cell r="B6631" t="str">
            <v>YZ-HM33</v>
          </cell>
        </row>
        <row r="6632">
          <cell r="A6632" t="str">
            <v>YZ-HM33-R0-M</v>
          </cell>
          <cell r="B6632" t="str">
            <v>YZ-HM33</v>
          </cell>
        </row>
        <row r="6633">
          <cell r="A6633" t="str">
            <v>YZ-HM33-R0-XL</v>
          </cell>
          <cell r="B6633" t="str">
            <v>YZ-HM33</v>
          </cell>
        </row>
        <row r="6634">
          <cell r="A6634" t="str">
            <v>YZ-HM41843-AS-2XL</v>
          </cell>
          <cell r="B6634" t="str">
            <v>YZ-HM41843</v>
          </cell>
        </row>
        <row r="6635">
          <cell r="A6635" t="str">
            <v>YZ-HM462-WR-4XL</v>
          </cell>
          <cell r="B6635" t="str">
            <v>YZ-HM462</v>
          </cell>
        </row>
        <row r="6636">
          <cell r="A6636" t="str">
            <v>YZ-HM5036-B0-2XL</v>
          </cell>
          <cell r="B6636" t="str">
            <v>YZ-HM5036</v>
          </cell>
        </row>
        <row r="6637">
          <cell r="A6637" t="str">
            <v>YZ-HM5036-W0-2XL</v>
          </cell>
          <cell r="B6637" t="str">
            <v>YZ-HM5036</v>
          </cell>
        </row>
        <row r="6638">
          <cell r="A6638" t="str">
            <v>YZ-HM5036-W0-3XL</v>
          </cell>
          <cell r="B6638" t="str">
            <v>YZ-HM5036</v>
          </cell>
        </row>
        <row r="6639">
          <cell r="A6639" t="str">
            <v>YZ-HM5036-W0-L</v>
          </cell>
          <cell r="B6639" t="str">
            <v>YZ-HM5036</v>
          </cell>
        </row>
        <row r="6640">
          <cell r="A6640" t="str">
            <v>YZ-HM5036-W0-XL</v>
          </cell>
          <cell r="B6640" t="str">
            <v>YZ-HM5036</v>
          </cell>
        </row>
        <row r="6641">
          <cell r="A6641" t="str">
            <v>YZ-HM5048-K0-L</v>
          </cell>
          <cell r="B6641" t="str">
            <v>YZ-HM5048</v>
          </cell>
        </row>
        <row r="6642">
          <cell r="A6642" t="str">
            <v>YZ-HM5048-K0-XL</v>
          </cell>
          <cell r="B6642" t="str">
            <v>YZ-HM5048</v>
          </cell>
        </row>
        <row r="6643">
          <cell r="A6643" t="str">
            <v>YZ-HM5263-K0-L</v>
          </cell>
          <cell r="B6643" t="str">
            <v>YZ-HM5263</v>
          </cell>
        </row>
        <row r="6644">
          <cell r="A6644" t="str">
            <v>YZ-HM5263-R0-L</v>
          </cell>
          <cell r="B6644" t="str">
            <v>YZ-HM5263</v>
          </cell>
        </row>
        <row r="6645">
          <cell r="A6645" t="str">
            <v>YZ-HM5263-R0-M</v>
          </cell>
          <cell r="B6645" t="str">
            <v>YZ-HM5263</v>
          </cell>
        </row>
        <row r="6646">
          <cell r="A6646" t="str">
            <v>YZ-HM5263-R0-S</v>
          </cell>
          <cell r="B6646" t="str">
            <v>YZ-HM5263</v>
          </cell>
        </row>
        <row r="6647">
          <cell r="A6647" t="str">
            <v>YZ-HM5263-W0-L</v>
          </cell>
          <cell r="B6647" t="str">
            <v>YZ-HM5263</v>
          </cell>
        </row>
        <row r="6648">
          <cell r="A6648" t="str">
            <v>YZ-HM6175-B0-L</v>
          </cell>
          <cell r="B6648" t="str">
            <v>YZ-HM6175</v>
          </cell>
        </row>
        <row r="6649">
          <cell r="A6649" t="str">
            <v>YZ-HM6175-B0-M</v>
          </cell>
          <cell r="B6649" t="str">
            <v>YZ-HM6175</v>
          </cell>
        </row>
        <row r="6650">
          <cell r="A6650" t="str">
            <v>YZ-HM6175-G0-M</v>
          </cell>
          <cell r="B6650" t="str">
            <v>YZ-HM6175</v>
          </cell>
        </row>
        <row r="6651">
          <cell r="A6651" t="str">
            <v>YZ-HM6175-K0-M</v>
          </cell>
          <cell r="B6651" t="str">
            <v>YZ-HM6175</v>
          </cell>
        </row>
        <row r="6652">
          <cell r="A6652" t="str">
            <v>YZ-HM6175-R0-M</v>
          </cell>
          <cell r="B6652" t="str">
            <v>YZ-HM6175</v>
          </cell>
        </row>
        <row r="6653">
          <cell r="A6653" t="str">
            <v>YZ-HM635-FB-4XL</v>
          </cell>
          <cell r="B6653" t="str">
            <v>YZ-HM635</v>
          </cell>
        </row>
        <row r="6654">
          <cell r="A6654" t="str">
            <v>YZ-HM635-LB-L</v>
          </cell>
          <cell r="B6654" t="str">
            <v>YZ-HM635</v>
          </cell>
        </row>
        <row r="6655">
          <cell r="A6655" t="str">
            <v>YZ-HM635-R0-2XL</v>
          </cell>
          <cell r="B6655" t="str">
            <v>YZ-HM635</v>
          </cell>
        </row>
        <row r="6656">
          <cell r="A6656" t="str">
            <v>YZ-HM635-R0-L</v>
          </cell>
          <cell r="B6656" t="str">
            <v>YZ-HM635</v>
          </cell>
        </row>
        <row r="6657">
          <cell r="A6657" t="str">
            <v>YZ-HM635-R2-XL</v>
          </cell>
          <cell r="B6657" t="str">
            <v>YZ-HM635</v>
          </cell>
        </row>
        <row r="6658">
          <cell r="A6658" t="str">
            <v>YZ-HM635-Y0-L</v>
          </cell>
          <cell r="B6658" t="str">
            <v>YZ-HM635</v>
          </cell>
        </row>
        <row r="6659">
          <cell r="A6659" t="str">
            <v>YZ-HM688-K0-L</v>
          </cell>
          <cell r="B6659" t="str">
            <v>YZ-HM688</v>
          </cell>
        </row>
        <row r="6660">
          <cell r="A6660" t="str">
            <v>YZ-HM688-K0-XL</v>
          </cell>
          <cell r="B6660" t="str">
            <v>YZ-HM688</v>
          </cell>
        </row>
        <row r="6661">
          <cell r="A6661" t="str">
            <v>YZ-HM7035-DJG0-L</v>
          </cell>
          <cell r="B6661" t="str">
            <v>YZ-HM7035</v>
          </cell>
        </row>
        <row r="6662">
          <cell r="A6662" t="str">
            <v>YZ-HM7035-DJG0-M</v>
          </cell>
          <cell r="B6662" t="str">
            <v>YZ-HM7035</v>
          </cell>
        </row>
        <row r="6663">
          <cell r="A6663" t="str">
            <v>YZ-HM7035-DJG0-S</v>
          </cell>
          <cell r="B6663" t="str">
            <v>YZ-HM7035</v>
          </cell>
        </row>
        <row r="6664">
          <cell r="A6664" t="str">
            <v>YZ-HM7035-DJG0-XL</v>
          </cell>
          <cell r="B6664" t="str">
            <v>YZ-HM7035</v>
          </cell>
        </row>
        <row r="6665">
          <cell r="A6665" t="str">
            <v>YZ-HM7035-G0-L</v>
          </cell>
          <cell r="B6665" t="str">
            <v>YZ-HM7035</v>
          </cell>
        </row>
        <row r="6666">
          <cell r="A6666" t="str">
            <v>YZ-HM7035-G0-M</v>
          </cell>
          <cell r="B6666" t="str">
            <v>YZ-HM7035</v>
          </cell>
        </row>
        <row r="6667">
          <cell r="A6667" t="str">
            <v>YZ-HM7035-G0-S</v>
          </cell>
          <cell r="B6667" t="str">
            <v>YZ-HM7035</v>
          </cell>
        </row>
        <row r="6668">
          <cell r="A6668" t="str">
            <v>YZ-HM7035-G0-XL</v>
          </cell>
          <cell r="B6668" t="str">
            <v>YZ-HM7035</v>
          </cell>
        </row>
        <row r="6669">
          <cell r="A6669" t="str">
            <v>YZ-HM7040-ZL-L</v>
          </cell>
          <cell r="B6669" t="str">
            <v>YZ-HM7040</v>
          </cell>
        </row>
        <row r="6670">
          <cell r="A6670" t="str">
            <v>YZ-HM7040-ZL-M</v>
          </cell>
          <cell r="B6670" t="str">
            <v>YZ-HM7040</v>
          </cell>
        </row>
        <row r="6671">
          <cell r="A6671" t="str">
            <v>YZ-HM7040-ZL-S</v>
          </cell>
          <cell r="B6671" t="str">
            <v>YZ-HM7040</v>
          </cell>
        </row>
        <row r="6672">
          <cell r="A6672" t="str">
            <v>YZ-HM7040-ZL-XL</v>
          </cell>
          <cell r="B6672" t="str">
            <v>YZ-HM7040</v>
          </cell>
        </row>
        <row r="6673">
          <cell r="A6673" t="str">
            <v>YZ-HM7889-B0-1X</v>
          </cell>
          <cell r="B6673" t="str">
            <v>YZ-HM7889</v>
          </cell>
        </row>
        <row r="6674">
          <cell r="A6674" t="str">
            <v>YZ-HM7889-B0-2X</v>
          </cell>
          <cell r="B6674" t="str">
            <v>YZ-HM7889</v>
          </cell>
        </row>
        <row r="6675">
          <cell r="A6675" t="str">
            <v>YZ-HM7889-B0-4X</v>
          </cell>
          <cell r="B6675" t="str">
            <v>YZ-HM7889</v>
          </cell>
        </row>
        <row r="6676">
          <cell r="A6676" t="str">
            <v>YZ-HM7889-B0-5X</v>
          </cell>
          <cell r="B6676" t="str">
            <v>YZ-HM7889</v>
          </cell>
        </row>
        <row r="6677">
          <cell r="A6677" t="str">
            <v>YZ-HM7889-R0-1X</v>
          </cell>
          <cell r="B6677" t="str">
            <v>YZ-HM7889</v>
          </cell>
        </row>
        <row r="6678">
          <cell r="A6678" t="str">
            <v>YZ-HM7889-R0-3X</v>
          </cell>
          <cell r="B6678" t="str">
            <v>YZ-HM7889</v>
          </cell>
        </row>
        <row r="6679">
          <cell r="A6679" t="str">
            <v>YZ-HM7889-R0-4X</v>
          </cell>
          <cell r="B6679" t="str">
            <v>YZ-HM7889</v>
          </cell>
        </row>
        <row r="6680">
          <cell r="A6680" t="str">
            <v>YZ-HM7889-R0-5X</v>
          </cell>
          <cell r="B6680" t="str">
            <v>YZ-HM7889</v>
          </cell>
        </row>
        <row r="6681">
          <cell r="A6681" t="str">
            <v>YZ-HMBKN0193-W0-XL</v>
          </cell>
          <cell r="B6681" t="str">
            <v>YZ-HMBKN0193</v>
          </cell>
        </row>
        <row r="6682">
          <cell r="A6682" t="str">
            <v>YZ-HMBKN0193-W0-XXL</v>
          </cell>
          <cell r="B6682" t="str">
            <v>YZ-HMBKN0193</v>
          </cell>
        </row>
        <row r="6683">
          <cell r="A6683" t="str">
            <v>YZ-HMBKN1209</v>
          </cell>
          <cell r="B6683" t="str">
            <v>YZ-HMBKN1209</v>
          </cell>
        </row>
        <row r="6684">
          <cell r="A6684" t="str">
            <v>YZ-HMBKN1209-L</v>
          </cell>
          <cell r="B6684" t="str">
            <v>YZ-HMBKN1209</v>
          </cell>
        </row>
        <row r="6685">
          <cell r="A6685" t="str">
            <v>YZ-HMBKN1209-M</v>
          </cell>
          <cell r="B6685" t="str">
            <v>YZ-HMBKN1209</v>
          </cell>
        </row>
        <row r="6686">
          <cell r="A6686" t="str">
            <v>YZ-HMBKN1209-S</v>
          </cell>
          <cell r="B6686" t="str">
            <v>YZ-HMBKN1209</v>
          </cell>
        </row>
        <row r="6687">
          <cell r="A6687" t="str">
            <v>YZ-HMBKN1209-XL</v>
          </cell>
          <cell r="B6687" t="str">
            <v>YZ-HMBKN1209</v>
          </cell>
        </row>
        <row r="6688">
          <cell r="A6688" t="str">
            <v>YZ-HMBKN1209-XXL</v>
          </cell>
          <cell r="B6688" t="str">
            <v>YZ-HMBKN1209</v>
          </cell>
        </row>
        <row r="6689">
          <cell r="A6689" t="str">
            <v>YZ-HMBKN16024-G0-L</v>
          </cell>
          <cell r="B6689" t="str">
            <v>YZ-HMBKN16024</v>
          </cell>
        </row>
        <row r="6690">
          <cell r="A6690" t="str">
            <v>YZ-HMBKN16024-G0-M</v>
          </cell>
          <cell r="B6690" t="str">
            <v>YZ-HMBKN16024</v>
          </cell>
        </row>
        <row r="6691">
          <cell r="A6691" t="str">
            <v>YZ-HMBKN16024-G0-S</v>
          </cell>
          <cell r="B6691" t="str">
            <v>YZ-HMBKN16024</v>
          </cell>
        </row>
        <row r="6692">
          <cell r="A6692" t="str">
            <v>YZ-HMBKN16024-Y0-L</v>
          </cell>
          <cell r="B6692" t="str">
            <v>YZ-HMBKN16024</v>
          </cell>
        </row>
        <row r="6693">
          <cell r="A6693" t="str">
            <v>YZ-HMBKN16024-Y0-M</v>
          </cell>
          <cell r="B6693" t="str">
            <v>YZ-HMBKN16024</v>
          </cell>
        </row>
        <row r="6694">
          <cell r="A6694" t="str">
            <v>YZ-HMBKN16024-Y0-S</v>
          </cell>
          <cell r="B6694" t="str">
            <v>YZ-HMBKN16024</v>
          </cell>
        </row>
        <row r="6695">
          <cell r="A6695" t="str">
            <v>YZ-HMBKN1645-R0-S</v>
          </cell>
          <cell r="B6695" t="str">
            <v>YZ-HMBKN1645</v>
          </cell>
        </row>
        <row r="6696">
          <cell r="A6696" t="str">
            <v>YZ-HMBKN17015-K0-L</v>
          </cell>
          <cell r="B6696" t="str">
            <v>YZ-HMBKN17015</v>
          </cell>
        </row>
        <row r="6697">
          <cell r="A6697" t="str">
            <v>YZ-HMBKN17015-K0-M</v>
          </cell>
          <cell r="B6697" t="str">
            <v>YZ-HMBKN17015</v>
          </cell>
        </row>
        <row r="6698">
          <cell r="A6698" t="str">
            <v>YZ-HMBKN17015-K0-S</v>
          </cell>
          <cell r="B6698" t="str">
            <v>YZ-HMBKN17015</v>
          </cell>
        </row>
        <row r="6699">
          <cell r="A6699" t="str">
            <v>YZ-HMBKN17015-K0-XL</v>
          </cell>
          <cell r="B6699" t="str">
            <v>YZ-HMBKN17015</v>
          </cell>
        </row>
        <row r="6700">
          <cell r="A6700" t="str">
            <v>YZ-HMBKN17015-OR-L</v>
          </cell>
          <cell r="B6700" t="str">
            <v>YZ-HMBKN17015</v>
          </cell>
        </row>
        <row r="6701">
          <cell r="A6701" t="str">
            <v>YZ-HMBKN17015-OR-M</v>
          </cell>
          <cell r="B6701" t="str">
            <v>YZ-HMBKN17015</v>
          </cell>
        </row>
        <row r="6702">
          <cell r="A6702" t="str">
            <v>YZ-HMBKN17015-OR-S</v>
          </cell>
          <cell r="B6702" t="str">
            <v>YZ-HMBKN17015</v>
          </cell>
        </row>
        <row r="6703">
          <cell r="A6703" t="str">
            <v>YZ-HMBKN17015-OR-XL</v>
          </cell>
          <cell r="B6703" t="str">
            <v>YZ-HMBKN17015</v>
          </cell>
        </row>
        <row r="6704">
          <cell r="A6704" t="str">
            <v>YZ-HMBKN1715-B0-L</v>
          </cell>
          <cell r="B6704" t="str">
            <v>YZ-HMBKN1715</v>
          </cell>
        </row>
        <row r="6705">
          <cell r="A6705" t="str">
            <v>YZ-HMBKN1715-R0-L</v>
          </cell>
          <cell r="B6705" t="str">
            <v>YZ-HMBKN1715</v>
          </cell>
        </row>
        <row r="6706">
          <cell r="A6706" t="str">
            <v>YZ-HMBKN1715-R0-M</v>
          </cell>
          <cell r="B6706" t="str">
            <v>YZ-HMBKN1715</v>
          </cell>
        </row>
        <row r="6707">
          <cell r="A6707" t="str">
            <v>YZ-HMBKN1715-R0-S</v>
          </cell>
          <cell r="B6707" t="str">
            <v>YZ-HMBKN1715</v>
          </cell>
        </row>
        <row r="6708">
          <cell r="A6708" t="str">
            <v>YZ-HMBKN2600-K0-M</v>
          </cell>
          <cell r="B6708" t="str">
            <v>YZ-HMBKN2600</v>
          </cell>
        </row>
        <row r="6709">
          <cell r="A6709" t="str">
            <v>YZ-HMBKN30-B0YH-L</v>
          </cell>
          <cell r="B6709" t="str">
            <v>YZ-HMBKN30</v>
          </cell>
        </row>
        <row r="6710">
          <cell r="A6710" t="str">
            <v>YZ-HMBKN30-B0YH-M</v>
          </cell>
          <cell r="B6710" t="str">
            <v>YZ-HMBKN30</v>
          </cell>
        </row>
        <row r="6711">
          <cell r="A6711" t="str">
            <v>YZ-HMBKN30-B0YH-S</v>
          </cell>
          <cell r="B6711" t="str">
            <v>YZ-HMBKN30</v>
          </cell>
        </row>
        <row r="6712">
          <cell r="A6712" t="str">
            <v>YZ-HMBKN30-B0YH-XL</v>
          </cell>
          <cell r="B6712" t="str">
            <v>YZ-HMBKN30</v>
          </cell>
        </row>
        <row r="6713">
          <cell r="A6713" t="str">
            <v>YZ-HMBKN30-K0-L</v>
          </cell>
          <cell r="B6713" t="str">
            <v>YZ-HMBKN30</v>
          </cell>
        </row>
        <row r="6714">
          <cell r="A6714" t="str">
            <v>YZ-HMBKN30-K0-M</v>
          </cell>
          <cell r="B6714" t="str">
            <v>YZ-HMBKN30</v>
          </cell>
        </row>
        <row r="6715">
          <cell r="A6715" t="str">
            <v>YZ-HMBKN30-K0-S</v>
          </cell>
          <cell r="B6715" t="str">
            <v>YZ-HMBKN30</v>
          </cell>
        </row>
        <row r="6716">
          <cell r="A6716" t="str">
            <v>YZ-HMBKN30-K0YH-L</v>
          </cell>
          <cell r="B6716" t="str">
            <v>YZ-HMBKN30</v>
          </cell>
        </row>
        <row r="6717">
          <cell r="A6717" t="str">
            <v>YZ-HMBKN30-K0YH-M</v>
          </cell>
          <cell r="B6717" t="str">
            <v>YZ-HMBKN30</v>
          </cell>
        </row>
        <row r="6718">
          <cell r="A6718" t="str">
            <v>YZ-HMBKN30-K0YH-S</v>
          </cell>
          <cell r="B6718" t="str">
            <v>YZ-HMBKN30</v>
          </cell>
        </row>
        <row r="6719">
          <cell r="A6719" t="str">
            <v>YZ-HMBKN30-K0YH-XL</v>
          </cell>
          <cell r="B6719" t="str">
            <v>YZ-HMBKN30</v>
          </cell>
        </row>
        <row r="6720">
          <cell r="A6720" t="str">
            <v>YZ-HMBKN30-PI-L</v>
          </cell>
          <cell r="B6720" t="str">
            <v>YZ-HMBKN30</v>
          </cell>
        </row>
        <row r="6721">
          <cell r="A6721" t="str">
            <v>YZ-HMBKN30-PI-M</v>
          </cell>
          <cell r="B6721" t="str">
            <v>YZ-HMBKN30</v>
          </cell>
        </row>
        <row r="6722">
          <cell r="A6722" t="str">
            <v>YZ-HMBKN30-PI-S</v>
          </cell>
          <cell r="B6722" t="str">
            <v>YZ-HMBKN30</v>
          </cell>
        </row>
        <row r="6723">
          <cell r="A6723" t="str">
            <v>YZ-HMBKN30-PI-XL</v>
          </cell>
          <cell r="B6723" t="str">
            <v>YZ-HMBKN30</v>
          </cell>
        </row>
        <row r="6724">
          <cell r="A6724" t="str">
            <v>YZ-HMBKN30-WR-L</v>
          </cell>
          <cell r="B6724" t="str">
            <v>YZ-HMBKN30</v>
          </cell>
        </row>
        <row r="6725">
          <cell r="A6725" t="str">
            <v>YZ-HMBKN30-WR-XL</v>
          </cell>
          <cell r="B6725" t="str">
            <v>YZ-HMBKN30</v>
          </cell>
        </row>
        <row r="6726">
          <cell r="A6726" t="str">
            <v>YZ-HMBKN30-ZL-L</v>
          </cell>
          <cell r="B6726" t="str">
            <v>YZ-HMBKN30</v>
          </cell>
        </row>
        <row r="6727">
          <cell r="A6727" t="str">
            <v>YZ-HMBKN30-ZL-M</v>
          </cell>
          <cell r="B6727" t="str">
            <v>YZ-HMBKN30</v>
          </cell>
        </row>
        <row r="6728">
          <cell r="A6728" t="str">
            <v>YZ-HMBKN30-ZL-S</v>
          </cell>
          <cell r="B6728" t="str">
            <v>YZ-HMBKN30</v>
          </cell>
        </row>
        <row r="6729">
          <cell r="A6729" t="str">
            <v>YZ-HMBKN30-ZL-XL</v>
          </cell>
          <cell r="B6729" t="str">
            <v>YZ-HMBKN30</v>
          </cell>
        </row>
        <row r="6730">
          <cell r="A6730" t="str">
            <v>YZ-HMBKN3308-K0-2XL</v>
          </cell>
          <cell r="B6730" t="str">
            <v>YZ-HMBKN3308</v>
          </cell>
        </row>
        <row r="6731">
          <cell r="A6731" t="str">
            <v>YZ-HMBKN3308-K0-3XL</v>
          </cell>
          <cell r="B6731" t="str">
            <v>YZ-HMBKN3308</v>
          </cell>
        </row>
        <row r="6732">
          <cell r="A6732" t="str">
            <v>YZ-HMBKN3308-K0-4XL</v>
          </cell>
          <cell r="B6732" t="str">
            <v>YZ-HMBKN3308</v>
          </cell>
        </row>
        <row r="6733">
          <cell r="A6733" t="str">
            <v>YZ-HMBKN3308-K0-6XL</v>
          </cell>
          <cell r="B6733" t="str">
            <v>YZ-HMBKN3308</v>
          </cell>
        </row>
        <row r="6734">
          <cell r="A6734" t="str">
            <v>YZ-HMBKN3308-K0-7XL</v>
          </cell>
          <cell r="B6734" t="str">
            <v>YZ-HMBKN3308</v>
          </cell>
        </row>
        <row r="6735">
          <cell r="A6735" t="str">
            <v>YZ-HMBKN3308-K0-L</v>
          </cell>
          <cell r="B6735" t="str">
            <v>YZ-HMBKN3308</v>
          </cell>
        </row>
        <row r="6736">
          <cell r="A6736" t="str">
            <v>YZ-HMBKN3308-K0-XL</v>
          </cell>
          <cell r="B6736" t="str">
            <v>YZ-HMBKN3308</v>
          </cell>
        </row>
        <row r="6737">
          <cell r="A6737" t="str">
            <v>YZ-HMBKN7017-Pi-L</v>
          </cell>
          <cell r="B6737" t="str">
            <v>YZ-HMBKN7017</v>
          </cell>
        </row>
        <row r="6738">
          <cell r="A6738" t="str">
            <v>YZ-HMBKN7017-Pi-M</v>
          </cell>
          <cell r="B6738" t="str">
            <v>YZ-HMBKN7017</v>
          </cell>
        </row>
        <row r="6739">
          <cell r="A6739" t="str">
            <v>YZ-HMBKN967-B0-L</v>
          </cell>
          <cell r="B6739" t="str">
            <v>YZ-HMBKN967</v>
          </cell>
        </row>
        <row r="6740">
          <cell r="A6740" t="str">
            <v>YZ-HMBKN967-B0-M</v>
          </cell>
          <cell r="B6740" t="str">
            <v>YZ-HMBKN967</v>
          </cell>
        </row>
        <row r="6741">
          <cell r="A6741" t="str">
            <v>YZ-HMBKN967-B0-S</v>
          </cell>
          <cell r="B6741" t="str">
            <v>YZ-HMBKN967</v>
          </cell>
        </row>
        <row r="6742">
          <cell r="A6742" t="str">
            <v>YZ-HMBKN967-K0-L</v>
          </cell>
          <cell r="B6742" t="str">
            <v>YZ-HMBKN967</v>
          </cell>
        </row>
        <row r="6743">
          <cell r="A6743" t="str">
            <v>YZ-HMBKN967-K0-M</v>
          </cell>
          <cell r="B6743" t="str">
            <v>YZ-HMBKN967</v>
          </cell>
        </row>
        <row r="6744">
          <cell r="A6744" t="str">
            <v>YZ-HMBKN967-K0-S</v>
          </cell>
          <cell r="B6744" t="str">
            <v>YZ-HMBKN967</v>
          </cell>
        </row>
        <row r="6745">
          <cell r="A6745" t="str">
            <v>YZ-HMBKN967-R0-L</v>
          </cell>
          <cell r="B6745" t="str">
            <v>YZ-HMBKN967</v>
          </cell>
        </row>
        <row r="6746">
          <cell r="A6746" t="str">
            <v>YZ-HMBKN967-R0-M</v>
          </cell>
          <cell r="B6746" t="str">
            <v>YZ-HMBKN967</v>
          </cell>
        </row>
        <row r="6747">
          <cell r="A6747" t="str">
            <v>YZ-HMBKN967-R0-S</v>
          </cell>
          <cell r="B6747" t="str">
            <v>YZ-HMBKN967</v>
          </cell>
        </row>
        <row r="6748">
          <cell r="A6748" t="str">
            <v>YZ-HMCX218-R0-L</v>
          </cell>
          <cell r="B6748" t="str">
            <v>YZ-HMCX218</v>
          </cell>
        </row>
        <row r="6749">
          <cell r="A6749" t="str">
            <v>YZ-HMCX218-R0-M</v>
          </cell>
          <cell r="B6749" t="str">
            <v>YZ-HMCX218</v>
          </cell>
        </row>
        <row r="6750">
          <cell r="A6750" t="str">
            <v>YZ-HMCX218-R0-S</v>
          </cell>
          <cell r="B6750" t="str">
            <v>YZ-HMCX218</v>
          </cell>
        </row>
        <row r="6751">
          <cell r="A6751" t="str">
            <v>YZ-HMCX218-R0-XL</v>
          </cell>
          <cell r="B6751" t="str">
            <v>YZ-HMCX218</v>
          </cell>
        </row>
        <row r="6752">
          <cell r="A6752" t="str">
            <v>YZ-HMJ005-B0-2XL</v>
          </cell>
          <cell r="B6752" t="str">
            <v>YZ-HMJ005</v>
          </cell>
        </row>
        <row r="6753">
          <cell r="A6753" t="str">
            <v>YZ-HMJ005-B0-L</v>
          </cell>
          <cell r="B6753" t="str">
            <v>YZ-HMJ005</v>
          </cell>
        </row>
        <row r="6754">
          <cell r="A6754" t="str">
            <v>YZ-HMJ005-B0-M</v>
          </cell>
          <cell r="B6754" t="str">
            <v>YZ-HMJ005</v>
          </cell>
        </row>
        <row r="6755">
          <cell r="A6755" t="str">
            <v>YZ-HMJ005-B0-S</v>
          </cell>
          <cell r="B6755" t="str">
            <v>YZ-HMJ005</v>
          </cell>
        </row>
        <row r="6756">
          <cell r="A6756" t="str">
            <v>YZ-HMJ005-B0-XL</v>
          </cell>
          <cell r="B6756" t="str">
            <v>YZ-HMJ005</v>
          </cell>
        </row>
        <row r="6757">
          <cell r="A6757" t="str">
            <v>YZ-HMJ005-K0-2XL</v>
          </cell>
          <cell r="B6757" t="str">
            <v>YZ-HMJ005</v>
          </cell>
        </row>
        <row r="6758">
          <cell r="A6758" t="str">
            <v>YZ-HMJ005-K0-L</v>
          </cell>
          <cell r="B6758" t="str">
            <v>YZ-HMJ005</v>
          </cell>
        </row>
        <row r="6759">
          <cell r="A6759" t="str">
            <v>YZ-HMJ005-K0-M</v>
          </cell>
          <cell r="B6759" t="str">
            <v>YZ-HMJ005</v>
          </cell>
        </row>
        <row r="6760">
          <cell r="A6760" t="str">
            <v>YZ-HMJ005-K0-S</v>
          </cell>
          <cell r="B6760" t="str">
            <v>YZ-HMJ005</v>
          </cell>
        </row>
        <row r="6761">
          <cell r="A6761" t="str">
            <v>YZ-HMJ005-K0-XL</v>
          </cell>
          <cell r="B6761" t="str">
            <v>YZ-HMJ005</v>
          </cell>
        </row>
        <row r="6762">
          <cell r="A6762" t="str">
            <v>YZ-HMSG001-G0-L</v>
          </cell>
          <cell r="B6762" t="str">
            <v>YZ-HMSG001</v>
          </cell>
        </row>
        <row r="6763">
          <cell r="A6763" t="str">
            <v>YZ-HMSG001-G0-M</v>
          </cell>
          <cell r="B6763" t="str">
            <v>YZ-HMSG001</v>
          </cell>
        </row>
        <row r="6764">
          <cell r="A6764" t="str">
            <v>YZ-HMTW001</v>
          </cell>
          <cell r="B6764" t="str">
            <v>YZ-HMTW001</v>
          </cell>
        </row>
        <row r="6765">
          <cell r="A6765" t="str">
            <v>YZ-HMTW001-K0-L</v>
          </cell>
          <cell r="B6765" t="str">
            <v>YZ-HMTW001</v>
          </cell>
        </row>
        <row r="6766">
          <cell r="A6766" t="str">
            <v>YZ-HMTW001-K0-M</v>
          </cell>
          <cell r="B6766" t="str">
            <v>YZ-HMTW001</v>
          </cell>
        </row>
        <row r="6767">
          <cell r="A6767" t="str">
            <v>YZ-HMTW001-K0-S</v>
          </cell>
          <cell r="B6767" t="str">
            <v>YZ-HMTW001</v>
          </cell>
        </row>
        <row r="6768">
          <cell r="A6768" t="str">
            <v>YZ-HMTW001-K0-XL</v>
          </cell>
          <cell r="B6768" t="str">
            <v>YZ-HMTW001</v>
          </cell>
        </row>
        <row r="6769">
          <cell r="A6769" t="str">
            <v>YZ-HMTW001-K0-XS</v>
          </cell>
          <cell r="B6769" t="str">
            <v>YZ-HMTW001</v>
          </cell>
        </row>
        <row r="6770">
          <cell r="A6770" t="str">
            <v>YZ-HMVS-W0-S</v>
          </cell>
          <cell r="B6770" t="str">
            <v>YZ-HMVS</v>
          </cell>
        </row>
        <row r="6771">
          <cell r="A6771" t="str">
            <v>YZ-HN6902BD1L</v>
          </cell>
          <cell r="B6771" t="str">
            <v>YZ-HN6902</v>
          </cell>
        </row>
        <row r="6772">
          <cell r="A6772" t="str">
            <v>YZ-HN6902BD2L</v>
          </cell>
          <cell r="B6772" t="str">
            <v>YZ-HN6902</v>
          </cell>
        </row>
        <row r="6773">
          <cell r="A6773" t="str">
            <v>YZ-HN6902BDL</v>
          </cell>
          <cell r="B6773" t="str">
            <v>YZ-HN6902</v>
          </cell>
        </row>
        <row r="6774">
          <cell r="A6774" t="str">
            <v>YZ-HN6902BDM</v>
          </cell>
          <cell r="B6774" t="str">
            <v>YZ-HN6902</v>
          </cell>
        </row>
        <row r="6775">
          <cell r="A6775" t="str">
            <v>YZ-HN6902FB1L</v>
          </cell>
          <cell r="B6775" t="str">
            <v>YZ-HN6902</v>
          </cell>
        </row>
        <row r="6776">
          <cell r="A6776" t="str">
            <v>YZ-HN6902FB2L</v>
          </cell>
          <cell r="B6776" t="str">
            <v>YZ-HN6902</v>
          </cell>
        </row>
        <row r="6777">
          <cell r="A6777" t="str">
            <v>YZ-HN6902FBL</v>
          </cell>
          <cell r="B6777" t="str">
            <v>YZ-HN6902</v>
          </cell>
        </row>
        <row r="6778">
          <cell r="A6778" t="str">
            <v>YZ-HN6902FBM</v>
          </cell>
          <cell r="B6778" t="str">
            <v>YZ-HN6902</v>
          </cell>
        </row>
        <row r="6779">
          <cell r="A6779" t="str">
            <v>YZ-HN6902G01L</v>
          </cell>
          <cell r="B6779" t="str">
            <v>YZ-HN6902</v>
          </cell>
        </row>
        <row r="6780">
          <cell r="A6780" t="str">
            <v>YZ-HN6902G02L</v>
          </cell>
          <cell r="B6780" t="str">
            <v>YZ-HN6902</v>
          </cell>
        </row>
        <row r="6781">
          <cell r="A6781" t="str">
            <v>YZ-HN6902G0L</v>
          </cell>
          <cell r="B6781" t="str">
            <v>YZ-HN6902</v>
          </cell>
        </row>
        <row r="6782">
          <cell r="A6782" t="str">
            <v>YZ-HN6902G0M</v>
          </cell>
          <cell r="B6782" t="str">
            <v>YZ-HN6902</v>
          </cell>
        </row>
        <row r="6783">
          <cell r="A6783" t="str">
            <v>YZ-HN6902K01L</v>
          </cell>
          <cell r="B6783" t="str">
            <v>YZ-HN6902</v>
          </cell>
        </row>
        <row r="6784">
          <cell r="A6784" t="str">
            <v>YZ-HN6902K02L</v>
          </cell>
          <cell r="B6784" t="str">
            <v>YZ-HN6902</v>
          </cell>
        </row>
        <row r="6785">
          <cell r="A6785" t="str">
            <v>YZ-HN6902K0L</v>
          </cell>
          <cell r="B6785" t="str">
            <v>YZ-HN6902</v>
          </cell>
        </row>
        <row r="6786">
          <cell r="A6786" t="str">
            <v>YZ-HN6902K0M</v>
          </cell>
          <cell r="B6786" t="str">
            <v>YZ-HN6902</v>
          </cell>
        </row>
        <row r="6787">
          <cell r="A6787" t="str">
            <v>YZ-HT1304G01L</v>
          </cell>
          <cell r="B6787" t="str">
            <v>YZ-HE13037</v>
          </cell>
        </row>
        <row r="6788">
          <cell r="A6788" t="str">
            <v>YZ-HT1304G02L</v>
          </cell>
          <cell r="B6788" t="str">
            <v>YZ-HE13037</v>
          </cell>
        </row>
        <row r="6789">
          <cell r="A6789" t="str">
            <v>YZ-HT1304G03L</v>
          </cell>
          <cell r="B6789" t="str">
            <v>YZ-HE13037</v>
          </cell>
        </row>
        <row r="6790">
          <cell r="A6790" t="str">
            <v>YZ-HT1304G04L</v>
          </cell>
          <cell r="B6790" t="str">
            <v>YZ-HE13037</v>
          </cell>
        </row>
        <row r="6791">
          <cell r="A6791" t="str">
            <v>YZ-HT1304G05L</v>
          </cell>
          <cell r="B6791" t="str">
            <v>YZ-HE13037</v>
          </cell>
        </row>
        <row r="6792">
          <cell r="A6792" t="str">
            <v>YZ-HT1304Y01L</v>
          </cell>
          <cell r="B6792" t="str">
            <v>YZ-HE13037</v>
          </cell>
        </row>
        <row r="6793">
          <cell r="A6793" t="str">
            <v>YZ-HT1304Y02L</v>
          </cell>
          <cell r="B6793" t="str">
            <v>YZ-HE13037</v>
          </cell>
        </row>
        <row r="6794">
          <cell r="A6794" t="str">
            <v>YZ-HT1304Y03L</v>
          </cell>
          <cell r="B6794" t="str">
            <v>YZ-HE13037</v>
          </cell>
        </row>
        <row r="6795">
          <cell r="A6795" t="str">
            <v>YZ-HT1304Y04L</v>
          </cell>
          <cell r="B6795" t="str">
            <v>YZ-HE13037</v>
          </cell>
        </row>
        <row r="6796">
          <cell r="A6796" t="str">
            <v>YZ-HT1304Y05L</v>
          </cell>
          <cell r="B6796" t="str">
            <v>YZ-HE13037</v>
          </cell>
        </row>
        <row r="6797">
          <cell r="A6797" t="str">
            <v>YZ-JG2631001L</v>
          </cell>
          <cell r="B6797" t="str">
            <v>YZ-JG2631001</v>
          </cell>
        </row>
        <row r="6798">
          <cell r="A6798" t="str">
            <v>YZ-JG2631001L-GM</v>
          </cell>
          <cell r="B6798" t="str">
            <v>YZ-JG2631001</v>
          </cell>
        </row>
        <row r="6799">
          <cell r="A6799" t="str">
            <v>YZ-JG2631002L</v>
          </cell>
          <cell r="B6799" t="str">
            <v>YZ-JG2631002</v>
          </cell>
        </row>
        <row r="6800">
          <cell r="A6800" t="str">
            <v>YZ-JG2631002L-GM</v>
          </cell>
          <cell r="B6800" t="str">
            <v>YZ-JG2631002</v>
          </cell>
        </row>
        <row r="6801">
          <cell r="A6801" t="str">
            <v>YZ-JG2631003L</v>
          </cell>
          <cell r="B6801" t="str">
            <v>YZ-JG2631003</v>
          </cell>
        </row>
        <row r="6802">
          <cell r="A6802" t="str">
            <v>YZ-JG263100L</v>
          </cell>
          <cell r="B6802" t="str">
            <v>YZ-JG2631</v>
          </cell>
        </row>
        <row r="6803">
          <cell r="A6803" t="str">
            <v>YZ-JG263100M</v>
          </cell>
          <cell r="B6803" t="str">
            <v>YZ-JG2631</v>
          </cell>
        </row>
        <row r="6804">
          <cell r="A6804" t="str">
            <v>YZ-JG2631HS1L</v>
          </cell>
          <cell r="B6804" t="str">
            <v>YZ-JG2631</v>
          </cell>
        </row>
        <row r="6805">
          <cell r="A6805" t="str">
            <v>YZ-JG2631HSL</v>
          </cell>
          <cell r="B6805" t="str">
            <v>YZ-JG2631</v>
          </cell>
        </row>
        <row r="6806">
          <cell r="A6806" t="str">
            <v>YZ-JG2631HSM</v>
          </cell>
          <cell r="B6806" t="str">
            <v>YZ-JG2631</v>
          </cell>
        </row>
        <row r="6807">
          <cell r="A6807" t="str">
            <v>YZ-JG2631HSM-GM</v>
          </cell>
          <cell r="B6807" t="str">
            <v>YZ-JG2631</v>
          </cell>
        </row>
        <row r="6808">
          <cell r="A6808" t="str">
            <v>YZ-JG2631HSS</v>
          </cell>
          <cell r="B6808" t="str">
            <v>YZ-JG2631</v>
          </cell>
        </row>
        <row r="6809">
          <cell r="A6809" t="str">
            <v>YZ-JG2631HSXS</v>
          </cell>
          <cell r="B6809" t="str">
            <v>YZ-JG2631</v>
          </cell>
        </row>
        <row r="6810">
          <cell r="A6810" t="str">
            <v>YZ-JG2631K01L</v>
          </cell>
          <cell r="B6810" t="str">
            <v>YZ-JG2631</v>
          </cell>
        </row>
        <row r="6811">
          <cell r="A6811" t="str">
            <v>YZ-JG2631K02L</v>
          </cell>
          <cell r="B6811" t="str">
            <v>YZ-JG2631</v>
          </cell>
        </row>
        <row r="6812">
          <cell r="A6812" t="str">
            <v>YZ-JG2631K02L-GM</v>
          </cell>
          <cell r="B6812" t="str">
            <v>YZ-JG2631</v>
          </cell>
        </row>
        <row r="6813">
          <cell r="A6813" t="str">
            <v>YZ-JG2631K03L</v>
          </cell>
          <cell r="B6813" t="str">
            <v>YZ-JG2631</v>
          </cell>
        </row>
        <row r="6814">
          <cell r="A6814" t="str">
            <v>YZ-JG2631K0L</v>
          </cell>
          <cell r="B6814" t="str">
            <v>YZ-JG2631</v>
          </cell>
        </row>
        <row r="6815">
          <cell r="A6815" t="str">
            <v>YZ-JG2631K0M</v>
          </cell>
          <cell r="B6815" t="str">
            <v>YZ-JG2631</v>
          </cell>
        </row>
        <row r="6816">
          <cell r="A6816" t="str">
            <v>YZ-JG2631R01L</v>
          </cell>
          <cell r="B6816" t="str">
            <v>YZ-JG2631</v>
          </cell>
        </row>
        <row r="6817">
          <cell r="A6817" t="str">
            <v>YZ-JG2631R0L</v>
          </cell>
          <cell r="B6817" t="str">
            <v>YZ-JG2631</v>
          </cell>
        </row>
        <row r="6818">
          <cell r="A6818" t="str">
            <v>YZ-JG2631R0M</v>
          </cell>
          <cell r="B6818" t="str">
            <v>YZ-JG2631</v>
          </cell>
        </row>
        <row r="6819">
          <cell r="A6819" t="str">
            <v>YZ-JG2631R0S</v>
          </cell>
          <cell r="B6819" t="str">
            <v>YZ-JG2631</v>
          </cell>
        </row>
        <row r="6820">
          <cell r="A6820" t="str">
            <v>YZ-JG2631R0XS</v>
          </cell>
          <cell r="B6820" t="str">
            <v>YZ-JG2631</v>
          </cell>
        </row>
        <row r="6821">
          <cell r="A6821" t="str">
            <v>YZ-JG2631ZL1L</v>
          </cell>
          <cell r="B6821" t="str">
            <v>YZ-JG2631</v>
          </cell>
        </row>
        <row r="6822">
          <cell r="A6822" t="str">
            <v>YZ-JG2631ZL2L</v>
          </cell>
          <cell r="B6822" t="str">
            <v>YZ-JG2631</v>
          </cell>
        </row>
        <row r="6823">
          <cell r="A6823" t="str">
            <v>YZ-JG2631ZL3L</v>
          </cell>
          <cell r="B6823" t="str">
            <v>YZ-JG2631</v>
          </cell>
        </row>
        <row r="6824">
          <cell r="A6824" t="str">
            <v>YZ-JG2631ZLL</v>
          </cell>
          <cell r="B6824" t="str">
            <v>YZ-JG2631</v>
          </cell>
        </row>
        <row r="6825">
          <cell r="A6825" t="str">
            <v>YZ-JG2631ZLM</v>
          </cell>
          <cell r="B6825" t="str">
            <v>YZ-JG2631</v>
          </cell>
        </row>
        <row r="6826">
          <cell r="A6826" t="str">
            <v>YZ-JY1008-K0-M</v>
          </cell>
          <cell r="B6826" t="str">
            <v>YZ-JY1008</v>
          </cell>
        </row>
        <row r="6827">
          <cell r="A6827" t="str">
            <v>YZ-JY1151-K0-2XL</v>
          </cell>
          <cell r="B6827" t="str">
            <v>YZ-JY1151</v>
          </cell>
        </row>
        <row r="6828">
          <cell r="A6828" t="str">
            <v>YZ-JY1151-K0-L</v>
          </cell>
          <cell r="B6828" t="str">
            <v>YZ-JY1151</v>
          </cell>
        </row>
        <row r="6829">
          <cell r="A6829" t="str">
            <v>YZ-JY1151-K0-M</v>
          </cell>
          <cell r="B6829" t="str">
            <v>YZ-JY1151</v>
          </cell>
        </row>
        <row r="6830">
          <cell r="A6830" t="str">
            <v>YZ-JY1151-K0-XL</v>
          </cell>
          <cell r="B6830" t="str">
            <v>YZ-JY1151</v>
          </cell>
        </row>
        <row r="6831">
          <cell r="A6831" t="str">
            <v>YZ-JY1151-R0-2XL</v>
          </cell>
          <cell r="B6831" t="str">
            <v>YZ-JY1151</v>
          </cell>
        </row>
        <row r="6832">
          <cell r="A6832" t="str">
            <v>YZ-JY1151-R0-L</v>
          </cell>
          <cell r="B6832" t="str">
            <v>YZ-JY1151</v>
          </cell>
        </row>
        <row r="6833">
          <cell r="A6833" t="str">
            <v>YZ-JY1151-R0-M</v>
          </cell>
          <cell r="B6833" t="str">
            <v>YZ-JY1151</v>
          </cell>
        </row>
        <row r="6834">
          <cell r="A6834" t="str">
            <v>YZ-JY1151-R0-XL</v>
          </cell>
          <cell r="B6834" t="str">
            <v>YZ-JY1151</v>
          </cell>
        </row>
        <row r="6835">
          <cell r="A6835" t="str">
            <v>YZ-JY1151-ZL-2XL</v>
          </cell>
          <cell r="B6835" t="str">
            <v>YZ-JY1151</v>
          </cell>
        </row>
        <row r="6836">
          <cell r="A6836" t="str">
            <v>YZ-JY1151-ZL-L</v>
          </cell>
          <cell r="B6836" t="str">
            <v>YZ-JY1151</v>
          </cell>
        </row>
        <row r="6837">
          <cell r="A6837" t="str">
            <v>YZ-JY1151-ZL-M</v>
          </cell>
          <cell r="B6837" t="str">
            <v>YZ-JY1151</v>
          </cell>
        </row>
        <row r="6838">
          <cell r="A6838" t="str">
            <v>YZ-JY1151-ZL-XL</v>
          </cell>
          <cell r="B6838" t="str">
            <v>YZ-JY1151</v>
          </cell>
        </row>
        <row r="6839">
          <cell r="A6839" t="str">
            <v>YZ-JY15963-B0-2XL</v>
          </cell>
          <cell r="B6839" t="str">
            <v>YZ-JY15963</v>
          </cell>
        </row>
        <row r="6840">
          <cell r="A6840" t="str">
            <v>YZ-JY15963-B0-3XL</v>
          </cell>
          <cell r="B6840" t="str">
            <v>YZ-JY15963</v>
          </cell>
        </row>
        <row r="6841">
          <cell r="A6841" t="str">
            <v>YZ-JY15963-B0-L</v>
          </cell>
          <cell r="B6841" t="str">
            <v>YZ-JY15963</v>
          </cell>
        </row>
        <row r="6842">
          <cell r="A6842" t="str">
            <v>YZ-JY15963-B0-S</v>
          </cell>
          <cell r="B6842" t="str">
            <v>YZ-JY15963</v>
          </cell>
        </row>
        <row r="6843">
          <cell r="A6843" t="str">
            <v>YZ-JY2526-R0-2XL</v>
          </cell>
          <cell r="B6843" t="str">
            <v>YZ-JY2526</v>
          </cell>
        </row>
        <row r="6844">
          <cell r="A6844" t="str">
            <v>YZ-JY2526-R0-3XL</v>
          </cell>
          <cell r="B6844" t="str">
            <v>YZ-JY2526</v>
          </cell>
        </row>
        <row r="6845">
          <cell r="A6845" t="str">
            <v>YZ-JY2526-R0-4XL</v>
          </cell>
          <cell r="B6845" t="str">
            <v>YZ-JY2526</v>
          </cell>
        </row>
        <row r="6846">
          <cell r="A6846" t="str">
            <v>YZ-JY2526-R0-XL</v>
          </cell>
          <cell r="B6846" t="str">
            <v>YZ-JY2526</v>
          </cell>
        </row>
        <row r="6847">
          <cell r="A6847" t="str">
            <v>YZ-JY3233-K0-L</v>
          </cell>
          <cell r="B6847" t="str">
            <v>YZ-JY3233</v>
          </cell>
        </row>
        <row r="6848">
          <cell r="A6848" t="str">
            <v>YZ-JY3233-K0-M</v>
          </cell>
          <cell r="B6848" t="str">
            <v>YZ-JY3233</v>
          </cell>
        </row>
        <row r="6849">
          <cell r="A6849" t="str">
            <v>YZ-JY3233-K0-S</v>
          </cell>
          <cell r="B6849" t="str">
            <v>YZ-JY3233</v>
          </cell>
        </row>
        <row r="6850">
          <cell r="A6850" t="str">
            <v>YZ-JY3233-K0-XL</v>
          </cell>
          <cell r="B6850" t="str">
            <v>YZ-JY3233</v>
          </cell>
        </row>
        <row r="6851">
          <cell r="A6851" t="str">
            <v>YZ-JY3233-K0-XS</v>
          </cell>
          <cell r="B6851" t="str">
            <v>YZ-JY3233</v>
          </cell>
        </row>
        <row r="6852">
          <cell r="A6852" t="str">
            <v>YZ-JY3288-B0-1L</v>
          </cell>
          <cell r="B6852" t="str">
            <v>YZ-JY3288</v>
          </cell>
        </row>
        <row r="6853">
          <cell r="A6853" t="str">
            <v>YZ-JY5694-K0-2XL</v>
          </cell>
          <cell r="B6853" t="str">
            <v>YZ-JY5694</v>
          </cell>
        </row>
        <row r="6854">
          <cell r="A6854" t="str">
            <v>YZ-JY5694-K0-3XL</v>
          </cell>
          <cell r="B6854" t="str">
            <v>YZ-JY5694</v>
          </cell>
        </row>
        <row r="6855">
          <cell r="A6855" t="str">
            <v>YZ-JY5694-K0-4XL</v>
          </cell>
          <cell r="B6855" t="str">
            <v>YZ-JY5694</v>
          </cell>
        </row>
        <row r="6856">
          <cell r="A6856" t="str">
            <v>YZ-JY5694-K0-L</v>
          </cell>
          <cell r="B6856" t="str">
            <v>YZ-JY5694</v>
          </cell>
        </row>
        <row r="6857">
          <cell r="A6857" t="str">
            <v>YZ-JY5694-K0-M</v>
          </cell>
          <cell r="B6857" t="str">
            <v>YZ-JY5694</v>
          </cell>
        </row>
        <row r="6858">
          <cell r="A6858" t="str">
            <v>YZ-JY5694-K0-S</v>
          </cell>
          <cell r="B6858" t="str">
            <v>YZ-JY5694</v>
          </cell>
        </row>
        <row r="6859">
          <cell r="A6859" t="str">
            <v>YZ-JY5694-K0-XL</v>
          </cell>
          <cell r="B6859" t="str">
            <v>YZ-JY5694</v>
          </cell>
        </row>
        <row r="6860">
          <cell r="A6860" t="str">
            <v>YZ-JY7015-K0-L</v>
          </cell>
          <cell r="B6860" t="str">
            <v>YZ-JY7105</v>
          </cell>
        </row>
        <row r="6861">
          <cell r="A6861" t="str">
            <v>YZ-JY7015-K0-M</v>
          </cell>
          <cell r="B6861" t="str">
            <v>YZ-JY7105</v>
          </cell>
        </row>
        <row r="6862">
          <cell r="A6862" t="str">
            <v>YZ-JY7015-R0-L</v>
          </cell>
          <cell r="B6862" t="str">
            <v>YZ-JY7105</v>
          </cell>
        </row>
        <row r="6863">
          <cell r="A6863" t="str">
            <v>YZ-JY7015-R0-XL</v>
          </cell>
          <cell r="B6863" t="str">
            <v>YZ-JY7105</v>
          </cell>
        </row>
        <row r="6864">
          <cell r="A6864" t="str">
            <v>YZ-JY7105-K0-XL</v>
          </cell>
          <cell r="B6864" t="str">
            <v>YZ-JY7105</v>
          </cell>
        </row>
        <row r="6865">
          <cell r="A6865" t="str">
            <v>YZ-JY7755-HL-1L</v>
          </cell>
          <cell r="B6865" t="str">
            <v>YZ-HM30CH</v>
          </cell>
        </row>
        <row r="6866">
          <cell r="A6866" t="str">
            <v>YZ-JY7755-HL-2L</v>
          </cell>
          <cell r="B6866" t="str">
            <v>YZ-HM30CH</v>
          </cell>
        </row>
        <row r="6867">
          <cell r="A6867" t="str">
            <v>YZ-JY7755-HL-L</v>
          </cell>
          <cell r="B6867" t="str">
            <v>YZ-HM30CH</v>
          </cell>
        </row>
        <row r="6868">
          <cell r="A6868" t="str">
            <v>YZ-JY7755-HL-M</v>
          </cell>
          <cell r="B6868" t="str">
            <v>YZ-HM30CH</v>
          </cell>
        </row>
        <row r="6869">
          <cell r="A6869" t="str">
            <v>YZ-JY7755-HL-S</v>
          </cell>
          <cell r="B6869" t="str">
            <v>YZ-HM30CH</v>
          </cell>
        </row>
        <row r="6870">
          <cell r="A6870" t="str">
            <v>YZ-JY888-K0-2XL</v>
          </cell>
          <cell r="B6870" t="str">
            <v>YZ-JY888</v>
          </cell>
        </row>
        <row r="6871">
          <cell r="A6871" t="str">
            <v>YZ-JY888-K0-3XL</v>
          </cell>
          <cell r="B6871" t="str">
            <v>YZ-JY888</v>
          </cell>
        </row>
        <row r="6872">
          <cell r="A6872" t="str">
            <v>YZ-JY888-K0-M</v>
          </cell>
          <cell r="B6872" t="str">
            <v>YZ-JY888</v>
          </cell>
        </row>
        <row r="6873">
          <cell r="A6873" t="str">
            <v>YZ-KL5020FL1L</v>
          </cell>
          <cell r="B6873" t="str">
            <v>YZ-KL5020</v>
          </cell>
        </row>
        <row r="6874">
          <cell r="A6874" t="str">
            <v>YZ-KL5020FL2L</v>
          </cell>
          <cell r="B6874" t="str">
            <v>YZ-KL5020</v>
          </cell>
        </row>
        <row r="6875">
          <cell r="A6875" t="str">
            <v>YZ-KL5020FL3L</v>
          </cell>
          <cell r="B6875" t="str">
            <v>YZ-KL5020</v>
          </cell>
        </row>
        <row r="6876">
          <cell r="A6876" t="str">
            <v>YZ-KL5020FL4L</v>
          </cell>
          <cell r="B6876" t="str">
            <v>YZ-KL5020</v>
          </cell>
        </row>
        <row r="6877">
          <cell r="A6877" t="str">
            <v>YZ-KL5020FL5L</v>
          </cell>
          <cell r="B6877" t="str">
            <v>YZ-KL5020</v>
          </cell>
        </row>
        <row r="6878">
          <cell r="A6878" t="str">
            <v>YZ-KL5020ST1L</v>
          </cell>
          <cell r="B6878" t="str">
            <v>YZ-KL5020</v>
          </cell>
        </row>
        <row r="6879">
          <cell r="A6879" t="str">
            <v>YZ-KL5020ST2L</v>
          </cell>
          <cell r="B6879" t="str">
            <v>YZ-KL5020</v>
          </cell>
        </row>
        <row r="6880">
          <cell r="A6880" t="str">
            <v>YZ-KL5020ST3L</v>
          </cell>
          <cell r="B6880" t="str">
            <v>YZ-KL5020</v>
          </cell>
        </row>
        <row r="6881">
          <cell r="A6881" t="str">
            <v>YZ-KL5020ST4L</v>
          </cell>
          <cell r="B6881" t="str">
            <v>YZ-KL5020</v>
          </cell>
        </row>
        <row r="6882">
          <cell r="A6882" t="str">
            <v>YZ-KL5020ST5L</v>
          </cell>
          <cell r="B6882" t="str">
            <v>YZ-KL5020</v>
          </cell>
        </row>
        <row r="6883">
          <cell r="A6883" t="str">
            <v>YZ-KL5020TW1L</v>
          </cell>
          <cell r="B6883" t="str">
            <v>YZ-KL5020</v>
          </cell>
        </row>
        <row r="6884">
          <cell r="A6884" t="str">
            <v>YZ-KL5020TW2L</v>
          </cell>
          <cell r="B6884" t="str">
            <v>YZ-KL5020</v>
          </cell>
        </row>
        <row r="6885">
          <cell r="A6885" t="str">
            <v>YZ-KL5020TW3L</v>
          </cell>
          <cell r="B6885" t="str">
            <v>YZ-KL5020</v>
          </cell>
        </row>
        <row r="6886">
          <cell r="A6886" t="str">
            <v>YZ-KL5020TW4L</v>
          </cell>
          <cell r="B6886" t="str">
            <v>YZ-KL5020</v>
          </cell>
        </row>
        <row r="6887">
          <cell r="A6887" t="str">
            <v>YZ-KL5020TW5L</v>
          </cell>
          <cell r="B6887" t="str">
            <v>YZ-KL5020</v>
          </cell>
        </row>
        <row r="6888">
          <cell r="A6888" t="str">
            <v>YZ-KL5020YH1L</v>
          </cell>
          <cell r="B6888" t="str">
            <v>YZ-KL5020</v>
          </cell>
        </row>
        <row r="6889">
          <cell r="A6889" t="str">
            <v>YZ-KL5020YH2L</v>
          </cell>
          <cell r="B6889" t="str">
            <v>YZ-KL5020</v>
          </cell>
        </row>
        <row r="6890">
          <cell r="A6890" t="str">
            <v>YZ-KL5020YH3L</v>
          </cell>
          <cell r="B6890" t="str">
            <v>YZ-KL5020</v>
          </cell>
        </row>
        <row r="6891">
          <cell r="A6891" t="str">
            <v>YZ-KL5020YH4L</v>
          </cell>
          <cell r="B6891" t="str">
            <v>YZ-KL5020</v>
          </cell>
        </row>
        <row r="6892">
          <cell r="A6892" t="str">
            <v>YZ-KL5020YH5L</v>
          </cell>
          <cell r="B6892" t="str">
            <v>YZ-KL5020</v>
          </cell>
        </row>
        <row r="6893">
          <cell r="A6893" t="str">
            <v>YZ-LS1068B01L</v>
          </cell>
          <cell r="B6893" t="str">
            <v>YZ-LS1068</v>
          </cell>
        </row>
        <row r="6894">
          <cell r="A6894" t="str">
            <v>YZ-LS1068B0L</v>
          </cell>
          <cell r="B6894" t="str">
            <v>YZ-LS1068</v>
          </cell>
        </row>
        <row r="6895">
          <cell r="A6895" t="str">
            <v>YZ-LS1068B0M</v>
          </cell>
          <cell r="B6895" t="str">
            <v>YZ-LS1068</v>
          </cell>
        </row>
        <row r="6896">
          <cell r="A6896" t="str">
            <v>YZ-LS1068B0S</v>
          </cell>
          <cell r="B6896" t="str">
            <v>YZ-LS1068</v>
          </cell>
        </row>
        <row r="6897">
          <cell r="A6897" t="str">
            <v>YZ-LS1068K01L</v>
          </cell>
          <cell r="B6897" t="str">
            <v>YZ-LS1068</v>
          </cell>
        </row>
        <row r="6898">
          <cell r="A6898" t="str">
            <v>YZ-LS1068K0L</v>
          </cell>
          <cell r="B6898" t="str">
            <v>YZ-LS1068</v>
          </cell>
        </row>
        <row r="6899">
          <cell r="A6899" t="str">
            <v>YZ-LS1068K0M</v>
          </cell>
          <cell r="B6899" t="str">
            <v>YZ-LS1068</v>
          </cell>
        </row>
        <row r="6900">
          <cell r="A6900" t="str">
            <v>YZ-LS1068K0S</v>
          </cell>
          <cell r="B6900" t="str">
            <v>YZ-LS1068</v>
          </cell>
        </row>
        <row r="6901">
          <cell r="A6901" t="str">
            <v>YZ-LS1068W01L</v>
          </cell>
          <cell r="B6901" t="str">
            <v>YZ-LS1068</v>
          </cell>
        </row>
        <row r="6902">
          <cell r="A6902" t="str">
            <v>YZ-LS1068W0L</v>
          </cell>
          <cell r="B6902" t="str">
            <v>YZ-LS1068</v>
          </cell>
        </row>
        <row r="6903">
          <cell r="A6903" t="str">
            <v>YZ-LS1068W0M</v>
          </cell>
          <cell r="B6903" t="str">
            <v>YZ-LS1068</v>
          </cell>
        </row>
        <row r="6904">
          <cell r="A6904" t="str">
            <v>YZ-LS1068W0S</v>
          </cell>
          <cell r="B6904" t="str">
            <v>YZ-LS1068</v>
          </cell>
        </row>
        <row r="6905">
          <cell r="A6905" t="str">
            <v>YZ-LS1068WOL</v>
          </cell>
          <cell r="B6905" t="str">
            <v>YZ-LS1068</v>
          </cell>
        </row>
        <row r="6906">
          <cell r="A6906" t="str">
            <v>YZ-LS1068WOM</v>
          </cell>
          <cell r="B6906" t="str">
            <v>YZ-LS1068</v>
          </cell>
        </row>
        <row r="6907">
          <cell r="A6907" t="str">
            <v>YZ-MY1701</v>
          </cell>
          <cell r="B6907" t="str">
            <v>YZ-MY1701</v>
          </cell>
        </row>
        <row r="6908">
          <cell r="A6908" t="str">
            <v>YZ-MY1701-KO-L</v>
          </cell>
          <cell r="B6908" t="str">
            <v>YZ-MY1701</v>
          </cell>
        </row>
        <row r="6909">
          <cell r="A6909" t="str">
            <v>YZ-MY1701-KO-M</v>
          </cell>
          <cell r="B6909" t="str">
            <v>YZ-MY1701</v>
          </cell>
        </row>
        <row r="6910">
          <cell r="A6910" t="str">
            <v>YZ-MY1701-KO-S</v>
          </cell>
          <cell r="B6910" t="str">
            <v>YZ-MY1701</v>
          </cell>
        </row>
        <row r="6911">
          <cell r="A6911" t="str">
            <v>YZ-MY1701-KO-XL</v>
          </cell>
          <cell r="B6911" t="str">
            <v>YZ-MY1701</v>
          </cell>
        </row>
        <row r="6912">
          <cell r="A6912" t="str">
            <v>YZ-MY1701-KO-XS</v>
          </cell>
          <cell r="B6912" t="str">
            <v>YZ-MY1701</v>
          </cell>
        </row>
        <row r="6913">
          <cell r="A6913" t="str">
            <v>YZ-MY1702</v>
          </cell>
          <cell r="B6913" t="str">
            <v>YZ-MY1702</v>
          </cell>
        </row>
        <row r="6914">
          <cell r="A6914" t="str">
            <v>YZ-MY1702-GO-L</v>
          </cell>
          <cell r="B6914" t="str">
            <v>YZ-MY1702</v>
          </cell>
        </row>
        <row r="6915">
          <cell r="A6915" t="str">
            <v>YZ-MY1702-GO-M</v>
          </cell>
          <cell r="B6915" t="str">
            <v>YZ-MY1702</v>
          </cell>
        </row>
        <row r="6916">
          <cell r="A6916" t="str">
            <v>YZ-MY1702-GO-S</v>
          </cell>
          <cell r="B6916" t="str">
            <v>YZ-MY1702</v>
          </cell>
        </row>
        <row r="6917">
          <cell r="A6917" t="str">
            <v>YZ-MY1702-GO-XL</v>
          </cell>
          <cell r="B6917" t="str">
            <v>YZ-MY1702</v>
          </cell>
        </row>
        <row r="6918">
          <cell r="A6918" t="str">
            <v>YZ-MY1702-GO-XS</v>
          </cell>
          <cell r="B6918" t="str">
            <v>YZ-MY1702</v>
          </cell>
        </row>
        <row r="6919">
          <cell r="A6919" t="str">
            <v>YZ-MY1727</v>
          </cell>
          <cell r="B6919" t="str">
            <v>YZ-MY1727</v>
          </cell>
        </row>
        <row r="6920">
          <cell r="A6920" t="str">
            <v>YZ-MY1727-2XL</v>
          </cell>
          <cell r="B6920" t="str">
            <v>YZ-MY1727</v>
          </cell>
        </row>
        <row r="6921">
          <cell r="A6921" t="str">
            <v>YZ-MY1727-L</v>
          </cell>
          <cell r="B6921" t="str">
            <v>YZ-MY1727</v>
          </cell>
        </row>
        <row r="6922">
          <cell r="A6922" t="str">
            <v>YZ-MY1727-M</v>
          </cell>
          <cell r="B6922" t="str">
            <v>YZ-MY1727</v>
          </cell>
        </row>
        <row r="6923">
          <cell r="A6923" t="str">
            <v>YZ-MY1727-S</v>
          </cell>
          <cell r="B6923" t="str">
            <v>YZ-MY1727</v>
          </cell>
        </row>
        <row r="6924">
          <cell r="A6924" t="str">
            <v>YZ-MY1727-XL</v>
          </cell>
          <cell r="B6924" t="str">
            <v>YZ-MY1727</v>
          </cell>
        </row>
        <row r="6925">
          <cell r="A6925" t="str">
            <v>YZ-MYBKN1703</v>
          </cell>
          <cell r="B6925" t="str">
            <v>YZ-MYBKN1703</v>
          </cell>
        </row>
        <row r="6926">
          <cell r="A6926" t="str">
            <v>YZ-MYBKN1703-R0-L</v>
          </cell>
          <cell r="B6926" t="str">
            <v>YZ-MYBKN1703</v>
          </cell>
        </row>
        <row r="6927">
          <cell r="A6927" t="str">
            <v>YZ-MYBKN1703-R0-M</v>
          </cell>
          <cell r="B6927" t="str">
            <v>YZ-MYBKN1703</v>
          </cell>
        </row>
        <row r="6928">
          <cell r="A6928" t="str">
            <v>YZ-MYBKN1703-R0-S</v>
          </cell>
          <cell r="B6928" t="str">
            <v>YZ-MYBKN1703</v>
          </cell>
        </row>
        <row r="6929">
          <cell r="A6929" t="str">
            <v>YZ-MYBKN1703-R0-XL</v>
          </cell>
          <cell r="B6929" t="str">
            <v>YZ-MYBKN1703</v>
          </cell>
        </row>
        <row r="6930">
          <cell r="A6930" t="str">
            <v>YZ-MYBKN1703-R0-XS</v>
          </cell>
          <cell r="B6930" t="str">
            <v>YZ-MYBKN1703</v>
          </cell>
        </row>
        <row r="6931">
          <cell r="A6931" t="str">
            <v>YZ-MY-JY3233</v>
          </cell>
          <cell r="B6931" t="str">
            <v>YZ-MY-JY3233</v>
          </cell>
        </row>
        <row r="6932">
          <cell r="A6932" t="str">
            <v>YZ-MY-JY3233-K0-L</v>
          </cell>
          <cell r="B6932" t="str">
            <v>YZ-MY-JY3233</v>
          </cell>
        </row>
        <row r="6933">
          <cell r="A6933" t="str">
            <v>YZ-MY-JY3233-K0-M</v>
          </cell>
          <cell r="B6933" t="str">
            <v>YZ-MY-JY3233</v>
          </cell>
        </row>
        <row r="6934">
          <cell r="A6934" t="str">
            <v>YZ-MY-JY3233-K0-S</v>
          </cell>
          <cell r="B6934" t="str">
            <v>YZ-MY-JY3233</v>
          </cell>
        </row>
        <row r="6935">
          <cell r="A6935" t="str">
            <v>YZ-MY-JY3233-K0-XL</v>
          </cell>
          <cell r="B6935" t="str">
            <v>YZ-MY-JY3233</v>
          </cell>
        </row>
        <row r="6936">
          <cell r="A6936" t="str">
            <v>YZ-MY-JY3233-K0-XS</v>
          </cell>
          <cell r="B6936" t="str">
            <v>YZ-MY-JY3233</v>
          </cell>
        </row>
        <row r="6937">
          <cell r="A6937" t="str">
            <v>YZ-MYQQ1706</v>
          </cell>
          <cell r="B6937" t="str">
            <v>YZ-MYQQ1706</v>
          </cell>
        </row>
        <row r="6938">
          <cell r="A6938" t="str">
            <v>YZ-MYQQ1706-K0-2XL</v>
          </cell>
          <cell r="B6938" t="str">
            <v>YZ-MYQQ1706</v>
          </cell>
        </row>
        <row r="6939">
          <cell r="A6939" t="str">
            <v>YZ-MYQQ1706-K0-L</v>
          </cell>
          <cell r="B6939" t="str">
            <v>YZ-MYQQ1706</v>
          </cell>
        </row>
        <row r="6940">
          <cell r="A6940" t="str">
            <v>YZ-MYQQ1706-K0-M</v>
          </cell>
          <cell r="B6940" t="str">
            <v>YZ-MYQQ1706</v>
          </cell>
        </row>
        <row r="6941">
          <cell r="A6941" t="str">
            <v>YZ-MYQQ1706-K0-S</v>
          </cell>
          <cell r="B6941" t="str">
            <v>YZ-MYQQ1706</v>
          </cell>
        </row>
        <row r="6942">
          <cell r="A6942" t="str">
            <v>YZ-MYQQ1706-K0-XL</v>
          </cell>
          <cell r="B6942" t="str">
            <v>YZ-MYQQ1706</v>
          </cell>
        </row>
        <row r="6943">
          <cell r="A6943" t="str">
            <v>YZ-MYQQ1706-K0-XS</v>
          </cell>
          <cell r="B6943" t="str">
            <v>YZ-MYQQ1706</v>
          </cell>
        </row>
        <row r="6944">
          <cell r="A6944" t="str">
            <v>YZ-MYQZ1709</v>
          </cell>
          <cell r="B6944" t="str">
            <v>YZ-MYQZ1709</v>
          </cell>
        </row>
        <row r="6945">
          <cell r="A6945" t="str">
            <v>YZ-MYQZ1709-K0-2XL</v>
          </cell>
          <cell r="B6945" t="str">
            <v>YZ-MYQZ1709</v>
          </cell>
        </row>
        <row r="6946">
          <cell r="A6946" t="str">
            <v>YZ-MYQZ1709-K0-3XL</v>
          </cell>
          <cell r="B6946" t="str">
            <v>YZ-MYQZ1709</v>
          </cell>
        </row>
        <row r="6947">
          <cell r="A6947" t="str">
            <v>YZ-MYQZ1709-K0-L</v>
          </cell>
          <cell r="B6947" t="str">
            <v>YZ-MYQZ1709</v>
          </cell>
        </row>
        <row r="6948">
          <cell r="A6948" t="str">
            <v>YZ-MYQZ1709-K0-M</v>
          </cell>
          <cell r="B6948" t="str">
            <v>YZ-MYQZ1709</v>
          </cell>
        </row>
        <row r="6949">
          <cell r="A6949" t="str">
            <v>YZ-MYQZ1709-K0-S</v>
          </cell>
          <cell r="B6949" t="str">
            <v>YZ-MYQZ1709</v>
          </cell>
        </row>
        <row r="6950">
          <cell r="A6950" t="str">
            <v>YZ-MYQZ1709-K0-XL</v>
          </cell>
          <cell r="B6950" t="str">
            <v>YZ-MYQZ1709</v>
          </cell>
        </row>
        <row r="6951">
          <cell r="A6951" t="str">
            <v>YZ-MYQZ1709-K0-XS</v>
          </cell>
          <cell r="B6951" t="str">
            <v>YZ-MYQZ1709</v>
          </cell>
        </row>
        <row r="6952">
          <cell r="A6952" t="str">
            <v>YZ-MYQZ1709-R0-2XL</v>
          </cell>
          <cell r="B6952" t="str">
            <v>YZ-MYQZ1709</v>
          </cell>
        </row>
        <row r="6953">
          <cell r="A6953" t="str">
            <v>YZ-MYQZ1709-R0-3XL</v>
          </cell>
          <cell r="B6953" t="str">
            <v>YZ-MYQZ1709</v>
          </cell>
        </row>
        <row r="6954">
          <cell r="A6954" t="str">
            <v>YZ-MYQZ1709-R0-L</v>
          </cell>
          <cell r="B6954" t="str">
            <v>YZ-MYQZ1709</v>
          </cell>
        </row>
        <row r="6955">
          <cell r="A6955" t="str">
            <v>YZ-MYQZ1709-R0-M</v>
          </cell>
          <cell r="B6955" t="str">
            <v>YZ-MYQZ1709</v>
          </cell>
        </row>
        <row r="6956">
          <cell r="A6956" t="str">
            <v>YZ-MYQZ1709-R0-S</v>
          </cell>
          <cell r="B6956" t="str">
            <v>YZ-MYQZ1709</v>
          </cell>
        </row>
        <row r="6957">
          <cell r="A6957" t="str">
            <v>YZ-MYQZ1709-R0-XL</v>
          </cell>
          <cell r="B6957" t="str">
            <v>YZ-MYQZ1709</v>
          </cell>
        </row>
        <row r="6958">
          <cell r="A6958" t="str">
            <v>YZ-MYQZ1709-R0-XS</v>
          </cell>
          <cell r="B6958" t="str">
            <v>YZ-MYQZ1709</v>
          </cell>
        </row>
        <row r="6959">
          <cell r="A6959" t="str">
            <v>YZ-MYSJ1708</v>
          </cell>
          <cell r="B6959" t="str">
            <v>YZ-MYSJ1708</v>
          </cell>
        </row>
        <row r="6960">
          <cell r="A6960" t="str">
            <v>YZ-MYSJ1708-K0-2XL</v>
          </cell>
          <cell r="B6960" t="str">
            <v>YZ-MYSJ1708</v>
          </cell>
        </row>
        <row r="6961">
          <cell r="A6961" t="str">
            <v>YZ-MYSJ1708-K0-L</v>
          </cell>
          <cell r="B6961" t="str">
            <v>YZ-MYSJ1708</v>
          </cell>
        </row>
        <row r="6962">
          <cell r="A6962" t="str">
            <v>YZ-MYSJ1708-K0-M</v>
          </cell>
          <cell r="B6962" t="str">
            <v>YZ-MYSJ1708</v>
          </cell>
        </row>
        <row r="6963">
          <cell r="A6963" t="str">
            <v>YZ-MYSJ1708-K0-S</v>
          </cell>
          <cell r="B6963" t="str">
            <v>YZ-MYSJ1708</v>
          </cell>
        </row>
        <row r="6964">
          <cell r="A6964" t="str">
            <v>YZ-MYSJ1708-K0-XL</v>
          </cell>
          <cell r="B6964" t="str">
            <v>YZ-MYSJ1708</v>
          </cell>
        </row>
        <row r="6965">
          <cell r="A6965" t="str">
            <v>YZ-MYSJ1708-K0-XS</v>
          </cell>
          <cell r="B6965" t="str">
            <v>YZ-MYSJ1708</v>
          </cell>
        </row>
        <row r="6966">
          <cell r="A6966" t="str">
            <v>YZ-MYSJ1708-R0-2XL</v>
          </cell>
          <cell r="B6966" t="str">
            <v>YZ-MYSJ1708</v>
          </cell>
        </row>
        <row r="6967">
          <cell r="A6967" t="str">
            <v>YZ-MYSJ1708-R0-L</v>
          </cell>
          <cell r="B6967" t="str">
            <v>YZ-MYSJ1708</v>
          </cell>
        </row>
        <row r="6968">
          <cell r="A6968" t="str">
            <v>YZ-MYSJ1708-R0-M</v>
          </cell>
          <cell r="B6968" t="str">
            <v>YZ-MYSJ1708</v>
          </cell>
        </row>
        <row r="6969">
          <cell r="A6969" t="str">
            <v>YZ-MYSJ1708-R0-S</v>
          </cell>
          <cell r="B6969" t="str">
            <v>YZ-MYSJ1708</v>
          </cell>
        </row>
        <row r="6970">
          <cell r="A6970" t="str">
            <v>YZ-MYSJ1708-R0-XL</v>
          </cell>
          <cell r="B6970" t="str">
            <v>YZ-MYSJ1708</v>
          </cell>
        </row>
        <row r="6971">
          <cell r="A6971" t="str">
            <v>YZ-MYSJ1708-R0-XS</v>
          </cell>
          <cell r="B6971" t="str">
            <v>YZ-MYSJ1708</v>
          </cell>
        </row>
        <row r="6972">
          <cell r="A6972" t="str">
            <v>YZNA11B04XL</v>
          </cell>
          <cell r="B6972" t="str">
            <v>YZNA11</v>
          </cell>
        </row>
        <row r="6973">
          <cell r="A6973" t="str">
            <v>YZNA11B0L</v>
          </cell>
          <cell r="B6973" t="str">
            <v>YZNA11</v>
          </cell>
        </row>
        <row r="6974">
          <cell r="A6974" t="str">
            <v>YZNA11B0M</v>
          </cell>
          <cell r="B6974" t="str">
            <v>YZNA11</v>
          </cell>
        </row>
        <row r="6975">
          <cell r="A6975" t="str">
            <v>YZNA11B0XL</v>
          </cell>
          <cell r="B6975" t="str">
            <v>YZNA11</v>
          </cell>
        </row>
        <row r="6976">
          <cell r="A6976" t="str">
            <v>YZNA11B0XXXL</v>
          </cell>
          <cell r="B6976" t="str">
            <v>YZNA11</v>
          </cell>
        </row>
        <row r="6977">
          <cell r="A6977" t="str">
            <v>YZNA11K04xL</v>
          </cell>
          <cell r="B6977" t="str">
            <v>YZNA11</v>
          </cell>
        </row>
        <row r="6978">
          <cell r="A6978" t="str">
            <v>YZNA11K0L</v>
          </cell>
          <cell r="B6978" t="str">
            <v>YZNA11</v>
          </cell>
        </row>
        <row r="6979">
          <cell r="A6979" t="str">
            <v>YZNA11K0M</v>
          </cell>
          <cell r="B6979" t="str">
            <v>YZNA11</v>
          </cell>
        </row>
        <row r="6980">
          <cell r="A6980" t="str">
            <v>YZNA11K0XL</v>
          </cell>
          <cell r="B6980" t="str">
            <v>YZNA11</v>
          </cell>
        </row>
        <row r="6981">
          <cell r="A6981" t="str">
            <v>YZNA11K0XXXL</v>
          </cell>
          <cell r="B6981" t="str">
            <v>YZNA11</v>
          </cell>
        </row>
        <row r="6982">
          <cell r="A6982" t="str">
            <v>YZ-NA13037EZ1L</v>
          </cell>
          <cell r="B6982" t="str">
            <v>YZ-NA13037</v>
          </cell>
        </row>
        <row r="6983">
          <cell r="A6983" t="str">
            <v>YZ-NA13037EZ2L</v>
          </cell>
          <cell r="B6983" t="str">
            <v>YZ-NA13037</v>
          </cell>
        </row>
        <row r="6984">
          <cell r="A6984" t="str">
            <v>YZ-NA13037EZ3L</v>
          </cell>
          <cell r="B6984" t="str">
            <v>YZ-NA13037</v>
          </cell>
        </row>
        <row r="6985">
          <cell r="A6985" t="str">
            <v>YZ-NA13037EZ4L</v>
          </cell>
          <cell r="B6985" t="str">
            <v>YZ-NA13037</v>
          </cell>
        </row>
        <row r="6986">
          <cell r="A6986" t="str">
            <v>YZ-NA13037EZ5L</v>
          </cell>
          <cell r="B6986" t="str">
            <v>YZ-NA13037</v>
          </cell>
        </row>
        <row r="6987">
          <cell r="A6987" t="str">
            <v>YZ-NA13037EZ6L</v>
          </cell>
          <cell r="B6987" t="str">
            <v>YZ-NA13037</v>
          </cell>
        </row>
        <row r="6988">
          <cell r="A6988" t="str">
            <v>YZ-NA13037EZ7L</v>
          </cell>
          <cell r="B6988" t="str">
            <v>YZ-NA13037</v>
          </cell>
        </row>
        <row r="6989">
          <cell r="A6989" t="str">
            <v>YZ-NA13037EZ8L</v>
          </cell>
          <cell r="B6989" t="str">
            <v>YZ-NA13037</v>
          </cell>
        </row>
        <row r="6990">
          <cell r="A6990" t="str">
            <v>YZ-NA13037EZ9L</v>
          </cell>
          <cell r="B6990" t="str">
            <v>YZ-NA13037</v>
          </cell>
        </row>
        <row r="6991">
          <cell r="A6991" t="str">
            <v>YZ-NA13037Or1L</v>
          </cell>
          <cell r="B6991" t="str">
            <v>YZ-NA13037</v>
          </cell>
        </row>
        <row r="6992">
          <cell r="A6992" t="str">
            <v>YZ-NA13037Or2L</v>
          </cell>
          <cell r="B6992" t="str">
            <v>YZ-NA13037</v>
          </cell>
        </row>
        <row r="6993">
          <cell r="A6993" t="str">
            <v>YZ-NA13037Or3L</v>
          </cell>
          <cell r="B6993" t="str">
            <v>YZ-NA13037</v>
          </cell>
        </row>
        <row r="6994">
          <cell r="A6994" t="str">
            <v>YZ-NA13037Or4L</v>
          </cell>
          <cell r="B6994" t="str">
            <v>YZ-NA13037</v>
          </cell>
        </row>
        <row r="6995">
          <cell r="A6995" t="str">
            <v>YZ-NA13037Or5L</v>
          </cell>
          <cell r="B6995" t="str">
            <v>YZ-NA13037</v>
          </cell>
        </row>
        <row r="6996">
          <cell r="A6996" t="str">
            <v>YZ-NA13037Or6L</v>
          </cell>
          <cell r="B6996" t="str">
            <v>YZ-NA13037</v>
          </cell>
        </row>
        <row r="6997">
          <cell r="A6997" t="str">
            <v>YZ-NA13037Or7L</v>
          </cell>
          <cell r="B6997" t="str">
            <v>YZ-NA13037</v>
          </cell>
        </row>
        <row r="6998">
          <cell r="A6998" t="str">
            <v>YZ-NA13037Or8L</v>
          </cell>
          <cell r="B6998" t="str">
            <v>YZ-NA13037</v>
          </cell>
        </row>
        <row r="6999">
          <cell r="A6999" t="str">
            <v>YZ-NA13037Or9L</v>
          </cell>
          <cell r="B6999" t="str">
            <v>YZ-NA13037</v>
          </cell>
        </row>
        <row r="7000">
          <cell r="A7000" t="str">
            <v>YZ-NA13037Pu1L</v>
          </cell>
          <cell r="B7000" t="str">
            <v>YZ-NA13037</v>
          </cell>
        </row>
        <row r="7001">
          <cell r="A7001" t="str">
            <v>YZ-NA13037Pu2L</v>
          </cell>
          <cell r="B7001" t="str">
            <v>YZ-NA13037</v>
          </cell>
        </row>
        <row r="7002">
          <cell r="A7002" t="str">
            <v>YZ-NA13037Pu3L</v>
          </cell>
          <cell r="B7002" t="str">
            <v>YZ-NA13037</v>
          </cell>
        </row>
        <row r="7003">
          <cell r="A7003" t="str">
            <v>YZ-NA13037Pu4L</v>
          </cell>
          <cell r="B7003" t="str">
            <v>YZ-NA13037</v>
          </cell>
        </row>
        <row r="7004">
          <cell r="A7004" t="str">
            <v>YZ-NA13037Pu5L</v>
          </cell>
          <cell r="B7004" t="str">
            <v>YZ-NA13037</v>
          </cell>
        </row>
        <row r="7005">
          <cell r="A7005" t="str">
            <v>YZ-NA13037Pu6L</v>
          </cell>
          <cell r="B7005" t="str">
            <v>YZ-NA13037</v>
          </cell>
        </row>
        <row r="7006">
          <cell r="A7006" t="str">
            <v>YZ-NA13037Pu7L</v>
          </cell>
          <cell r="B7006" t="str">
            <v>YZ-NA13037</v>
          </cell>
        </row>
        <row r="7007">
          <cell r="A7007" t="str">
            <v>YZ-NA13037Pu8L</v>
          </cell>
          <cell r="B7007" t="str">
            <v>YZ-NA13037</v>
          </cell>
        </row>
        <row r="7008">
          <cell r="A7008" t="str">
            <v>YZ-NA13037Pu9L</v>
          </cell>
          <cell r="B7008" t="str">
            <v>YZ-NA13037</v>
          </cell>
        </row>
        <row r="7009">
          <cell r="A7009" t="str">
            <v>YZ-NA13037Wi1L</v>
          </cell>
          <cell r="B7009" t="str">
            <v>YZ-NA13037</v>
          </cell>
        </row>
        <row r="7010">
          <cell r="A7010" t="str">
            <v>YZ-NA13037Wi2L</v>
          </cell>
          <cell r="B7010" t="str">
            <v>YZ-NA13037</v>
          </cell>
        </row>
        <row r="7011">
          <cell r="A7011" t="str">
            <v>YZ-NA13037Wi3L</v>
          </cell>
          <cell r="B7011" t="str">
            <v>YZ-NA13037</v>
          </cell>
        </row>
        <row r="7012">
          <cell r="A7012" t="str">
            <v>YZ-NA13037Wi4L</v>
          </cell>
          <cell r="B7012" t="str">
            <v>YZ-NA13037</v>
          </cell>
        </row>
        <row r="7013">
          <cell r="A7013" t="str">
            <v>YZ-NA13037Wi5L</v>
          </cell>
          <cell r="B7013" t="str">
            <v>YZ-NA13037</v>
          </cell>
        </row>
        <row r="7014">
          <cell r="A7014" t="str">
            <v>YZ-NA13037Wi6L</v>
          </cell>
          <cell r="B7014" t="str">
            <v>YZ-NA13037</v>
          </cell>
        </row>
        <row r="7015">
          <cell r="A7015" t="str">
            <v>YZ-NA13037Wi7L</v>
          </cell>
          <cell r="B7015" t="str">
            <v>YZ-NA13037</v>
          </cell>
        </row>
        <row r="7016">
          <cell r="A7016" t="str">
            <v>YZ-NA13037Wi8L</v>
          </cell>
          <cell r="B7016" t="str">
            <v>YZ-NA13037</v>
          </cell>
        </row>
        <row r="7017">
          <cell r="A7017" t="str">
            <v>YZ-NA13037Wi9L</v>
          </cell>
          <cell r="B7017" t="str">
            <v>YZ-NA13037</v>
          </cell>
        </row>
        <row r="7018">
          <cell r="A7018" t="str">
            <v>YZ-NA1304Y05L</v>
          </cell>
          <cell r="B7018" t="str">
            <v>YZ-NA1304</v>
          </cell>
        </row>
        <row r="7019">
          <cell r="A7019" t="str">
            <v>YZ-NA1521-BF-3XL</v>
          </cell>
          <cell r="B7019" t="str">
            <v>YZ-NA1521</v>
          </cell>
        </row>
        <row r="7020">
          <cell r="A7020" t="str">
            <v>YZ-NA1521-BF-5XL</v>
          </cell>
          <cell r="B7020" t="str">
            <v>YZ-NA1521</v>
          </cell>
        </row>
        <row r="7021">
          <cell r="A7021" t="str">
            <v>YZ-NA1521-BL-2XL</v>
          </cell>
          <cell r="B7021" t="str">
            <v>YZ-NA1521</v>
          </cell>
        </row>
        <row r="7022">
          <cell r="A7022" t="str">
            <v>YZ-NA1521-BL-4XL</v>
          </cell>
          <cell r="B7022" t="str">
            <v>YZ-NA1521</v>
          </cell>
        </row>
        <row r="7023">
          <cell r="A7023" t="str">
            <v>YZ-NA1521-BL-5XL</v>
          </cell>
          <cell r="B7023" t="str">
            <v>YZ-NA1521</v>
          </cell>
        </row>
        <row r="7024">
          <cell r="A7024" t="str">
            <v>YZ-NA1521-GF-2XL</v>
          </cell>
          <cell r="B7024" t="str">
            <v>YZ-NA1521</v>
          </cell>
        </row>
        <row r="7025">
          <cell r="A7025" t="str">
            <v>YZ-NA1521-GF-3XL</v>
          </cell>
          <cell r="B7025" t="str">
            <v>YZ-NA1521</v>
          </cell>
        </row>
        <row r="7026">
          <cell r="A7026" t="str">
            <v>YZ-NA1521-GF-4XL</v>
          </cell>
          <cell r="B7026" t="str">
            <v>YZ-NA1521</v>
          </cell>
        </row>
        <row r="7027">
          <cell r="A7027" t="str">
            <v>YZ-NA1521-GF-5XL</v>
          </cell>
          <cell r="B7027" t="str">
            <v>YZ-NA1521</v>
          </cell>
        </row>
        <row r="7028">
          <cell r="A7028" t="str">
            <v>YZ-NA1521-GF-XL</v>
          </cell>
          <cell r="B7028" t="str">
            <v>YZ-NA1521</v>
          </cell>
        </row>
        <row r="7029">
          <cell r="A7029" t="str">
            <v>YZ-NA1521-GW-2XL</v>
          </cell>
          <cell r="B7029" t="str">
            <v>YZ-NA1521</v>
          </cell>
        </row>
        <row r="7030">
          <cell r="A7030" t="str">
            <v>YZ-NA1521-GW-3XL</v>
          </cell>
          <cell r="B7030" t="str">
            <v>YZ-NA1521</v>
          </cell>
        </row>
        <row r="7031">
          <cell r="A7031" t="str">
            <v>YZ-NA1521-GW-4XL</v>
          </cell>
          <cell r="B7031" t="str">
            <v>YZ-NA1521</v>
          </cell>
        </row>
        <row r="7032">
          <cell r="A7032" t="str">
            <v>YZ-NA1521-KF-4XL</v>
          </cell>
          <cell r="B7032" t="str">
            <v>YZ-NA1521</v>
          </cell>
        </row>
        <row r="7033">
          <cell r="A7033" t="str">
            <v>YZ-NA1521-KF-XL</v>
          </cell>
          <cell r="B7033" t="str">
            <v>YZ-NA1521</v>
          </cell>
        </row>
        <row r="7034">
          <cell r="A7034" t="str">
            <v>YZ-NA1521-RF-2XL</v>
          </cell>
          <cell r="B7034" t="str">
            <v>YZ-NA1521</v>
          </cell>
        </row>
        <row r="7035">
          <cell r="A7035" t="str">
            <v>YZ-NA1521-RF-3XL</v>
          </cell>
          <cell r="B7035" t="str">
            <v>YZ-NA1521</v>
          </cell>
        </row>
        <row r="7036">
          <cell r="A7036" t="str">
            <v>YZ-NA1521-RF-4XL</v>
          </cell>
          <cell r="B7036" t="str">
            <v>YZ-NA1521</v>
          </cell>
        </row>
        <row r="7037">
          <cell r="A7037" t="str">
            <v>YZ-NA1521-RF-5XL</v>
          </cell>
          <cell r="B7037" t="str">
            <v>YZ-NA1521</v>
          </cell>
        </row>
        <row r="7038">
          <cell r="A7038" t="str">
            <v>YZ-NA1521-RF-XL</v>
          </cell>
          <cell r="B7038" t="str">
            <v>YZ-NA1521</v>
          </cell>
        </row>
        <row r="7039">
          <cell r="A7039" t="str">
            <v>YZ-NA1521-RL-3XL</v>
          </cell>
          <cell r="B7039" t="str">
            <v>YZ-NA1521</v>
          </cell>
        </row>
        <row r="7040">
          <cell r="A7040" t="str">
            <v>YZ-NA1521-RL-4XL</v>
          </cell>
          <cell r="B7040" t="str">
            <v>YZ-NA1521</v>
          </cell>
        </row>
        <row r="7041">
          <cell r="A7041" t="str">
            <v>YZ-NA1521-RL-5XL</v>
          </cell>
          <cell r="B7041" t="str">
            <v>YZ-NA1521</v>
          </cell>
        </row>
        <row r="7042">
          <cell r="A7042" t="str">
            <v>YZ-NA1521-RM-2XL</v>
          </cell>
          <cell r="B7042" t="str">
            <v>YZ-NA1521</v>
          </cell>
        </row>
        <row r="7043">
          <cell r="A7043" t="str">
            <v>YZ-NA1521-RM-3XL</v>
          </cell>
          <cell r="B7043" t="str">
            <v>YZ-NA1521</v>
          </cell>
        </row>
        <row r="7044">
          <cell r="A7044" t="str">
            <v>YZ-NA1521-RM-4XL</v>
          </cell>
          <cell r="B7044" t="str">
            <v>YZ-NA1521</v>
          </cell>
        </row>
        <row r="7045">
          <cell r="A7045" t="str">
            <v>YZ-NA1521-RM-5XL</v>
          </cell>
          <cell r="B7045" t="str">
            <v>YZ-NA1521</v>
          </cell>
        </row>
        <row r="7046">
          <cell r="A7046" t="str">
            <v>YZ-NA1521-WP-4XL</v>
          </cell>
          <cell r="B7046" t="str">
            <v>YZ-NA1521</v>
          </cell>
        </row>
        <row r="7047">
          <cell r="A7047" t="str">
            <v>YZ-NA1521-WP-XL</v>
          </cell>
          <cell r="B7047" t="str">
            <v>YZ-NA1521</v>
          </cell>
        </row>
        <row r="7048">
          <cell r="A7048" t="str">
            <v>YZ-NA263100-1L</v>
          </cell>
          <cell r="B7048" t="str">
            <v>YZ-NA263100</v>
          </cell>
        </row>
        <row r="7049">
          <cell r="A7049" t="str">
            <v>YZ-NA263100-2L</v>
          </cell>
          <cell r="B7049" t="str">
            <v>YZ-NA263100</v>
          </cell>
        </row>
        <row r="7050">
          <cell r="A7050" t="str">
            <v>YZ-NA263100-3L</v>
          </cell>
          <cell r="B7050" t="str">
            <v>YZ-NA263100</v>
          </cell>
        </row>
        <row r="7051">
          <cell r="A7051" t="str">
            <v>YZ-NA263100L</v>
          </cell>
          <cell r="B7051" t="str">
            <v>YZ-NA263100</v>
          </cell>
        </row>
        <row r="7052">
          <cell r="A7052" t="str">
            <v>YZ-NA263100M</v>
          </cell>
          <cell r="B7052" t="str">
            <v>YZ-NA263100</v>
          </cell>
        </row>
        <row r="7053">
          <cell r="A7053" t="str">
            <v>YZ-NA2631HS1L</v>
          </cell>
          <cell r="B7053" t="str">
            <v>YZ-NA2631</v>
          </cell>
        </row>
        <row r="7054">
          <cell r="A7054" t="str">
            <v>YZ-NA2631HSL</v>
          </cell>
          <cell r="B7054" t="str">
            <v>YZ-NA2631</v>
          </cell>
        </row>
        <row r="7055">
          <cell r="A7055" t="str">
            <v>YZ-NA2631HSM</v>
          </cell>
          <cell r="B7055" t="str">
            <v>YZ-NA2631</v>
          </cell>
        </row>
        <row r="7056">
          <cell r="A7056" t="str">
            <v>YZ-NA2631HSS</v>
          </cell>
          <cell r="B7056" t="str">
            <v>YZ-NA2631</v>
          </cell>
        </row>
        <row r="7057">
          <cell r="A7057" t="str">
            <v>YZ-NA2631HSXS</v>
          </cell>
          <cell r="B7057" t="str">
            <v>YZ-NA2631</v>
          </cell>
        </row>
        <row r="7058">
          <cell r="A7058" t="str">
            <v>YZ-NA2631K01L</v>
          </cell>
          <cell r="B7058" t="str">
            <v>YZ-NA2631</v>
          </cell>
        </row>
        <row r="7059">
          <cell r="A7059" t="str">
            <v>YZ-NA2631K02L</v>
          </cell>
          <cell r="B7059" t="str">
            <v>YZ-NA2631</v>
          </cell>
        </row>
        <row r="7060">
          <cell r="A7060" t="str">
            <v>YZ-NA2631K03L</v>
          </cell>
          <cell r="B7060" t="str">
            <v>YZ-NA2631</v>
          </cell>
        </row>
        <row r="7061">
          <cell r="A7061" t="str">
            <v>YZ-NA2631K0L</v>
          </cell>
          <cell r="B7061" t="str">
            <v>YZ-NA2631</v>
          </cell>
        </row>
        <row r="7062">
          <cell r="A7062" t="str">
            <v>YZ-NA2631K0M</v>
          </cell>
          <cell r="B7062" t="str">
            <v>YZ-NA2631</v>
          </cell>
        </row>
        <row r="7063">
          <cell r="A7063" t="str">
            <v>YZ-NA2631R01L</v>
          </cell>
          <cell r="B7063" t="str">
            <v>YZ-NA2631</v>
          </cell>
        </row>
        <row r="7064">
          <cell r="A7064" t="str">
            <v>YZ-NA2631R0L</v>
          </cell>
          <cell r="B7064" t="str">
            <v>YZ-NA2631</v>
          </cell>
        </row>
        <row r="7065">
          <cell r="A7065" t="str">
            <v>YZ-NA2631R0M</v>
          </cell>
          <cell r="B7065" t="str">
            <v>YZ-NA2631</v>
          </cell>
        </row>
        <row r="7066">
          <cell r="A7066" t="str">
            <v>YZ-NA2631R0S</v>
          </cell>
          <cell r="B7066" t="str">
            <v>YZ-NA2631</v>
          </cell>
        </row>
        <row r="7067">
          <cell r="A7067" t="str">
            <v>YZ-NA2631R0XS</v>
          </cell>
          <cell r="B7067" t="str">
            <v>YZ-NA2631</v>
          </cell>
        </row>
        <row r="7068">
          <cell r="A7068" t="str">
            <v>YZ-NA2631ZL1L</v>
          </cell>
          <cell r="B7068" t="str">
            <v>YZ-NA2631</v>
          </cell>
        </row>
        <row r="7069">
          <cell r="A7069" t="str">
            <v>YZ-NA2631ZL2L</v>
          </cell>
          <cell r="B7069" t="str">
            <v>YZ-NA2631</v>
          </cell>
        </row>
        <row r="7070">
          <cell r="A7070" t="str">
            <v>YZ-NA2631ZL3L</v>
          </cell>
          <cell r="B7070" t="str">
            <v>YZ-NA2631</v>
          </cell>
        </row>
        <row r="7071">
          <cell r="A7071" t="str">
            <v>YZ-NA2631ZLL</v>
          </cell>
          <cell r="B7071" t="str">
            <v>YZ-NA2631</v>
          </cell>
        </row>
        <row r="7072">
          <cell r="A7072" t="str">
            <v>YZ-NA2631ZLM</v>
          </cell>
          <cell r="B7072" t="str">
            <v>YZ-NA2631</v>
          </cell>
        </row>
        <row r="7073">
          <cell r="A7073" t="str">
            <v>YZ-NA5060B2</v>
          </cell>
          <cell r="B7073" t="str">
            <v>YZ-NA5060</v>
          </cell>
        </row>
        <row r="7074">
          <cell r="A7074" t="str">
            <v>YZ-NA5060B21L</v>
          </cell>
          <cell r="B7074" t="str">
            <v>YZ-NA5060</v>
          </cell>
        </row>
        <row r="7075">
          <cell r="A7075" t="str">
            <v>YZ-NA5060B2L</v>
          </cell>
          <cell r="B7075" t="str">
            <v>YZ-NA5060</v>
          </cell>
        </row>
        <row r="7076">
          <cell r="A7076" t="str">
            <v>YZ-NA5060B2M</v>
          </cell>
          <cell r="B7076" t="str">
            <v>YZ-NA5060</v>
          </cell>
        </row>
        <row r="7077">
          <cell r="A7077" t="str">
            <v>YZ-NA5060B2S</v>
          </cell>
          <cell r="B7077" t="str">
            <v>YZ-NA5060</v>
          </cell>
        </row>
        <row r="7078">
          <cell r="A7078" t="str">
            <v>YZ-NA5060R2</v>
          </cell>
          <cell r="B7078" t="str">
            <v>YZ-NA5060</v>
          </cell>
        </row>
        <row r="7079">
          <cell r="A7079" t="str">
            <v>YZ-NA5060R2L</v>
          </cell>
          <cell r="B7079" t="str">
            <v>YZ-NA5060</v>
          </cell>
        </row>
        <row r="7080">
          <cell r="A7080" t="str">
            <v>YZ-NA5060R2S</v>
          </cell>
          <cell r="B7080" t="str">
            <v>YZ-NA5060</v>
          </cell>
        </row>
        <row r="7081">
          <cell r="A7081" t="str">
            <v>YZ-NA5060Y0</v>
          </cell>
          <cell r="B7081" t="str">
            <v>YZ-NA5060</v>
          </cell>
        </row>
        <row r="7082">
          <cell r="A7082" t="str">
            <v>YZ-NA5060Y01L</v>
          </cell>
          <cell r="B7082" t="str">
            <v>YZ-NA5060</v>
          </cell>
        </row>
        <row r="7083">
          <cell r="A7083" t="str">
            <v>YZ-NA5060Y0L</v>
          </cell>
          <cell r="B7083" t="str">
            <v>YZ-NA5060</v>
          </cell>
        </row>
        <row r="7084">
          <cell r="A7084" t="str">
            <v>YZ-NA5060Y0M</v>
          </cell>
          <cell r="B7084" t="str">
            <v>YZ-NA5060</v>
          </cell>
        </row>
        <row r="7085">
          <cell r="A7085" t="str">
            <v>YZ-NA5060Y0S</v>
          </cell>
          <cell r="B7085" t="str">
            <v>YZ-NA5060</v>
          </cell>
        </row>
        <row r="7086">
          <cell r="A7086" t="str">
            <v>YZ-NA5119K0-2XL</v>
          </cell>
          <cell r="B7086" t="str">
            <v>YZ-NA5119</v>
          </cell>
        </row>
        <row r="7087">
          <cell r="A7087" t="str">
            <v>YZ-NA5119K0-3XL</v>
          </cell>
          <cell r="B7087" t="str">
            <v>YZ-NA5119</v>
          </cell>
        </row>
        <row r="7088">
          <cell r="A7088" t="str">
            <v>YZ-NA5119K0-4XL</v>
          </cell>
          <cell r="B7088" t="str">
            <v>YZ-NA5119</v>
          </cell>
        </row>
        <row r="7089">
          <cell r="A7089" t="str">
            <v>YZ-NA5119K0-5XL</v>
          </cell>
          <cell r="B7089" t="str">
            <v>YZ-NA5119</v>
          </cell>
        </row>
        <row r="7090">
          <cell r="A7090" t="str">
            <v>YZ-NA5119K0-XL</v>
          </cell>
          <cell r="B7090" t="str">
            <v>YZ-NA5119</v>
          </cell>
        </row>
        <row r="7091">
          <cell r="A7091" t="str">
            <v>YZ-NA5119-YH-2XL</v>
          </cell>
          <cell r="B7091" t="str">
            <v>YZ-NA5119</v>
          </cell>
        </row>
        <row r="7092">
          <cell r="A7092" t="str">
            <v>YZ-NA5119-YH-3XL</v>
          </cell>
          <cell r="B7092" t="str">
            <v>YZ-NA5119</v>
          </cell>
        </row>
        <row r="7093">
          <cell r="A7093" t="str">
            <v>YZ-NA5119-YH-4XL</v>
          </cell>
          <cell r="B7093" t="str">
            <v>YZ-NA5119</v>
          </cell>
        </row>
        <row r="7094">
          <cell r="A7094" t="str">
            <v>YZ-NA5119-YH-5XL</v>
          </cell>
          <cell r="B7094" t="str">
            <v>YZ-NA5119</v>
          </cell>
        </row>
        <row r="7095">
          <cell r="A7095" t="str">
            <v>YZ-NA5119-YH-XL</v>
          </cell>
          <cell r="B7095" t="str">
            <v>YZ-NA5119</v>
          </cell>
        </row>
        <row r="7096">
          <cell r="A7096" t="str">
            <v>YZ-NA5119-YT-2XL</v>
          </cell>
          <cell r="B7096" t="str">
            <v>YZ-NA5119</v>
          </cell>
        </row>
        <row r="7097">
          <cell r="A7097" t="str">
            <v>YZ-NA5119-YT-3XL</v>
          </cell>
          <cell r="B7097" t="str">
            <v>YZ-NA5119</v>
          </cell>
        </row>
        <row r="7098">
          <cell r="A7098" t="str">
            <v>YZ-NA5119-YT-4XL</v>
          </cell>
          <cell r="B7098" t="str">
            <v>YZ-NA5119</v>
          </cell>
        </row>
        <row r="7099">
          <cell r="A7099" t="str">
            <v>YZ-NA5119-YT-5XL</v>
          </cell>
          <cell r="B7099" t="str">
            <v>YZ-NA5119</v>
          </cell>
        </row>
        <row r="7100">
          <cell r="A7100" t="str">
            <v>YZ-NA5119-YT-XL</v>
          </cell>
          <cell r="B7100" t="str">
            <v>YZ-NA5119</v>
          </cell>
        </row>
        <row r="7101">
          <cell r="A7101" t="str">
            <v>YZ-NA5119ZL2XL</v>
          </cell>
          <cell r="B7101" t="str">
            <v>YZ-NA5119</v>
          </cell>
        </row>
        <row r="7102">
          <cell r="A7102" t="str">
            <v>YZ-NA5119ZL3XL</v>
          </cell>
          <cell r="B7102" t="str">
            <v>YZ-NA5119</v>
          </cell>
        </row>
        <row r="7103">
          <cell r="A7103" t="str">
            <v>YZ-NA5119ZL4XL</v>
          </cell>
          <cell r="B7103" t="str">
            <v>YZ-NA5119</v>
          </cell>
        </row>
        <row r="7104">
          <cell r="A7104" t="str">
            <v>YZ-NA5119ZL5XL</v>
          </cell>
          <cell r="B7104" t="str">
            <v>YZ-NA5119</v>
          </cell>
        </row>
        <row r="7105">
          <cell r="A7105" t="str">
            <v>YZ-NA5119ZLXL</v>
          </cell>
          <cell r="B7105" t="str">
            <v>YZ-NA5119</v>
          </cell>
        </row>
        <row r="7106">
          <cell r="A7106" t="str">
            <v>YZ-NA5505Da</v>
          </cell>
          <cell r="B7106" t="str">
            <v>YZ-NA5505</v>
          </cell>
        </row>
        <row r="7107">
          <cell r="A7107" t="str">
            <v>YZ-NA5505DaL</v>
          </cell>
          <cell r="B7107" t="str">
            <v>YZ-NA5505</v>
          </cell>
        </row>
        <row r="7108">
          <cell r="A7108" t="str">
            <v>YZ-NA5505DaM</v>
          </cell>
          <cell r="B7108" t="str">
            <v>YZ-NA5505</v>
          </cell>
        </row>
        <row r="7109">
          <cell r="A7109" t="str">
            <v>YZ-NA5505DaS</v>
          </cell>
          <cell r="B7109" t="str">
            <v>YZ-NA5505</v>
          </cell>
        </row>
        <row r="7110">
          <cell r="A7110" t="str">
            <v>YZ-NA5505DaXL</v>
          </cell>
          <cell r="B7110" t="str">
            <v>YZ-NA5505</v>
          </cell>
        </row>
        <row r="7111">
          <cell r="A7111" t="str">
            <v>YZ-NA5505JR</v>
          </cell>
          <cell r="B7111" t="str">
            <v>YZ-NA5505</v>
          </cell>
        </row>
        <row r="7112">
          <cell r="A7112" t="str">
            <v>YZ-NA5505JR2L</v>
          </cell>
          <cell r="B7112" t="str">
            <v>YZ-NA5505</v>
          </cell>
        </row>
        <row r="7113">
          <cell r="A7113" t="str">
            <v>YZ-NA5505JRM</v>
          </cell>
          <cell r="B7113" t="str">
            <v>YZ-NA5505</v>
          </cell>
        </row>
        <row r="7114">
          <cell r="A7114" t="str">
            <v>YZ-NA5505JRS</v>
          </cell>
          <cell r="B7114" t="str">
            <v>YZ-NA5505</v>
          </cell>
        </row>
        <row r="7115">
          <cell r="A7115" t="str">
            <v>YZ-NA5505JRXL</v>
          </cell>
          <cell r="B7115" t="str">
            <v>YZ-NA5505</v>
          </cell>
        </row>
        <row r="7116">
          <cell r="A7116" t="str">
            <v>YZ-NA5505Lb0XS</v>
          </cell>
          <cell r="B7116" t="str">
            <v>YZ-NA5505</v>
          </cell>
        </row>
        <row r="7117">
          <cell r="A7117" t="str">
            <v>YZ-NA5505LbL</v>
          </cell>
          <cell r="B7117" t="str">
            <v>YZ-NA5505</v>
          </cell>
        </row>
        <row r="7118">
          <cell r="A7118" t="str">
            <v>YZ-NA5505LbM</v>
          </cell>
          <cell r="B7118" t="str">
            <v>YZ-NA5505</v>
          </cell>
        </row>
        <row r="7119">
          <cell r="A7119" t="str">
            <v>YZ-NA5505LbS</v>
          </cell>
          <cell r="B7119" t="str">
            <v>YZ-NA5505</v>
          </cell>
        </row>
        <row r="7120">
          <cell r="A7120" t="str">
            <v>YZ-NA5505LbXL</v>
          </cell>
          <cell r="B7120" t="str">
            <v>YZ-NA5505</v>
          </cell>
        </row>
        <row r="7121">
          <cell r="A7121" t="str">
            <v>YZ-NA5505LbXXL</v>
          </cell>
          <cell r="B7121" t="str">
            <v>YZ-NA5505</v>
          </cell>
        </row>
        <row r="7122">
          <cell r="A7122" t="str">
            <v>YZ-NA5505R0-2X</v>
          </cell>
          <cell r="B7122" t="str">
            <v>YZ-NA5505</v>
          </cell>
        </row>
        <row r="7123">
          <cell r="A7123" t="str">
            <v>YZ-NA5505R0-L</v>
          </cell>
          <cell r="B7123" t="str">
            <v>YZ-NA5505</v>
          </cell>
        </row>
        <row r="7124">
          <cell r="A7124" t="str">
            <v>YZ-NA5505R0-M</v>
          </cell>
          <cell r="B7124" t="str">
            <v>YZ-NA5505</v>
          </cell>
        </row>
        <row r="7125">
          <cell r="A7125" t="str">
            <v>YZ-NA5505R0-S</v>
          </cell>
          <cell r="B7125" t="str">
            <v>YZ-NA5505</v>
          </cell>
        </row>
        <row r="7126">
          <cell r="A7126" t="str">
            <v>YZ-NA5505R0-XL</v>
          </cell>
          <cell r="B7126" t="str">
            <v>YZ-NA5505</v>
          </cell>
        </row>
        <row r="7127">
          <cell r="A7127" t="str">
            <v>YZ-NA5505R0-XS</v>
          </cell>
          <cell r="B7127" t="str">
            <v>YZ-NA5505</v>
          </cell>
        </row>
        <row r="7128">
          <cell r="A7128" t="str">
            <v>YZ-NA9007Sa1L</v>
          </cell>
          <cell r="B7128" t="str">
            <v>YZ-NA9007</v>
          </cell>
        </row>
        <row r="7129">
          <cell r="A7129" t="str">
            <v>YZ-NA9007Sa2L</v>
          </cell>
          <cell r="B7129" t="str">
            <v>YZ-NA9007</v>
          </cell>
        </row>
        <row r="7130">
          <cell r="A7130" t="str">
            <v>YZ-NA9007Sa3L</v>
          </cell>
          <cell r="B7130" t="str">
            <v>YZ-NA9007</v>
          </cell>
        </row>
        <row r="7131">
          <cell r="A7131" t="str">
            <v>YZ-NA9007Sa4L</v>
          </cell>
          <cell r="B7131" t="str">
            <v>YZ-NA9007</v>
          </cell>
        </row>
        <row r="7132">
          <cell r="A7132" t="str">
            <v>YZ-NA9007Sa5L</v>
          </cell>
          <cell r="B7132" t="str">
            <v>YZ-NA9007</v>
          </cell>
        </row>
        <row r="7133">
          <cell r="A7133" t="str">
            <v>YZ-NA9007Sa6L</v>
          </cell>
          <cell r="B7133" t="str">
            <v>YZ-NA9007</v>
          </cell>
        </row>
        <row r="7134">
          <cell r="A7134" t="str">
            <v>YZ-NA9007Sa7L</v>
          </cell>
          <cell r="B7134" t="str">
            <v>YZ-NA9007</v>
          </cell>
        </row>
        <row r="7135">
          <cell r="A7135" t="str">
            <v>YZ-NA9007Sa8L</v>
          </cell>
          <cell r="B7135" t="str">
            <v>YZ-NA9007</v>
          </cell>
        </row>
        <row r="7136">
          <cell r="A7136" t="str">
            <v>YZ-NA9007Sa9L</v>
          </cell>
          <cell r="B7136" t="str">
            <v>YZ-NA9007</v>
          </cell>
        </row>
        <row r="7137">
          <cell r="A7137" t="str">
            <v>YZ-NA9007Se1L</v>
          </cell>
          <cell r="B7137" t="str">
            <v>YZ-NA9007</v>
          </cell>
        </row>
        <row r="7138">
          <cell r="A7138" t="str">
            <v>YZ-NA9007Se2L</v>
          </cell>
          <cell r="B7138" t="str">
            <v>YZ-NA9007</v>
          </cell>
        </row>
        <row r="7139">
          <cell r="A7139" t="str">
            <v>YZ-NA9007Se3L</v>
          </cell>
          <cell r="B7139" t="str">
            <v>YZ-NA9007</v>
          </cell>
        </row>
        <row r="7140">
          <cell r="A7140" t="str">
            <v>YZ-NA9007Se4L</v>
          </cell>
          <cell r="B7140" t="str">
            <v>YZ-NA9007</v>
          </cell>
        </row>
        <row r="7141">
          <cell r="A7141" t="str">
            <v>YZ-NA9007Se5L</v>
          </cell>
          <cell r="B7141" t="str">
            <v>YZ-NA9007</v>
          </cell>
        </row>
        <row r="7142">
          <cell r="A7142" t="str">
            <v>YZ-NA9007Se6L</v>
          </cell>
          <cell r="B7142" t="str">
            <v>YZ-NA9007</v>
          </cell>
        </row>
        <row r="7143">
          <cell r="A7143" t="str">
            <v>YZ-NA9007Se7L</v>
          </cell>
          <cell r="B7143" t="str">
            <v>YZ-NA9007</v>
          </cell>
        </row>
        <row r="7144">
          <cell r="A7144" t="str">
            <v>YZ-NA9007Se8L</v>
          </cell>
          <cell r="B7144" t="str">
            <v>YZ-NA9007</v>
          </cell>
        </row>
        <row r="7145">
          <cell r="A7145" t="str">
            <v>YZ-NA9007Se9L</v>
          </cell>
          <cell r="B7145" t="str">
            <v>YZ-NA9007</v>
          </cell>
        </row>
        <row r="7146">
          <cell r="A7146" t="str">
            <v>YZ-NA9008Sa1L</v>
          </cell>
          <cell r="B7146" t="str">
            <v>YZ-NA9008</v>
          </cell>
        </row>
        <row r="7147">
          <cell r="A7147" t="str">
            <v>YZ-NA9008Sa2L</v>
          </cell>
          <cell r="B7147" t="str">
            <v>YZ-NA9008</v>
          </cell>
        </row>
        <row r="7148">
          <cell r="A7148" t="str">
            <v>YZ-NA9008Sa3L</v>
          </cell>
          <cell r="B7148" t="str">
            <v>YZ-NA9008</v>
          </cell>
        </row>
        <row r="7149">
          <cell r="A7149" t="str">
            <v>YZ-NA9008Sa4L</v>
          </cell>
          <cell r="B7149" t="str">
            <v>YZ-NA9008</v>
          </cell>
        </row>
        <row r="7150">
          <cell r="A7150" t="str">
            <v>YZ-NA9008Sa5L</v>
          </cell>
          <cell r="B7150" t="str">
            <v>YZ-NA9008</v>
          </cell>
        </row>
        <row r="7151">
          <cell r="A7151" t="str">
            <v>YZ-NA9008Sa6L</v>
          </cell>
          <cell r="B7151" t="str">
            <v>YZ-NA9008</v>
          </cell>
        </row>
        <row r="7152">
          <cell r="A7152" t="str">
            <v>YZ-NA9008Sa7L</v>
          </cell>
          <cell r="B7152" t="str">
            <v>YZ-NA9008</v>
          </cell>
        </row>
        <row r="7153">
          <cell r="A7153" t="str">
            <v>YZ-NA9008Se1L</v>
          </cell>
          <cell r="B7153" t="str">
            <v>YZ-NA9008</v>
          </cell>
        </row>
        <row r="7154">
          <cell r="A7154" t="str">
            <v>YZ-NA9008Se2L</v>
          </cell>
          <cell r="B7154" t="str">
            <v>YZ-NA9008</v>
          </cell>
        </row>
        <row r="7155">
          <cell r="A7155" t="str">
            <v>YZ-NA9008Se4L</v>
          </cell>
          <cell r="B7155" t="str">
            <v>YZ-NA9008</v>
          </cell>
        </row>
        <row r="7156">
          <cell r="A7156" t="str">
            <v>YZ-NA9008Se5L</v>
          </cell>
          <cell r="B7156" t="str">
            <v>YZ-NA9008</v>
          </cell>
        </row>
        <row r="7157">
          <cell r="A7157" t="str">
            <v>YZ-NA9008Se6L</v>
          </cell>
          <cell r="B7157" t="str">
            <v>YZ-NA9008</v>
          </cell>
        </row>
        <row r="7158">
          <cell r="A7158" t="str">
            <v>YZ-NA9008Se8L</v>
          </cell>
          <cell r="B7158" t="str">
            <v>YZ-NA9008</v>
          </cell>
        </row>
        <row r="7159">
          <cell r="A7159" t="str">
            <v>YZ-NA9008Se9L</v>
          </cell>
          <cell r="B7159" t="str">
            <v>YZ-NA9008</v>
          </cell>
        </row>
        <row r="7160">
          <cell r="A7160" t="str">
            <v>YZ-NALLHT2XL</v>
          </cell>
          <cell r="B7160" t="str">
            <v>YZ-NALL</v>
          </cell>
        </row>
        <row r="7161">
          <cell r="A7161" t="str">
            <v>YZ-NALLHT4XL</v>
          </cell>
          <cell r="B7161" t="str">
            <v>YZ-NALL</v>
          </cell>
        </row>
        <row r="7162">
          <cell r="A7162" t="str">
            <v>YZ-NALLHTL</v>
          </cell>
          <cell r="B7162" t="str">
            <v>YZ-NALL</v>
          </cell>
        </row>
        <row r="7163">
          <cell r="A7163" t="str">
            <v>YZ-NALLHTM</v>
          </cell>
          <cell r="B7163" t="str">
            <v>YZ-NALL</v>
          </cell>
        </row>
        <row r="7164">
          <cell r="A7164" t="str">
            <v>YZ-NALLHTXL</v>
          </cell>
          <cell r="B7164" t="str">
            <v>YZ-NALL</v>
          </cell>
        </row>
        <row r="7165">
          <cell r="A7165" t="str">
            <v>YZ-NALLIT4XL</v>
          </cell>
          <cell r="B7165" t="str">
            <v>YZ-NALL</v>
          </cell>
        </row>
        <row r="7166">
          <cell r="A7166" t="str">
            <v>YZ-NALLK03XL</v>
          </cell>
          <cell r="B7166" t="str">
            <v>YZ-NALL</v>
          </cell>
        </row>
        <row r="7167">
          <cell r="A7167" t="str">
            <v>YZ-PP1705-K0-2XL</v>
          </cell>
          <cell r="B7167" t="str">
            <v>YZ-PP1705</v>
          </cell>
        </row>
        <row r="7168">
          <cell r="A7168" t="str">
            <v>YZ-PP1705-K0-L</v>
          </cell>
          <cell r="B7168" t="str">
            <v>YZ-PP1705</v>
          </cell>
        </row>
        <row r="7169">
          <cell r="A7169" t="str">
            <v>YZ-PP1705-K0-M</v>
          </cell>
          <cell r="B7169" t="str">
            <v>YZ-PP1705</v>
          </cell>
        </row>
        <row r="7170">
          <cell r="A7170" t="str">
            <v>YZ-PP1705-K0-S</v>
          </cell>
          <cell r="B7170" t="str">
            <v>YZ-PP1705</v>
          </cell>
        </row>
        <row r="7171">
          <cell r="A7171" t="str">
            <v>YZ-PP1705-K0-XL</v>
          </cell>
          <cell r="B7171" t="str">
            <v>YZ-PP1705</v>
          </cell>
        </row>
        <row r="7172">
          <cell r="A7172" t="str">
            <v>YZ-PP1705-K0-XS</v>
          </cell>
          <cell r="B7172" t="str">
            <v>YZ-PP1705</v>
          </cell>
        </row>
        <row r="7173">
          <cell r="A7173" t="str">
            <v>YZ-RF1123-B0-2X</v>
          </cell>
          <cell r="B7173" t="str">
            <v>YZ-RF1123</v>
          </cell>
        </row>
        <row r="7174">
          <cell r="A7174" t="str">
            <v>YZ-RF1123-B0-3X</v>
          </cell>
          <cell r="B7174" t="str">
            <v>YZ-RF1123</v>
          </cell>
        </row>
        <row r="7175">
          <cell r="A7175" t="str">
            <v>YZ-RF1123-B0-4X</v>
          </cell>
          <cell r="B7175" t="str">
            <v>YZ-RF1123</v>
          </cell>
        </row>
        <row r="7176">
          <cell r="A7176" t="str">
            <v>YZ-RF1123-B0-5X</v>
          </cell>
          <cell r="B7176" t="str">
            <v>YZ-RF1123</v>
          </cell>
        </row>
        <row r="7177">
          <cell r="A7177" t="str">
            <v>YZ-RF1123-B0-L</v>
          </cell>
          <cell r="B7177" t="str">
            <v>YZ-RF1123</v>
          </cell>
        </row>
        <row r="7178">
          <cell r="A7178" t="str">
            <v>YZ-RF1123-B0-M</v>
          </cell>
          <cell r="B7178" t="str">
            <v>YZ-RF1123</v>
          </cell>
        </row>
        <row r="7179">
          <cell r="A7179" t="str">
            <v>YZ-RF1123-B0-S</v>
          </cell>
          <cell r="B7179" t="str">
            <v>YZ-RF1123</v>
          </cell>
        </row>
        <row r="7180">
          <cell r="A7180" t="str">
            <v>YZ-RF1123-B0-XL</v>
          </cell>
          <cell r="B7180" t="str">
            <v>YZ-RF1123</v>
          </cell>
        </row>
        <row r="7181">
          <cell r="A7181" t="str">
            <v>YZ-RF1123-K0-2X</v>
          </cell>
          <cell r="B7181" t="str">
            <v>YZ-RF1123</v>
          </cell>
        </row>
        <row r="7182">
          <cell r="A7182" t="str">
            <v>YZ-RF1123-K0-3X</v>
          </cell>
          <cell r="B7182" t="str">
            <v>YZ-RF1123</v>
          </cell>
        </row>
        <row r="7183">
          <cell r="A7183" t="str">
            <v>YZ-RF1123-K0-3XL</v>
          </cell>
          <cell r="B7183" t="str">
            <v>YZ-RF1123</v>
          </cell>
        </row>
        <row r="7184">
          <cell r="A7184" t="str">
            <v>YZ-RF1123-K0-4X</v>
          </cell>
          <cell r="B7184" t="str">
            <v>YZ-RF1123</v>
          </cell>
        </row>
        <row r="7185">
          <cell r="A7185" t="str">
            <v>YZ-RF1123-K0-5X</v>
          </cell>
          <cell r="B7185" t="str">
            <v>YZ-RF1123</v>
          </cell>
        </row>
        <row r="7186">
          <cell r="A7186" t="str">
            <v>YZ-RF1123-K0-L</v>
          </cell>
          <cell r="B7186" t="str">
            <v>YZ-RF1123</v>
          </cell>
        </row>
        <row r="7187">
          <cell r="A7187" t="str">
            <v>YZ-RF1123-K0-M</v>
          </cell>
          <cell r="B7187" t="str">
            <v>YZ-RF1123</v>
          </cell>
        </row>
        <row r="7188">
          <cell r="A7188" t="str">
            <v>YZ-RF1123-K0-S</v>
          </cell>
          <cell r="B7188" t="str">
            <v>YZ-RF1123</v>
          </cell>
        </row>
        <row r="7189">
          <cell r="A7189" t="str">
            <v>YZ-RF1123-K0-XL</v>
          </cell>
          <cell r="B7189" t="str">
            <v>YZ-RF1123</v>
          </cell>
        </row>
        <row r="7190">
          <cell r="A7190" t="str">
            <v>YZ-RF1123-R0-2X</v>
          </cell>
          <cell r="B7190" t="str">
            <v>YZ-RF1123</v>
          </cell>
        </row>
        <row r="7191">
          <cell r="A7191" t="str">
            <v>YZ-RF1123-R0-3X</v>
          </cell>
          <cell r="B7191" t="str">
            <v>YZ-RF1123</v>
          </cell>
        </row>
        <row r="7192">
          <cell r="A7192" t="str">
            <v>YZ-RF1123-R0-4X</v>
          </cell>
          <cell r="B7192" t="str">
            <v>YZ-RF1123</v>
          </cell>
        </row>
        <row r="7193">
          <cell r="A7193" t="str">
            <v>YZ-RF1123-R0-5X</v>
          </cell>
          <cell r="B7193" t="str">
            <v>YZ-RF1123</v>
          </cell>
        </row>
        <row r="7194">
          <cell r="A7194" t="str">
            <v>YZ-RF1123-R0-L</v>
          </cell>
          <cell r="B7194" t="str">
            <v>YZ-RF1123</v>
          </cell>
        </row>
        <row r="7195">
          <cell r="A7195" t="str">
            <v>YZ-RF1123-R0-M</v>
          </cell>
          <cell r="B7195" t="str">
            <v>YZ-RF1123</v>
          </cell>
        </row>
        <row r="7196">
          <cell r="A7196" t="str">
            <v>YZ-RF1123-R0-S</v>
          </cell>
          <cell r="B7196" t="str">
            <v>YZ-RF1123</v>
          </cell>
        </row>
        <row r="7197">
          <cell r="A7197" t="str">
            <v>YZ-RF1123-R0-XL</v>
          </cell>
          <cell r="B7197" t="str">
            <v>YZ-RF1123</v>
          </cell>
        </row>
        <row r="7198">
          <cell r="A7198" t="str">
            <v>YZ-RF1123-SB-2X</v>
          </cell>
          <cell r="B7198" t="str">
            <v>YZ-RF1123</v>
          </cell>
        </row>
        <row r="7199">
          <cell r="A7199" t="str">
            <v>YZ-RF1123-SB-3X</v>
          </cell>
          <cell r="B7199" t="str">
            <v>YZ-RF1123</v>
          </cell>
        </row>
        <row r="7200">
          <cell r="A7200" t="str">
            <v>YZ-RF1123-SB-4X</v>
          </cell>
          <cell r="B7200" t="str">
            <v>YZ-RF1123</v>
          </cell>
        </row>
        <row r="7201">
          <cell r="A7201" t="str">
            <v>YZ-RF1123-SB-5X</v>
          </cell>
          <cell r="B7201" t="str">
            <v>YZ-RF1123</v>
          </cell>
        </row>
        <row r="7202">
          <cell r="A7202" t="str">
            <v>YZ-RF1123-SB-L</v>
          </cell>
          <cell r="B7202" t="str">
            <v>YZ-RF1123</v>
          </cell>
        </row>
        <row r="7203">
          <cell r="A7203" t="str">
            <v>YZ-RF1123-SB-M</v>
          </cell>
          <cell r="B7203" t="str">
            <v>YZ-RF1123</v>
          </cell>
        </row>
        <row r="7204">
          <cell r="A7204" t="str">
            <v>YZ-RF1123-SB-S</v>
          </cell>
          <cell r="B7204" t="str">
            <v>YZ-RF1123</v>
          </cell>
        </row>
        <row r="7205">
          <cell r="A7205" t="str">
            <v>YZ-RF1123-SB-XL</v>
          </cell>
          <cell r="B7205" t="str">
            <v>YZ-RF1123</v>
          </cell>
        </row>
        <row r="7206">
          <cell r="A7206" t="str">
            <v>YZ-S6006TP4M</v>
          </cell>
          <cell r="B7206" t="str">
            <v>YZ-S6006</v>
          </cell>
        </row>
        <row r="7207">
          <cell r="A7207" t="str">
            <v>YZ-S6006TP4S</v>
          </cell>
          <cell r="B7207" t="str">
            <v>YZ-S6006</v>
          </cell>
        </row>
        <row r="7208">
          <cell r="A7208" t="str">
            <v>YZ-SH15508BB0L</v>
          </cell>
          <cell r="B7208" t="str">
            <v>YZ-SH15508</v>
          </cell>
        </row>
        <row r="7209">
          <cell r="A7209" t="str">
            <v>YZ-SH15508BB1L</v>
          </cell>
          <cell r="B7209" t="str">
            <v>YZ-SH15508</v>
          </cell>
        </row>
        <row r="7210">
          <cell r="A7210" t="str">
            <v>YZ-SH15508BB2L</v>
          </cell>
          <cell r="B7210" t="str">
            <v>YZ-SH15508</v>
          </cell>
        </row>
        <row r="7211">
          <cell r="A7211" t="str">
            <v>YZ-SH15508BBM</v>
          </cell>
          <cell r="B7211" t="str">
            <v>YZ-SH15508</v>
          </cell>
        </row>
        <row r="7212">
          <cell r="A7212" t="str">
            <v>YZ-SH15508BBS</v>
          </cell>
          <cell r="B7212" t="str">
            <v>YZ-SH15508</v>
          </cell>
        </row>
        <row r="7213">
          <cell r="A7213" t="str">
            <v>YZ-SH15508Bl0L</v>
          </cell>
          <cell r="B7213" t="str">
            <v>YZ-SH15508</v>
          </cell>
        </row>
        <row r="7214">
          <cell r="A7214" t="str">
            <v>YZ-SH15508Bl1L</v>
          </cell>
          <cell r="B7214" t="str">
            <v>YZ-SH15508</v>
          </cell>
        </row>
        <row r="7215">
          <cell r="A7215" t="str">
            <v>YZ-SH15508Bl2L</v>
          </cell>
          <cell r="B7215" t="str">
            <v>YZ-SH15508</v>
          </cell>
        </row>
        <row r="7216">
          <cell r="A7216" t="str">
            <v>YZ-SH15508Bl3L</v>
          </cell>
          <cell r="B7216" t="str">
            <v>YZ-SH15508</v>
          </cell>
        </row>
        <row r="7217">
          <cell r="A7217" t="str">
            <v>YZ-SH15508BlM</v>
          </cell>
          <cell r="B7217" t="str">
            <v>YZ-SH15508</v>
          </cell>
        </row>
        <row r="7218">
          <cell r="A7218" t="str">
            <v>YZ-SH15508BlS</v>
          </cell>
          <cell r="B7218" t="str">
            <v>YZ-SH15508</v>
          </cell>
        </row>
        <row r="7219">
          <cell r="A7219" t="str">
            <v>YZ-SH15508BS0L</v>
          </cell>
          <cell r="B7219" t="str">
            <v>YZ-SH15508</v>
          </cell>
        </row>
        <row r="7220">
          <cell r="A7220" t="str">
            <v>YZ-SH15508BS1L</v>
          </cell>
          <cell r="B7220" t="str">
            <v>YZ-SH15508</v>
          </cell>
        </row>
        <row r="7221">
          <cell r="A7221" t="str">
            <v>YZ-SH15508BS2L</v>
          </cell>
          <cell r="B7221" t="str">
            <v>YZ-SH15508</v>
          </cell>
        </row>
        <row r="7222">
          <cell r="A7222" t="str">
            <v>YZ-SH15508BS3L</v>
          </cell>
          <cell r="B7222" t="str">
            <v>YZ-SH15508</v>
          </cell>
        </row>
        <row r="7223">
          <cell r="A7223" t="str">
            <v>YZ-SH15508BSM</v>
          </cell>
          <cell r="B7223" t="str">
            <v>YZ-SH15508</v>
          </cell>
        </row>
        <row r="7224">
          <cell r="A7224" t="str">
            <v>YZ-SH15508BSS</v>
          </cell>
          <cell r="B7224" t="str">
            <v>YZ-SH15508</v>
          </cell>
        </row>
        <row r="7225">
          <cell r="A7225" t="str">
            <v>YZ-SH15508BW0L</v>
          </cell>
          <cell r="B7225" t="str">
            <v>YZ-SH15508</v>
          </cell>
        </row>
        <row r="7226">
          <cell r="A7226" t="str">
            <v>YZ-SH15508BW1L</v>
          </cell>
          <cell r="B7226" t="str">
            <v>YZ-SH15508</v>
          </cell>
        </row>
        <row r="7227">
          <cell r="A7227" t="str">
            <v>YZ-SH15508BW2L</v>
          </cell>
          <cell r="B7227" t="str">
            <v>YZ-SH15508</v>
          </cell>
        </row>
        <row r="7228">
          <cell r="A7228" t="str">
            <v>YZ-SH15508BW3L</v>
          </cell>
          <cell r="B7228" t="str">
            <v>YZ-SH15508</v>
          </cell>
        </row>
        <row r="7229">
          <cell r="A7229" t="str">
            <v>YZ-SH15508BWM</v>
          </cell>
          <cell r="B7229" t="str">
            <v>YZ-SH15508</v>
          </cell>
        </row>
        <row r="7230">
          <cell r="A7230" t="str">
            <v>YZ-SH15508BWS</v>
          </cell>
          <cell r="B7230" t="str">
            <v>YZ-SH15508</v>
          </cell>
        </row>
        <row r="7231">
          <cell r="A7231" t="str">
            <v>YZ-SH15508Re0L</v>
          </cell>
          <cell r="B7231" t="str">
            <v>YZ-SH15508</v>
          </cell>
        </row>
        <row r="7232">
          <cell r="A7232" t="str">
            <v>YZ-SH15508Re1L</v>
          </cell>
          <cell r="B7232" t="str">
            <v>YZ-SH15508</v>
          </cell>
        </row>
        <row r="7233">
          <cell r="A7233" t="str">
            <v>YZ-SH15508Re2L</v>
          </cell>
          <cell r="B7233" t="str">
            <v>YZ-SH15508</v>
          </cell>
        </row>
        <row r="7234">
          <cell r="A7234" t="str">
            <v>YZ-SH15508Re3L</v>
          </cell>
          <cell r="B7234" t="str">
            <v>YZ-SH15508</v>
          </cell>
        </row>
        <row r="7235">
          <cell r="A7235" t="str">
            <v>YZ-SH15508ReM</v>
          </cell>
          <cell r="B7235" t="str">
            <v>YZ-SH15508</v>
          </cell>
        </row>
        <row r="7236">
          <cell r="A7236" t="str">
            <v>YZ-SH15508ReS</v>
          </cell>
          <cell r="B7236" t="str">
            <v>YZ-SH15508</v>
          </cell>
        </row>
        <row r="7237">
          <cell r="A7237" t="str">
            <v>YZ-SH15508WB0L</v>
          </cell>
          <cell r="B7237" t="str">
            <v>YZ-SH15508</v>
          </cell>
        </row>
        <row r="7238">
          <cell r="A7238" t="str">
            <v>YZ-SH15508WB1L</v>
          </cell>
          <cell r="B7238" t="str">
            <v>YZ-SH15508</v>
          </cell>
        </row>
        <row r="7239">
          <cell r="A7239" t="str">
            <v>YZ-SH15508WB2L</v>
          </cell>
          <cell r="B7239" t="str">
            <v>YZ-SH15508</v>
          </cell>
        </row>
        <row r="7240">
          <cell r="A7240" t="str">
            <v>YZ-SH15508WB3L</v>
          </cell>
          <cell r="B7240" t="str">
            <v>YZ-SH15508</v>
          </cell>
        </row>
        <row r="7241">
          <cell r="A7241" t="str">
            <v>YZ-SH15508WBM</v>
          </cell>
          <cell r="B7241" t="str">
            <v>YZ-SH15508</v>
          </cell>
        </row>
        <row r="7242">
          <cell r="A7242" t="str">
            <v>YZ-SH15508WBS</v>
          </cell>
          <cell r="B7242" t="str">
            <v>YZ-SH15508</v>
          </cell>
        </row>
        <row r="7243">
          <cell r="A7243" t="str">
            <v>YZ-SM-HM30CH-L</v>
          </cell>
          <cell r="B7243" t="str">
            <v>YZ-SM-HM30CH</v>
          </cell>
        </row>
        <row r="7244">
          <cell r="A7244" t="str">
            <v>YZ-SM-HM30CH-M</v>
          </cell>
          <cell r="B7244" t="str">
            <v>YZ-SM-HM30CH</v>
          </cell>
        </row>
        <row r="7245">
          <cell r="A7245" t="str">
            <v>YZ-SM-HM30CH-S</v>
          </cell>
          <cell r="B7245" t="str">
            <v>YZ-SM-HM30CH</v>
          </cell>
        </row>
        <row r="7246">
          <cell r="A7246" t="str">
            <v>YZ-SM-HM30CH-XL</v>
          </cell>
          <cell r="B7246" t="str">
            <v>YZ-SM-HM30CH</v>
          </cell>
        </row>
        <row r="7247">
          <cell r="A7247" t="str">
            <v>YZ-SM-HM30CH-XS</v>
          </cell>
          <cell r="B7247" t="str">
            <v>YZ-SM-HM30CH</v>
          </cell>
        </row>
        <row r="7248">
          <cell r="A7248" t="str">
            <v>YZ-SYCA1018YeM</v>
          </cell>
          <cell r="B7248" t="str">
            <v>YZ-SYCA1018</v>
          </cell>
        </row>
        <row r="7249">
          <cell r="A7249" t="str">
            <v>YZ-TJ1245001L</v>
          </cell>
          <cell r="B7249" t="str">
            <v>YZ-TJ1245</v>
          </cell>
        </row>
        <row r="7250">
          <cell r="A7250" t="str">
            <v>YZ-TJ1245002L</v>
          </cell>
          <cell r="B7250" t="str">
            <v>YZ-TJ1245</v>
          </cell>
        </row>
        <row r="7251">
          <cell r="A7251" t="str">
            <v>YZ-TJ1245003L</v>
          </cell>
          <cell r="B7251" t="str">
            <v>YZ-TJ1245</v>
          </cell>
        </row>
        <row r="7252">
          <cell r="A7252" t="str">
            <v>YZ-TJ1245003L-GM</v>
          </cell>
          <cell r="B7252" t="str">
            <v>YZ-TJ1245</v>
          </cell>
        </row>
        <row r="7253">
          <cell r="A7253" t="str">
            <v>YZ-TJ124500L</v>
          </cell>
          <cell r="B7253" t="str">
            <v>YZ-TJ1245</v>
          </cell>
        </row>
        <row r="7254">
          <cell r="A7254" t="str">
            <v>YZ-TJ124500M</v>
          </cell>
          <cell r="B7254" t="str">
            <v>YZ-TJ1245</v>
          </cell>
        </row>
        <row r="7255">
          <cell r="A7255" t="str">
            <v>YZ-TJ1245G01L</v>
          </cell>
          <cell r="B7255" t="str">
            <v>YZ-TJ1245</v>
          </cell>
        </row>
        <row r="7256">
          <cell r="A7256" t="str">
            <v>YZ-TJ1245G02L</v>
          </cell>
          <cell r="B7256" t="str">
            <v>YZ-TJ1245</v>
          </cell>
        </row>
        <row r="7257">
          <cell r="A7257" t="str">
            <v>YZ-TJ1245G03L</v>
          </cell>
          <cell r="B7257" t="str">
            <v>YZ-TJ1245</v>
          </cell>
        </row>
        <row r="7258">
          <cell r="A7258" t="str">
            <v>YZ-TJ1245G03L-GM</v>
          </cell>
          <cell r="B7258" t="str">
            <v>YZ-TJ1245</v>
          </cell>
        </row>
        <row r="7259">
          <cell r="A7259" t="str">
            <v>YZ-TJ1245G0L</v>
          </cell>
          <cell r="B7259" t="str">
            <v>YZ-TJ1245</v>
          </cell>
        </row>
        <row r="7260">
          <cell r="A7260" t="str">
            <v>YZ-TJ1245G0M</v>
          </cell>
          <cell r="B7260" t="str">
            <v>YZ-TJ1245</v>
          </cell>
        </row>
        <row r="7261">
          <cell r="A7261" t="str">
            <v>YZ-TJ1245W01L</v>
          </cell>
          <cell r="B7261" t="str">
            <v>YZ-TJ1245</v>
          </cell>
        </row>
        <row r="7262">
          <cell r="A7262" t="str">
            <v>YZ-TJ1245W02L</v>
          </cell>
          <cell r="B7262" t="str">
            <v>YZ-TJ1245</v>
          </cell>
        </row>
        <row r="7263">
          <cell r="A7263" t="str">
            <v>YZ-TJ1245W03L</v>
          </cell>
          <cell r="B7263" t="str">
            <v>YZ-TJ1245</v>
          </cell>
        </row>
        <row r="7264">
          <cell r="A7264" t="str">
            <v>YZ-TJ1245W0L</v>
          </cell>
          <cell r="B7264" t="str">
            <v>YZ-TJ1245</v>
          </cell>
        </row>
        <row r="7265">
          <cell r="A7265" t="str">
            <v>YZ-TJ1245W0M</v>
          </cell>
          <cell r="B7265" t="str">
            <v>YZ-TJ1245</v>
          </cell>
        </row>
        <row r="7266">
          <cell r="A7266" t="str">
            <v>YZ-WHZ766-R0-L</v>
          </cell>
          <cell r="B7266" t="str">
            <v>YZ-WHZ766</v>
          </cell>
        </row>
        <row r="7267">
          <cell r="A7267" t="str">
            <v>YZ-WHZ766-R0-M</v>
          </cell>
          <cell r="B7267" t="str">
            <v>YZ-WHZ766</v>
          </cell>
        </row>
        <row r="7268">
          <cell r="A7268" t="str">
            <v>YZ-WHZ766-R0-S</v>
          </cell>
          <cell r="B7268" t="str">
            <v>YZ-WHZ766</v>
          </cell>
        </row>
        <row r="7269">
          <cell r="A7269" t="str">
            <v>YZ-WHZ766-R0-XL</v>
          </cell>
          <cell r="B7269" t="str">
            <v>YZ-WHZ766</v>
          </cell>
        </row>
        <row r="7270">
          <cell r="A7270" t="str">
            <v>YZ-XJ001Gr2L</v>
          </cell>
          <cell r="B7270" t="str">
            <v>YZ-XJ001</v>
          </cell>
        </row>
        <row r="7271">
          <cell r="A7271" t="str">
            <v>YZ-XJ001GrXL</v>
          </cell>
          <cell r="B7271" t="str">
            <v>YZ-XJ001</v>
          </cell>
        </row>
        <row r="7272">
          <cell r="A7272" t="str">
            <v>YZ-XQ1443K02XL</v>
          </cell>
          <cell r="B7272" t="str">
            <v>YZ-BX1443</v>
          </cell>
        </row>
        <row r="7273">
          <cell r="A7273" t="str">
            <v>YZ-XQ1443K03XL</v>
          </cell>
          <cell r="B7273" t="str">
            <v>YZ-BX1443</v>
          </cell>
        </row>
        <row r="7274">
          <cell r="A7274" t="str">
            <v>YZ-XQ1443K0L</v>
          </cell>
          <cell r="B7274" t="str">
            <v>YZ-BX1443</v>
          </cell>
        </row>
        <row r="7275">
          <cell r="A7275" t="str">
            <v>YZ-XQ1443K0M</v>
          </cell>
          <cell r="B7275" t="str">
            <v>YZ-BX1443</v>
          </cell>
        </row>
        <row r="7276">
          <cell r="A7276" t="str">
            <v>YZ-XQ1443K0XL</v>
          </cell>
          <cell r="B7276" t="str">
            <v>YZ-BX1443</v>
          </cell>
        </row>
        <row r="7277">
          <cell r="A7277" t="str">
            <v>YZ-XQ1443Re2XL</v>
          </cell>
          <cell r="B7277" t="str">
            <v>YZ-BX1443</v>
          </cell>
        </row>
        <row r="7278">
          <cell r="A7278" t="str">
            <v>YZ-XQ1443Re3XL</v>
          </cell>
          <cell r="B7278" t="str">
            <v>YZ-BX1443</v>
          </cell>
        </row>
        <row r="7279">
          <cell r="A7279" t="str">
            <v>YZ-XQ1443ReL</v>
          </cell>
          <cell r="B7279" t="str">
            <v>YZ-BX1443</v>
          </cell>
        </row>
        <row r="7280">
          <cell r="A7280" t="str">
            <v>YZ-XQ1443ReM</v>
          </cell>
          <cell r="B7280" t="str">
            <v>YZ-BX1443</v>
          </cell>
        </row>
        <row r="7281">
          <cell r="A7281" t="str">
            <v>YZ-XQ1443ReXL</v>
          </cell>
          <cell r="B7281" t="str">
            <v>YZ-BX1443</v>
          </cell>
        </row>
        <row r="7282">
          <cell r="A7282" t="str">
            <v>YZ-XSW3071Feather5L</v>
          </cell>
          <cell r="B7282" t="str">
            <v>YZ-XSW3071</v>
          </cell>
        </row>
        <row r="7283">
          <cell r="A7283" t="str">
            <v>YZ-YGD2000-2XL</v>
          </cell>
          <cell r="B7283" t="str">
            <v>YZ-YGD2000</v>
          </cell>
        </row>
        <row r="7284">
          <cell r="A7284" t="str">
            <v>YZ-YGD2000-3XL</v>
          </cell>
          <cell r="B7284" t="str">
            <v>YZ-YGD2000</v>
          </cell>
        </row>
        <row r="7285">
          <cell r="A7285" t="str">
            <v>YZ-YGD2000-L</v>
          </cell>
          <cell r="B7285" t="str">
            <v>YZ-YGD2000</v>
          </cell>
        </row>
        <row r="7286">
          <cell r="A7286" t="str">
            <v>YZ-YGD2000-M</v>
          </cell>
          <cell r="B7286" t="str">
            <v>YZ-YGD2000</v>
          </cell>
        </row>
        <row r="7287">
          <cell r="A7287" t="str">
            <v>YZ-YGD2000-S</v>
          </cell>
          <cell r="B7287" t="str">
            <v>YZ-YGD2000</v>
          </cell>
        </row>
        <row r="7288">
          <cell r="A7288" t="str">
            <v>YZ-YGD2000-XL</v>
          </cell>
          <cell r="B7288" t="str">
            <v>YZ-YGD2000</v>
          </cell>
        </row>
        <row r="7289">
          <cell r="A7289" t="str">
            <v>YZ-YO1521-BF-2XL</v>
          </cell>
          <cell r="B7289" t="str">
            <v>YZ-YO1521</v>
          </cell>
        </row>
        <row r="7290">
          <cell r="A7290" t="str">
            <v>YZ-YO1521-BF-3XL</v>
          </cell>
          <cell r="B7290" t="str">
            <v>YZ-YO1521</v>
          </cell>
        </row>
        <row r="7291">
          <cell r="A7291" t="str">
            <v>YZ-YO1521-BF-4XL</v>
          </cell>
          <cell r="B7291" t="str">
            <v>YZ-YO1521</v>
          </cell>
        </row>
        <row r="7292">
          <cell r="A7292" t="str">
            <v>YZ-YO1521-BF-5XL</v>
          </cell>
          <cell r="B7292" t="str">
            <v>YZ-YO1521</v>
          </cell>
        </row>
        <row r="7293">
          <cell r="A7293" t="str">
            <v>YZ-YO1521-BF-XL</v>
          </cell>
          <cell r="B7293" t="str">
            <v>YZ-YO1521</v>
          </cell>
        </row>
        <row r="7294">
          <cell r="A7294" t="str">
            <v>YZ-YO1521-BL-2XL</v>
          </cell>
          <cell r="B7294" t="str">
            <v>YZ-YO1521</v>
          </cell>
        </row>
        <row r="7295">
          <cell r="A7295" t="str">
            <v>YZ-YO1521-BL-3XL</v>
          </cell>
          <cell r="B7295" t="str">
            <v>YZ-YO1521</v>
          </cell>
        </row>
        <row r="7296">
          <cell r="A7296" t="str">
            <v>YZ-YO1521-BL-4XL</v>
          </cell>
          <cell r="B7296" t="str">
            <v>YZ-YO1521</v>
          </cell>
        </row>
        <row r="7297">
          <cell r="A7297" t="str">
            <v>YZ-YO1521-BL-5XL</v>
          </cell>
          <cell r="B7297" t="str">
            <v>YZ-YO1521</v>
          </cell>
        </row>
        <row r="7298">
          <cell r="A7298" t="str">
            <v>YZ-YO1521-BL-XL</v>
          </cell>
          <cell r="B7298" t="str">
            <v>YZ-YO1521</v>
          </cell>
        </row>
        <row r="7299">
          <cell r="A7299" t="str">
            <v>YZ-YO1521-GF-2XL</v>
          </cell>
          <cell r="B7299" t="str">
            <v>YZ-YO1521</v>
          </cell>
        </row>
        <row r="7300">
          <cell r="A7300" t="str">
            <v>YZ-YO1521-GF-3XL</v>
          </cell>
          <cell r="B7300" t="str">
            <v>YZ-YO1521</v>
          </cell>
        </row>
        <row r="7301">
          <cell r="A7301" t="str">
            <v>YZ-YO1521-GF-4XL</v>
          </cell>
          <cell r="B7301" t="str">
            <v>YZ-YO1521</v>
          </cell>
        </row>
        <row r="7302">
          <cell r="A7302" t="str">
            <v>YZ-YO1521-GF-5XL</v>
          </cell>
          <cell r="B7302" t="str">
            <v>YZ-YO1521</v>
          </cell>
        </row>
        <row r="7303">
          <cell r="A7303" t="str">
            <v>YZ-YO1521-GF-XL</v>
          </cell>
          <cell r="B7303" t="str">
            <v>YZ-YO1521</v>
          </cell>
        </row>
        <row r="7304">
          <cell r="A7304" t="str">
            <v>YZ-YO1521-GW-2XL</v>
          </cell>
          <cell r="B7304" t="str">
            <v>YZ-YO1521</v>
          </cell>
        </row>
        <row r="7305">
          <cell r="A7305" t="str">
            <v>YZ-YO1521-GW-3XL</v>
          </cell>
          <cell r="B7305" t="str">
            <v>YZ-YO1521</v>
          </cell>
        </row>
        <row r="7306">
          <cell r="A7306" t="str">
            <v>YZ-YO1521-GW-4XL</v>
          </cell>
          <cell r="B7306" t="str">
            <v>YZ-YO1521</v>
          </cell>
        </row>
        <row r="7307">
          <cell r="A7307" t="str">
            <v>YZ-YO1521-GW-5XL</v>
          </cell>
          <cell r="B7307" t="str">
            <v>YZ-YO1521</v>
          </cell>
        </row>
        <row r="7308">
          <cell r="A7308" t="str">
            <v>YZ-YO1521-GW-XL</v>
          </cell>
          <cell r="B7308" t="str">
            <v>YZ-YO1521</v>
          </cell>
        </row>
        <row r="7309">
          <cell r="A7309" t="str">
            <v>YZ-YO1521-KF-2XL</v>
          </cell>
          <cell r="B7309" t="str">
            <v>YZ-YO1521</v>
          </cell>
        </row>
        <row r="7310">
          <cell r="A7310" t="str">
            <v>YZ-YO1521-KF-3XL</v>
          </cell>
          <cell r="B7310" t="str">
            <v>YZ-YO1521</v>
          </cell>
        </row>
        <row r="7311">
          <cell r="A7311" t="str">
            <v>YZ-YO1521-KF-4XL</v>
          </cell>
          <cell r="B7311" t="str">
            <v>YZ-YO1521</v>
          </cell>
        </row>
        <row r="7312">
          <cell r="A7312" t="str">
            <v>YZ-YO1521-KF-5XL</v>
          </cell>
          <cell r="B7312" t="str">
            <v>YZ-YO1521</v>
          </cell>
        </row>
        <row r="7313">
          <cell r="A7313" t="str">
            <v>YZ-YO1521-KF-XL</v>
          </cell>
          <cell r="B7313" t="str">
            <v>YZ-YO1521</v>
          </cell>
        </row>
        <row r="7314">
          <cell r="A7314" t="str">
            <v>YZ-YO1521-RF-2XL</v>
          </cell>
          <cell r="B7314" t="str">
            <v>YZ-YO1521</v>
          </cell>
        </row>
        <row r="7315">
          <cell r="A7315" t="str">
            <v>YZ-YO1521-RF-3XL</v>
          </cell>
          <cell r="B7315" t="str">
            <v>YZ-YO1521</v>
          </cell>
        </row>
        <row r="7316">
          <cell r="A7316" t="str">
            <v>YZ-YO1521-RF-4XL</v>
          </cell>
          <cell r="B7316" t="str">
            <v>YZ-YO1521</v>
          </cell>
        </row>
        <row r="7317">
          <cell r="A7317" t="str">
            <v>YZ-YO1521-RF-5XL</v>
          </cell>
          <cell r="B7317" t="str">
            <v>YZ-YO1521</v>
          </cell>
        </row>
        <row r="7318">
          <cell r="A7318" t="str">
            <v>YZ-YO1521-RF-XL</v>
          </cell>
          <cell r="B7318" t="str">
            <v>YZ-YO1521</v>
          </cell>
        </row>
        <row r="7319">
          <cell r="A7319" t="str">
            <v>YZ-YO1521-RL-2XL</v>
          </cell>
          <cell r="B7319" t="str">
            <v>YZ-YO1521</v>
          </cell>
        </row>
        <row r="7320">
          <cell r="A7320" t="str">
            <v>YZ-YO1521-RL-3XL</v>
          </cell>
          <cell r="B7320" t="str">
            <v>YZ-YO1521</v>
          </cell>
        </row>
        <row r="7321">
          <cell r="A7321" t="str">
            <v>YZ-YO1521-RL-4XL</v>
          </cell>
          <cell r="B7321" t="str">
            <v>YZ-YO1521</v>
          </cell>
        </row>
        <row r="7322">
          <cell r="A7322" t="str">
            <v>YZ-YO1521-RL-5XL</v>
          </cell>
          <cell r="B7322" t="str">
            <v>YZ-YO1521</v>
          </cell>
        </row>
        <row r="7323">
          <cell r="A7323" t="str">
            <v>YZ-YO1521-RL-XL</v>
          </cell>
          <cell r="B7323" t="str">
            <v>YZ-YO1521</v>
          </cell>
        </row>
        <row r="7324">
          <cell r="A7324" t="str">
            <v>YZ-YO1521-RM-2XL</v>
          </cell>
          <cell r="B7324" t="str">
            <v>YZ-YO1521</v>
          </cell>
        </row>
        <row r="7325">
          <cell r="A7325" t="str">
            <v>YZ-YO1521-RM-3XL</v>
          </cell>
          <cell r="B7325" t="str">
            <v>YZ-YO1521</v>
          </cell>
        </row>
        <row r="7326">
          <cell r="A7326" t="str">
            <v>YZ-YO1521-RM-4XL</v>
          </cell>
          <cell r="B7326" t="str">
            <v>YZ-YO1521</v>
          </cell>
        </row>
        <row r="7327">
          <cell r="A7327" t="str">
            <v>YZ-YO1521-RM-5XL</v>
          </cell>
          <cell r="B7327" t="str">
            <v>YZ-YO1521</v>
          </cell>
        </row>
        <row r="7328">
          <cell r="A7328" t="str">
            <v>YZ-YO1521-RM-XL</v>
          </cell>
          <cell r="B7328" t="str">
            <v>YZ-YO1521</v>
          </cell>
        </row>
        <row r="7329">
          <cell r="A7329" t="str">
            <v>YZ-YO1521-WP-2XL</v>
          </cell>
          <cell r="B7329" t="str">
            <v>YZ-YO1521</v>
          </cell>
        </row>
        <row r="7330">
          <cell r="A7330" t="str">
            <v>YZ-YO1521-WP-3XL</v>
          </cell>
          <cell r="B7330" t="str">
            <v>YZ-YO1521</v>
          </cell>
        </row>
        <row r="7331">
          <cell r="A7331" t="str">
            <v>YZ-YO1521-WP-4XL</v>
          </cell>
          <cell r="B7331" t="str">
            <v>YZ-YO1521</v>
          </cell>
        </row>
        <row r="7332">
          <cell r="A7332" t="str">
            <v>YZ-YO1521-WP-5XL</v>
          </cell>
          <cell r="B7332" t="str">
            <v>YZ-YO1521</v>
          </cell>
        </row>
        <row r="7333">
          <cell r="A7333" t="str">
            <v>YZ-YO1521-WP-XL</v>
          </cell>
          <cell r="B7333" t="str">
            <v>YZ-YO1521</v>
          </cell>
        </row>
        <row r="7334">
          <cell r="A7334" t="str">
            <v>YZ-ZQ0707-G0-L</v>
          </cell>
          <cell r="B7334" t="str">
            <v>YZ-ZQ0707</v>
          </cell>
        </row>
        <row r="7335">
          <cell r="A7335" t="str">
            <v>YZ-ZQ0707-G0-M</v>
          </cell>
          <cell r="B7335" t="str">
            <v>YZ-ZQ0707</v>
          </cell>
        </row>
        <row r="7336">
          <cell r="A7336" t="str">
            <v>YZ-ZQ0707-G0-XL</v>
          </cell>
          <cell r="B7336" t="str">
            <v>YZ-ZQ0707</v>
          </cell>
        </row>
        <row r="7337">
          <cell r="A7337" t="str">
            <v>YZ-ZQ0707-ORTW-2XL</v>
          </cell>
          <cell r="B7337" t="str">
            <v>YZ-ZQ0707</v>
          </cell>
        </row>
        <row r="7338">
          <cell r="A7338" t="str">
            <v>YZ-ZQ0707-ORTW-XL</v>
          </cell>
          <cell r="B7338" t="str">
            <v>YZ-ZQ0707</v>
          </cell>
        </row>
        <row r="7339">
          <cell r="A7339" t="str">
            <v>YZ-ZQ0707-PITW-2XL</v>
          </cell>
          <cell r="B7339" t="str">
            <v>YZ-ZQ0707</v>
          </cell>
        </row>
        <row r="7340">
          <cell r="A7340" t="str">
            <v>YZ-ZQ0707-PITW-L</v>
          </cell>
          <cell r="B7340" t="str">
            <v>YZ-ZQ0707</v>
          </cell>
        </row>
        <row r="7341">
          <cell r="A7341" t="str">
            <v>YZ-ZQ0707-PITW-M</v>
          </cell>
          <cell r="B7341" t="str">
            <v>YZ-ZQ0707</v>
          </cell>
        </row>
        <row r="7342">
          <cell r="A7342" t="str">
            <v>YZ-ZQ0707-PITW-S</v>
          </cell>
          <cell r="B7342" t="str">
            <v>YZ-ZQ0707</v>
          </cell>
        </row>
        <row r="7343">
          <cell r="A7343" t="str">
            <v>YZ-ZQ0707-PITW-XL</v>
          </cell>
          <cell r="B7343" t="str">
            <v>YZ-ZQ0707</v>
          </cell>
        </row>
        <row r="7344">
          <cell r="A7344" t="str">
            <v>YZ-ZQ0707-R0-L</v>
          </cell>
          <cell r="B7344" t="str">
            <v>YZ-ZQ0707</v>
          </cell>
        </row>
        <row r="7345">
          <cell r="A7345" t="str">
            <v>YZ-ZQ0707-R0-XL</v>
          </cell>
          <cell r="B7345" t="str">
            <v>YZ-ZQ0707</v>
          </cell>
        </row>
        <row r="7346">
          <cell r="A7346" t="str">
            <v>YZ-ZQ0707-Y0TW-L</v>
          </cell>
          <cell r="B7346" t="str">
            <v>YZ-ZQ0707</v>
          </cell>
        </row>
        <row r="7347">
          <cell r="A7347" t="str">
            <v>YZ-ZQ0707-Y0TW-XL</v>
          </cell>
          <cell r="B7347" t="str">
            <v>YZ-ZQ0707</v>
          </cell>
        </row>
        <row r="7348">
          <cell r="A7348" t="str">
            <v>YZ-ZQ1126-K0-2X</v>
          </cell>
          <cell r="B7348" t="str">
            <v>YZ-ZQ1126</v>
          </cell>
        </row>
        <row r="7349">
          <cell r="A7349" t="str">
            <v>YZ-ZQ1126-K0-3X</v>
          </cell>
          <cell r="B7349" t="str">
            <v>YZ-ZQ1126</v>
          </cell>
        </row>
        <row r="7350">
          <cell r="A7350" t="str">
            <v>YZ-ZQ1126-K0-4X</v>
          </cell>
          <cell r="B7350" t="str">
            <v>YZ-ZQ1126</v>
          </cell>
        </row>
        <row r="7351">
          <cell r="A7351" t="str">
            <v>YZ-ZQ1126-K0-XL</v>
          </cell>
          <cell r="B7351" t="str">
            <v>YZ-ZQ1126</v>
          </cell>
        </row>
        <row r="7352">
          <cell r="A7352" t="str">
            <v>YZ-ZQ112B0L</v>
          </cell>
          <cell r="B7352" t="str">
            <v>YZ-ZQ112</v>
          </cell>
        </row>
        <row r="7353">
          <cell r="A7353" t="str">
            <v>YZ-ZQ112B0M</v>
          </cell>
          <cell r="B7353" t="str">
            <v>YZ-ZQ112</v>
          </cell>
        </row>
        <row r="7354">
          <cell r="A7354" t="str">
            <v>YZ-ZQ112B0S</v>
          </cell>
          <cell r="B7354" t="str">
            <v>YZ-ZQ112</v>
          </cell>
        </row>
        <row r="7355">
          <cell r="A7355" t="str">
            <v>YZ-ZQ112B0XL</v>
          </cell>
          <cell r="B7355" t="str">
            <v>YZ-ZQ112</v>
          </cell>
        </row>
        <row r="7356">
          <cell r="A7356" t="str">
            <v>YZ-ZQ1197-KW-2X</v>
          </cell>
          <cell r="B7356" t="str">
            <v>YZ-ZQ1197</v>
          </cell>
        </row>
        <row r="7357">
          <cell r="A7357" t="str">
            <v>YZ-ZQ1197-KW-L</v>
          </cell>
          <cell r="B7357" t="str">
            <v>YZ-ZQ1197</v>
          </cell>
        </row>
        <row r="7358">
          <cell r="A7358" t="str">
            <v>YZ-ZQ1197-KW-M</v>
          </cell>
          <cell r="B7358" t="str">
            <v>YZ-ZQ1197</v>
          </cell>
        </row>
        <row r="7359">
          <cell r="A7359" t="str">
            <v>YZ-ZQ1197-KW-XL</v>
          </cell>
          <cell r="B7359" t="str">
            <v>YZ-ZQ1197</v>
          </cell>
        </row>
        <row r="7360">
          <cell r="A7360" t="str">
            <v>YZ-ZQ1197-W0-L</v>
          </cell>
          <cell r="B7360" t="str">
            <v>YZ-ZQ1197</v>
          </cell>
        </row>
        <row r="7361">
          <cell r="A7361" t="str">
            <v>YZ-ZQ1197-W0-M</v>
          </cell>
          <cell r="B7361" t="str">
            <v>YZ-ZQ1197</v>
          </cell>
        </row>
        <row r="7362">
          <cell r="A7362" t="str">
            <v>YZ-ZQ1197-W0-XL</v>
          </cell>
          <cell r="B7362" t="str">
            <v>YZ-ZQ1197</v>
          </cell>
        </row>
        <row r="7363">
          <cell r="A7363" t="str">
            <v>YZ-ZQ123B02XL</v>
          </cell>
          <cell r="B7363" t="str">
            <v>YZ-ZQ123</v>
          </cell>
        </row>
        <row r="7364">
          <cell r="A7364" t="str">
            <v>YZ-ZQ123B03XL</v>
          </cell>
          <cell r="B7364" t="str">
            <v>YZ-ZQ123</v>
          </cell>
        </row>
        <row r="7365">
          <cell r="A7365" t="str">
            <v>YZ-ZQ123B04XL</v>
          </cell>
          <cell r="B7365" t="str">
            <v>YZ-ZQ123</v>
          </cell>
        </row>
        <row r="7366">
          <cell r="A7366" t="str">
            <v>YZ-ZQ123B05XL</v>
          </cell>
          <cell r="B7366" t="str">
            <v>YZ-ZQ123</v>
          </cell>
        </row>
        <row r="7367">
          <cell r="A7367" t="str">
            <v>YZ-ZQ123B0L</v>
          </cell>
          <cell r="B7367" t="str">
            <v>YZ-ZQ123</v>
          </cell>
        </row>
        <row r="7368">
          <cell r="A7368" t="str">
            <v>YZ-ZQ123B0XL</v>
          </cell>
          <cell r="B7368" t="str">
            <v>YZ-ZQ123</v>
          </cell>
        </row>
        <row r="7369">
          <cell r="A7369" t="str">
            <v>YZ-ZQ1328-Y0-L</v>
          </cell>
          <cell r="B7369" t="str">
            <v>YZ-ZQ1328</v>
          </cell>
        </row>
        <row r="7370">
          <cell r="A7370" t="str">
            <v>YZ-ZQ1328-Y0-M</v>
          </cell>
          <cell r="B7370" t="str">
            <v>YZ-ZQ1328</v>
          </cell>
        </row>
        <row r="7371">
          <cell r="A7371" t="str">
            <v>YZ-ZQ1328-Y0-XL</v>
          </cell>
          <cell r="B7371" t="str">
            <v>YZ-ZQ1328</v>
          </cell>
        </row>
        <row r="7372">
          <cell r="A7372" t="str">
            <v>YZ-ZQ144K03XL</v>
          </cell>
          <cell r="B7372" t="str">
            <v>YZ-ZQ144</v>
          </cell>
        </row>
        <row r="7373">
          <cell r="A7373" t="str">
            <v>YZ-ZQ144R03XL</v>
          </cell>
          <cell r="B7373" t="str">
            <v>YZ-ZQ144</v>
          </cell>
        </row>
        <row r="7374">
          <cell r="A7374" t="str">
            <v>YZ-ZQ14578-K0-2X</v>
          </cell>
          <cell r="B7374" t="str">
            <v>YZ-ZQ14578</v>
          </cell>
        </row>
        <row r="7375">
          <cell r="A7375" t="str">
            <v>YZ-ZQ14578-K0-3X</v>
          </cell>
          <cell r="B7375" t="str">
            <v>YZ-ZQ14578</v>
          </cell>
        </row>
        <row r="7376">
          <cell r="A7376" t="str">
            <v>YZ-ZQ14578-K0-4X</v>
          </cell>
          <cell r="B7376" t="str">
            <v>YZ-ZQ14578</v>
          </cell>
        </row>
        <row r="7377">
          <cell r="A7377" t="str">
            <v>YZ-ZQ14578-K0-5X</v>
          </cell>
          <cell r="B7377" t="str">
            <v>YZ-ZQ14578</v>
          </cell>
        </row>
        <row r="7378">
          <cell r="A7378" t="str">
            <v>YZ-ZQ14578-K0-L</v>
          </cell>
          <cell r="B7378" t="str">
            <v>YZ-ZQ14578</v>
          </cell>
        </row>
        <row r="7379">
          <cell r="A7379" t="str">
            <v>YZ-ZQ14578-K0-XL</v>
          </cell>
          <cell r="B7379" t="str">
            <v>YZ-ZQ14578</v>
          </cell>
        </row>
        <row r="7380">
          <cell r="A7380" t="str">
            <v>YZ-ZQ14976-R0-2X</v>
          </cell>
          <cell r="B7380" t="str">
            <v>YZ-ZQ14976</v>
          </cell>
        </row>
        <row r="7381">
          <cell r="A7381" t="str">
            <v>YZ-ZQ14976-R0-3X</v>
          </cell>
          <cell r="B7381" t="str">
            <v>YZ-ZQ14976</v>
          </cell>
        </row>
        <row r="7382">
          <cell r="A7382" t="str">
            <v>YZ-ZQ14976-R0-4X</v>
          </cell>
          <cell r="B7382" t="str">
            <v>YZ-ZQ14976</v>
          </cell>
        </row>
        <row r="7383">
          <cell r="A7383" t="str">
            <v>YZ-ZQ14976-R0-5X</v>
          </cell>
          <cell r="B7383" t="str">
            <v>YZ-ZQ14976</v>
          </cell>
        </row>
        <row r="7384">
          <cell r="A7384" t="str">
            <v>YZ-ZQ14976-R0-L</v>
          </cell>
          <cell r="B7384" t="str">
            <v>YZ-ZQ14976</v>
          </cell>
        </row>
        <row r="7385">
          <cell r="A7385" t="str">
            <v>YZ-ZQ14976-R0-M</v>
          </cell>
          <cell r="B7385" t="str">
            <v>YZ-ZQ14976</v>
          </cell>
        </row>
        <row r="7386">
          <cell r="A7386" t="str">
            <v>YZ-ZQ14976-R0-XL</v>
          </cell>
          <cell r="B7386" t="str">
            <v>YZ-ZQ14976</v>
          </cell>
        </row>
        <row r="7387">
          <cell r="A7387" t="str">
            <v>YZ-ZQ14976-Y0-2X</v>
          </cell>
          <cell r="B7387" t="str">
            <v>YZ-ZQ14976</v>
          </cell>
        </row>
        <row r="7388">
          <cell r="A7388" t="str">
            <v>YZ-ZQ14976-Y0-3X</v>
          </cell>
          <cell r="B7388" t="str">
            <v>YZ-ZQ14976</v>
          </cell>
        </row>
        <row r="7389">
          <cell r="A7389" t="str">
            <v>YZ-ZQ14976-Y0-4X</v>
          </cell>
          <cell r="B7389" t="str">
            <v>YZ-ZQ14976</v>
          </cell>
        </row>
        <row r="7390">
          <cell r="A7390" t="str">
            <v>YZ-ZQ14976-Y0-5X</v>
          </cell>
          <cell r="B7390" t="str">
            <v>YZ-ZQ14976</v>
          </cell>
        </row>
        <row r="7391">
          <cell r="A7391" t="str">
            <v>YZ-ZQ14976-Y0-L</v>
          </cell>
          <cell r="B7391" t="str">
            <v>YZ-ZQ14976</v>
          </cell>
        </row>
        <row r="7392">
          <cell r="A7392" t="str">
            <v>YZ-ZQ14976-Y0-M</v>
          </cell>
          <cell r="B7392" t="str">
            <v>YZ-ZQ14976</v>
          </cell>
        </row>
        <row r="7393">
          <cell r="A7393" t="str">
            <v>YZ-ZQ14976-Y0-XL</v>
          </cell>
          <cell r="B7393" t="str">
            <v>YZ-ZQ14976</v>
          </cell>
        </row>
        <row r="7394">
          <cell r="A7394" t="str">
            <v>YZ-ZQ1519-K0-2X</v>
          </cell>
          <cell r="B7394" t="str">
            <v>YZ-ZQ1519</v>
          </cell>
        </row>
        <row r="7395">
          <cell r="A7395" t="str">
            <v>YZ-ZQ1519-K0-3X</v>
          </cell>
          <cell r="B7395" t="str">
            <v>YZ-ZQ1519</v>
          </cell>
        </row>
        <row r="7396">
          <cell r="A7396" t="str">
            <v>YZ-ZQ1519-K0-4X</v>
          </cell>
          <cell r="B7396" t="str">
            <v>YZ-ZQ1519</v>
          </cell>
        </row>
        <row r="7397">
          <cell r="A7397" t="str">
            <v>YZ-ZQ1519-K0-5X</v>
          </cell>
          <cell r="B7397" t="str">
            <v>YZ-ZQ1519</v>
          </cell>
        </row>
        <row r="7398">
          <cell r="A7398" t="str">
            <v>YZ-ZQ1519-K0-L</v>
          </cell>
          <cell r="B7398" t="str">
            <v>YZ-ZQ1519</v>
          </cell>
        </row>
        <row r="7399">
          <cell r="A7399" t="str">
            <v>YZ-ZQ1519-K0-M</v>
          </cell>
          <cell r="B7399" t="str">
            <v>YZ-ZQ1519</v>
          </cell>
        </row>
        <row r="7400">
          <cell r="A7400" t="str">
            <v>YZ-ZQ1519-K0-S</v>
          </cell>
          <cell r="B7400" t="str">
            <v>YZ-ZQ1519</v>
          </cell>
        </row>
        <row r="7401">
          <cell r="A7401" t="str">
            <v>YZ-ZQ1519-K0-XL</v>
          </cell>
          <cell r="B7401" t="str">
            <v>YZ-ZQ1519</v>
          </cell>
        </row>
        <row r="7402">
          <cell r="A7402" t="str">
            <v>YZ-ZQ1521BF2XL</v>
          </cell>
          <cell r="B7402" t="str">
            <v>YZ-ZQ1521</v>
          </cell>
        </row>
        <row r="7403">
          <cell r="A7403" t="str">
            <v>YZ-ZQ1521BF3XL</v>
          </cell>
          <cell r="B7403" t="str">
            <v>YZ-ZQ1521</v>
          </cell>
        </row>
        <row r="7404">
          <cell r="A7404" t="str">
            <v>YZ-ZQ1521BF4XL</v>
          </cell>
          <cell r="B7404" t="str">
            <v>YZ-ZQ1521</v>
          </cell>
        </row>
        <row r="7405">
          <cell r="A7405" t="str">
            <v>YZ-ZQ1521BF5XL</v>
          </cell>
          <cell r="B7405" t="str">
            <v>YZ-ZQ1521</v>
          </cell>
        </row>
        <row r="7406">
          <cell r="A7406" t="str">
            <v>YZ-ZQ1521BFXL</v>
          </cell>
          <cell r="B7406" t="str">
            <v>YZ-ZQ1521</v>
          </cell>
        </row>
        <row r="7407">
          <cell r="A7407" t="str">
            <v>YZ-ZQ1521BL2XL</v>
          </cell>
          <cell r="B7407" t="str">
            <v>YZ-ZQ1521</v>
          </cell>
        </row>
        <row r="7408">
          <cell r="A7408" t="str">
            <v>YZ-ZQ1521BL3XL</v>
          </cell>
          <cell r="B7408" t="str">
            <v>YZ-ZQ1521</v>
          </cell>
        </row>
        <row r="7409">
          <cell r="A7409" t="str">
            <v>YZ-ZQ1521BL4XL</v>
          </cell>
          <cell r="B7409" t="str">
            <v>YZ-ZQ1521</v>
          </cell>
        </row>
        <row r="7410">
          <cell r="A7410" t="str">
            <v>YZ-ZQ1521BL5XL</v>
          </cell>
          <cell r="B7410" t="str">
            <v>YZ-ZQ1521</v>
          </cell>
        </row>
        <row r="7411">
          <cell r="A7411" t="str">
            <v>YZ-ZQ1521BLXL</v>
          </cell>
          <cell r="B7411" t="str">
            <v>YZ-ZQ1521</v>
          </cell>
        </row>
        <row r="7412">
          <cell r="A7412" t="str">
            <v>YZ-ZQ1521GF2XL</v>
          </cell>
          <cell r="B7412" t="str">
            <v>YZ-ZQ1521</v>
          </cell>
        </row>
        <row r="7413">
          <cell r="A7413" t="str">
            <v>YZ-ZQ1521GF3XL</v>
          </cell>
          <cell r="B7413" t="str">
            <v>YZ-ZQ1521</v>
          </cell>
        </row>
        <row r="7414">
          <cell r="A7414" t="str">
            <v>YZ-ZQ1521GF4XL</v>
          </cell>
          <cell r="B7414" t="str">
            <v>YZ-ZQ1521</v>
          </cell>
        </row>
        <row r="7415">
          <cell r="A7415" t="str">
            <v>YZ-ZQ1521GF5XL</v>
          </cell>
          <cell r="B7415" t="str">
            <v>YZ-ZQ1521</v>
          </cell>
        </row>
        <row r="7416">
          <cell r="A7416" t="str">
            <v>YZ-ZQ1521GFXL</v>
          </cell>
          <cell r="B7416" t="str">
            <v>YZ-ZQ1521</v>
          </cell>
        </row>
        <row r="7417">
          <cell r="A7417" t="str">
            <v>YZ-ZQ1521GW2XL</v>
          </cell>
          <cell r="B7417" t="str">
            <v>YZ-ZQ1521</v>
          </cell>
        </row>
        <row r="7418">
          <cell r="A7418" t="str">
            <v>YZ-ZQ1521GW3XL</v>
          </cell>
          <cell r="B7418" t="str">
            <v>YZ-ZQ1521</v>
          </cell>
        </row>
        <row r="7419">
          <cell r="A7419" t="str">
            <v>YZ-ZQ1521GW4XL</v>
          </cell>
          <cell r="B7419" t="str">
            <v>YZ-ZQ1521</v>
          </cell>
        </row>
        <row r="7420">
          <cell r="A7420" t="str">
            <v>YZ-ZQ1521GW5XL</v>
          </cell>
          <cell r="B7420" t="str">
            <v>YZ-ZQ1521</v>
          </cell>
        </row>
        <row r="7421">
          <cell r="A7421" t="str">
            <v>YZ-ZQ1521GWXL</v>
          </cell>
          <cell r="B7421" t="str">
            <v>YZ-ZQ1521</v>
          </cell>
        </row>
        <row r="7422">
          <cell r="A7422" t="str">
            <v>YZ-ZQ1521KF2XL</v>
          </cell>
          <cell r="B7422" t="str">
            <v>YZ-ZQ1521</v>
          </cell>
        </row>
        <row r="7423">
          <cell r="A7423" t="str">
            <v>YZ-ZQ1521KF3XL</v>
          </cell>
          <cell r="B7423" t="str">
            <v>YZ-ZQ1521</v>
          </cell>
        </row>
        <row r="7424">
          <cell r="A7424" t="str">
            <v>YZ-ZQ1521KF4XL</v>
          </cell>
          <cell r="B7424" t="str">
            <v>YZ-ZQ1521</v>
          </cell>
        </row>
        <row r="7425">
          <cell r="A7425" t="str">
            <v>YZ-ZQ1521KF5XL</v>
          </cell>
          <cell r="B7425" t="str">
            <v>YZ-ZQ1521</v>
          </cell>
        </row>
        <row r="7426">
          <cell r="A7426" t="str">
            <v>YZ-ZQ1521KFXL</v>
          </cell>
          <cell r="B7426" t="str">
            <v>YZ-ZQ1521</v>
          </cell>
        </row>
        <row r="7427">
          <cell r="A7427" t="str">
            <v>YZ-ZQ1521RF2XL</v>
          </cell>
          <cell r="B7427" t="str">
            <v>YZ-ZQ1521</v>
          </cell>
        </row>
        <row r="7428">
          <cell r="A7428" t="str">
            <v>YZ-ZQ1521RF3XL</v>
          </cell>
          <cell r="B7428" t="str">
            <v>YZ-ZQ1521</v>
          </cell>
        </row>
        <row r="7429">
          <cell r="A7429" t="str">
            <v>YZ-ZQ1521RF4XL</v>
          </cell>
          <cell r="B7429" t="str">
            <v>YZ-ZQ1521</v>
          </cell>
        </row>
        <row r="7430">
          <cell r="A7430" t="str">
            <v>YZ-ZQ1521RF5XL</v>
          </cell>
          <cell r="B7430" t="str">
            <v>YZ-ZQ1521</v>
          </cell>
        </row>
        <row r="7431">
          <cell r="A7431" t="str">
            <v>YZ-ZQ1521RFXL</v>
          </cell>
          <cell r="B7431" t="str">
            <v>YZ-ZQ1521</v>
          </cell>
        </row>
        <row r="7432">
          <cell r="A7432" t="str">
            <v>YZ-ZQ1521RL2XL</v>
          </cell>
          <cell r="B7432" t="str">
            <v>YZ-ZQ1521</v>
          </cell>
        </row>
        <row r="7433">
          <cell r="A7433" t="str">
            <v>YZ-ZQ1521RL3XL</v>
          </cell>
          <cell r="B7433" t="str">
            <v>YZ-ZQ1521</v>
          </cell>
        </row>
        <row r="7434">
          <cell r="A7434" t="str">
            <v>YZ-ZQ1521RL4XL</v>
          </cell>
          <cell r="B7434" t="str">
            <v>YZ-ZQ1521</v>
          </cell>
        </row>
        <row r="7435">
          <cell r="A7435" t="str">
            <v>YZ-ZQ1521RL5XL</v>
          </cell>
          <cell r="B7435" t="str">
            <v>YZ-ZQ1521</v>
          </cell>
        </row>
        <row r="7436">
          <cell r="A7436" t="str">
            <v>YZ-ZQ1521RLXL</v>
          </cell>
          <cell r="B7436" t="str">
            <v>YZ-ZQ1521</v>
          </cell>
        </row>
        <row r="7437">
          <cell r="A7437" t="str">
            <v>YZ-ZQ1521RM2XL</v>
          </cell>
          <cell r="B7437" t="str">
            <v>YZ-ZQ1521</v>
          </cell>
        </row>
        <row r="7438">
          <cell r="A7438" t="str">
            <v>YZ-ZQ1521RM3XL</v>
          </cell>
          <cell r="B7438" t="str">
            <v>YZ-ZQ1521</v>
          </cell>
        </row>
        <row r="7439">
          <cell r="A7439" t="str">
            <v>YZ-ZQ1521RM4XL</v>
          </cell>
          <cell r="B7439" t="str">
            <v>YZ-ZQ1521</v>
          </cell>
        </row>
        <row r="7440">
          <cell r="A7440" t="str">
            <v>YZ-ZQ1521RM5XL</v>
          </cell>
          <cell r="B7440" t="str">
            <v>YZ-ZQ1521</v>
          </cell>
        </row>
        <row r="7441">
          <cell r="A7441" t="str">
            <v>YZ-ZQ1521RMXL</v>
          </cell>
          <cell r="B7441" t="str">
            <v>YZ-ZQ1521</v>
          </cell>
        </row>
        <row r="7442">
          <cell r="A7442" t="str">
            <v>YZ-ZQ1521WP2XL</v>
          </cell>
          <cell r="B7442" t="str">
            <v>YZ-ZQ1521</v>
          </cell>
        </row>
        <row r="7443">
          <cell r="A7443" t="str">
            <v>YZ-ZQ1521WP3XL</v>
          </cell>
          <cell r="B7443" t="str">
            <v>YZ-ZQ1521</v>
          </cell>
        </row>
        <row r="7444">
          <cell r="A7444" t="str">
            <v>YZ-ZQ1521WP4XL</v>
          </cell>
          <cell r="B7444" t="str">
            <v>YZ-ZQ1521</v>
          </cell>
        </row>
        <row r="7445">
          <cell r="A7445" t="str">
            <v>YZ-ZQ1521WP5XL</v>
          </cell>
          <cell r="B7445" t="str">
            <v>YZ-ZQ1521</v>
          </cell>
        </row>
        <row r="7446">
          <cell r="A7446" t="str">
            <v>YZ-ZQ1521WPXL</v>
          </cell>
          <cell r="B7446" t="str">
            <v>YZ-ZQ1521</v>
          </cell>
        </row>
        <row r="7447">
          <cell r="A7447" t="str">
            <v>YZ-ZQ15827B02XL</v>
          </cell>
          <cell r="B7447" t="str">
            <v>YZ-ZQ15827</v>
          </cell>
        </row>
        <row r="7448">
          <cell r="A7448" t="str">
            <v>YZ-ZQ15827B03XL</v>
          </cell>
          <cell r="B7448" t="str">
            <v>YZ-ZQ15827</v>
          </cell>
        </row>
        <row r="7449">
          <cell r="A7449" t="str">
            <v>YZ-ZQ15827B04XL</v>
          </cell>
          <cell r="B7449" t="str">
            <v>YZ-ZQ15827</v>
          </cell>
        </row>
        <row r="7450">
          <cell r="A7450" t="str">
            <v>YZ-ZQ15827B05XL</v>
          </cell>
          <cell r="B7450" t="str">
            <v>YZ-ZQ15827</v>
          </cell>
        </row>
        <row r="7451">
          <cell r="A7451" t="str">
            <v>YZ-ZQ15827B0L</v>
          </cell>
          <cell r="B7451" t="str">
            <v>YZ-ZQ15827</v>
          </cell>
        </row>
        <row r="7452">
          <cell r="A7452" t="str">
            <v>YZ-ZQ15827B0M</v>
          </cell>
          <cell r="B7452" t="str">
            <v>YZ-ZQ15827</v>
          </cell>
        </row>
        <row r="7453">
          <cell r="A7453" t="str">
            <v>YZ-ZQ15827B0S</v>
          </cell>
          <cell r="B7453" t="str">
            <v>YZ-ZQ15827</v>
          </cell>
        </row>
        <row r="7454">
          <cell r="A7454" t="str">
            <v>YZ-ZQ15827B0XL</v>
          </cell>
          <cell r="B7454" t="str">
            <v>YZ-ZQ15827</v>
          </cell>
        </row>
        <row r="7455">
          <cell r="A7455" t="str">
            <v>YZ-ZQ15827BS2XL</v>
          </cell>
          <cell r="B7455" t="str">
            <v>YZ-ZQ15827</v>
          </cell>
        </row>
        <row r="7456">
          <cell r="A7456" t="str">
            <v>YZ-ZQ15827BS3XL</v>
          </cell>
          <cell r="B7456" t="str">
            <v>YZ-ZQ15827</v>
          </cell>
        </row>
        <row r="7457">
          <cell r="A7457" t="str">
            <v>YZ-ZQ15827BS4XL</v>
          </cell>
          <cell r="B7457" t="str">
            <v>YZ-ZQ15827</v>
          </cell>
        </row>
        <row r="7458">
          <cell r="A7458" t="str">
            <v>YZ-ZQ15827BS5XL</v>
          </cell>
          <cell r="B7458" t="str">
            <v>YZ-ZQ15827</v>
          </cell>
        </row>
        <row r="7459">
          <cell r="A7459" t="str">
            <v>YZ-ZQ15827BSL</v>
          </cell>
          <cell r="B7459" t="str">
            <v>YZ-ZQ15827</v>
          </cell>
        </row>
        <row r="7460">
          <cell r="A7460" t="str">
            <v>YZ-ZQ15827BSM</v>
          </cell>
          <cell r="B7460" t="str">
            <v>YZ-ZQ15827</v>
          </cell>
        </row>
        <row r="7461">
          <cell r="A7461" t="str">
            <v>YZ-ZQ15827BSS</v>
          </cell>
          <cell r="B7461" t="str">
            <v>YZ-ZQ15827</v>
          </cell>
        </row>
        <row r="7462">
          <cell r="A7462" t="str">
            <v>YZ-ZQ15827BSXL</v>
          </cell>
          <cell r="B7462" t="str">
            <v>YZ-ZQ15827</v>
          </cell>
        </row>
        <row r="7463">
          <cell r="A7463" t="str">
            <v>YZ-ZQ15827R22XL</v>
          </cell>
          <cell r="B7463" t="str">
            <v>YZ-ZQ15827</v>
          </cell>
        </row>
        <row r="7464">
          <cell r="A7464" t="str">
            <v>YZ-ZQ15827R23XL</v>
          </cell>
          <cell r="B7464" t="str">
            <v>YZ-ZQ15827</v>
          </cell>
        </row>
        <row r="7465">
          <cell r="A7465" t="str">
            <v>YZ-ZQ15827R24XL</v>
          </cell>
          <cell r="B7465" t="str">
            <v>YZ-ZQ15827</v>
          </cell>
        </row>
        <row r="7466">
          <cell r="A7466" t="str">
            <v>YZ-ZQ15827R25XL</v>
          </cell>
          <cell r="B7466" t="str">
            <v>YZ-ZQ15827</v>
          </cell>
        </row>
        <row r="7467">
          <cell r="A7467" t="str">
            <v>YZ-ZQ15827R2L</v>
          </cell>
          <cell r="B7467" t="str">
            <v>YZ-ZQ15827</v>
          </cell>
        </row>
        <row r="7468">
          <cell r="A7468" t="str">
            <v>YZ-ZQ15827R2M</v>
          </cell>
          <cell r="B7468" t="str">
            <v>YZ-ZQ15827</v>
          </cell>
        </row>
        <row r="7469">
          <cell r="A7469" t="str">
            <v>YZ-ZQ15827R2S</v>
          </cell>
          <cell r="B7469" t="str">
            <v>YZ-ZQ15827</v>
          </cell>
        </row>
        <row r="7470">
          <cell r="A7470" t="str">
            <v>YZ-ZQ15827R2XL</v>
          </cell>
          <cell r="B7470" t="str">
            <v>YZ-ZQ15827</v>
          </cell>
        </row>
        <row r="7471">
          <cell r="A7471" t="str">
            <v>YZ-ZQ15827W02XL</v>
          </cell>
          <cell r="B7471" t="str">
            <v>YZ-ZQ15827</v>
          </cell>
        </row>
        <row r="7472">
          <cell r="A7472" t="str">
            <v>YZ-ZQ15827W03XL</v>
          </cell>
          <cell r="B7472" t="str">
            <v>YZ-ZQ15827</v>
          </cell>
        </row>
        <row r="7473">
          <cell r="A7473" t="str">
            <v>YZ-ZQ15827W04XL</v>
          </cell>
          <cell r="B7473" t="str">
            <v>YZ-ZQ15827</v>
          </cell>
        </row>
        <row r="7474">
          <cell r="A7474" t="str">
            <v>YZ-ZQ15827W05XL</v>
          </cell>
          <cell r="B7474" t="str">
            <v>YZ-ZQ15827</v>
          </cell>
        </row>
        <row r="7475">
          <cell r="A7475" t="str">
            <v>YZ-ZQ15827W0L</v>
          </cell>
          <cell r="B7475" t="str">
            <v>YZ-ZQ15827</v>
          </cell>
        </row>
        <row r="7476">
          <cell r="A7476" t="str">
            <v>YZ-ZQ15827W0M</v>
          </cell>
          <cell r="B7476" t="str">
            <v>YZ-ZQ15827</v>
          </cell>
        </row>
        <row r="7477">
          <cell r="A7477" t="str">
            <v>YZ-ZQ15827W0S</v>
          </cell>
          <cell r="B7477" t="str">
            <v>YZ-ZQ15827</v>
          </cell>
        </row>
        <row r="7478">
          <cell r="A7478" t="str">
            <v>YZ-ZQ15827W0XL</v>
          </cell>
          <cell r="B7478" t="str">
            <v>YZ-ZQ15827</v>
          </cell>
        </row>
        <row r="7479">
          <cell r="A7479" t="str">
            <v>YZ-ZQ15905-K0-2X</v>
          </cell>
          <cell r="B7479" t="str">
            <v>YZ-ZQ15905</v>
          </cell>
        </row>
        <row r="7480">
          <cell r="A7480" t="str">
            <v>YZ-ZQ15905-K0-3X</v>
          </cell>
          <cell r="B7480" t="str">
            <v>YZ-ZQ15905</v>
          </cell>
        </row>
        <row r="7481">
          <cell r="A7481" t="str">
            <v>YZ-ZQ15905-K0-4X</v>
          </cell>
          <cell r="B7481" t="str">
            <v>YZ-ZQ15905</v>
          </cell>
        </row>
        <row r="7482">
          <cell r="A7482" t="str">
            <v>YZ-ZQ15905-K0-5X</v>
          </cell>
          <cell r="B7482" t="str">
            <v>YZ-ZQ15905</v>
          </cell>
        </row>
        <row r="7483">
          <cell r="A7483" t="str">
            <v>YZ-ZQ15905-K0-L</v>
          </cell>
          <cell r="B7483" t="str">
            <v>YZ-ZQ15905</v>
          </cell>
        </row>
        <row r="7484">
          <cell r="A7484" t="str">
            <v>YZ-ZQ15905-K0-M</v>
          </cell>
          <cell r="B7484" t="str">
            <v>YZ-ZQ15905</v>
          </cell>
        </row>
        <row r="7485">
          <cell r="A7485" t="str">
            <v>YZ-ZQ15905-K0-S</v>
          </cell>
          <cell r="B7485" t="str">
            <v>YZ-ZQ15905</v>
          </cell>
        </row>
        <row r="7486">
          <cell r="A7486" t="str">
            <v>YZ-ZQ15905-K0-XL</v>
          </cell>
          <cell r="B7486" t="str">
            <v>YZ-ZQ15905</v>
          </cell>
        </row>
        <row r="7487">
          <cell r="A7487" t="str">
            <v>YZ-ZQ15905-W0-2X</v>
          </cell>
          <cell r="B7487" t="str">
            <v>YZ-ZQ15905</v>
          </cell>
        </row>
        <row r="7488">
          <cell r="A7488" t="str">
            <v>YZ-ZQ15905-W0-3X</v>
          </cell>
          <cell r="B7488" t="str">
            <v>YZ-ZQ15905</v>
          </cell>
        </row>
        <row r="7489">
          <cell r="A7489" t="str">
            <v>YZ-ZQ15905-W0-4X</v>
          </cell>
          <cell r="B7489" t="str">
            <v>YZ-ZQ15905</v>
          </cell>
        </row>
        <row r="7490">
          <cell r="A7490" t="str">
            <v>YZ-ZQ15905-W0-5X</v>
          </cell>
          <cell r="B7490" t="str">
            <v>YZ-ZQ15905</v>
          </cell>
        </row>
        <row r="7491">
          <cell r="A7491" t="str">
            <v>YZ-ZQ15905-W0-L</v>
          </cell>
          <cell r="B7491" t="str">
            <v>YZ-ZQ15905</v>
          </cell>
        </row>
        <row r="7492">
          <cell r="A7492" t="str">
            <v>YZ-ZQ15905-W0-M</v>
          </cell>
          <cell r="B7492" t="str">
            <v>YZ-ZQ15905</v>
          </cell>
        </row>
        <row r="7493">
          <cell r="A7493" t="str">
            <v>YZ-ZQ15905-W0-S</v>
          </cell>
          <cell r="B7493" t="str">
            <v>YZ-ZQ15905</v>
          </cell>
        </row>
        <row r="7494">
          <cell r="A7494" t="str">
            <v>YZ-ZQ15905-W0-XL</v>
          </cell>
          <cell r="B7494" t="str">
            <v>YZ-ZQ15905</v>
          </cell>
        </row>
        <row r="7495">
          <cell r="A7495" t="str">
            <v>YZ-ZQ15919-B0-2X</v>
          </cell>
          <cell r="B7495" t="str">
            <v>YZ-ZQ15919</v>
          </cell>
        </row>
        <row r="7496">
          <cell r="A7496" t="str">
            <v>YZ-ZQ15919-B0-3X</v>
          </cell>
          <cell r="B7496" t="str">
            <v>YZ-ZQ15919</v>
          </cell>
        </row>
        <row r="7497">
          <cell r="A7497" t="str">
            <v>YZ-ZQ15919-B0-4X</v>
          </cell>
          <cell r="B7497" t="str">
            <v>YZ-ZQ15919</v>
          </cell>
        </row>
        <row r="7498">
          <cell r="A7498" t="str">
            <v>YZ-ZQ15919-B0-5X</v>
          </cell>
          <cell r="B7498" t="str">
            <v>YZ-ZQ15919</v>
          </cell>
        </row>
        <row r="7499">
          <cell r="A7499" t="str">
            <v>YZ-ZQ15919-B0-L</v>
          </cell>
          <cell r="B7499" t="str">
            <v>YZ-ZQ15919</v>
          </cell>
        </row>
        <row r="7500">
          <cell r="A7500" t="str">
            <v>YZ-ZQ15919-B0-M</v>
          </cell>
          <cell r="B7500" t="str">
            <v>YZ-ZQ15919</v>
          </cell>
        </row>
        <row r="7501">
          <cell r="A7501" t="str">
            <v>YZ-ZQ15919-B0-S</v>
          </cell>
          <cell r="B7501" t="str">
            <v>YZ-ZQ15919</v>
          </cell>
        </row>
        <row r="7502">
          <cell r="A7502" t="str">
            <v>YZ-ZQ15919-B0-XL</v>
          </cell>
          <cell r="B7502" t="str">
            <v>YZ-ZQ15919</v>
          </cell>
        </row>
        <row r="7503">
          <cell r="A7503" t="str">
            <v>YZ-ZQ15921-B0-2X</v>
          </cell>
          <cell r="B7503" t="str">
            <v>YZ-ZQ15921</v>
          </cell>
        </row>
        <row r="7504">
          <cell r="A7504" t="str">
            <v>YZ-ZQ15921-B0-3X</v>
          </cell>
          <cell r="B7504" t="str">
            <v>YZ-ZQ15921</v>
          </cell>
        </row>
        <row r="7505">
          <cell r="A7505" t="str">
            <v>YZ-ZQ15921-B0-4X</v>
          </cell>
          <cell r="B7505" t="str">
            <v>YZ-ZQ15921</v>
          </cell>
        </row>
        <row r="7506">
          <cell r="A7506" t="str">
            <v>YZ-ZQ15921-B0-5X</v>
          </cell>
          <cell r="B7506" t="str">
            <v>YZ-ZQ15921</v>
          </cell>
        </row>
        <row r="7507">
          <cell r="A7507" t="str">
            <v>YZ-ZQ15921-B0-L</v>
          </cell>
          <cell r="B7507" t="str">
            <v>YZ-ZQ15921</v>
          </cell>
        </row>
        <row r="7508">
          <cell r="A7508" t="str">
            <v>YZ-ZQ15921-B0-M</v>
          </cell>
          <cell r="B7508" t="str">
            <v>YZ-ZQ15921</v>
          </cell>
        </row>
        <row r="7509">
          <cell r="A7509" t="str">
            <v>YZ-ZQ15921-B0-XL</v>
          </cell>
          <cell r="B7509" t="str">
            <v>YZ-ZQ15921</v>
          </cell>
        </row>
        <row r="7510">
          <cell r="A7510" t="str">
            <v>YZ-ZQ15921-P0-2X</v>
          </cell>
          <cell r="B7510" t="str">
            <v>YZ-ZQ15921</v>
          </cell>
        </row>
        <row r="7511">
          <cell r="A7511" t="str">
            <v>YZ-ZQ15921-P0-3X</v>
          </cell>
          <cell r="B7511" t="str">
            <v>YZ-ZQ15921</v>
          </cell>
        </row>
        <row r="7512">
          <cell r="A7512" t="str">
            <v>YZ-ZQ15921-P0-4X</v>
          </cell>
          <cell r="B7512" t="str">
            <v>YZ-ZQ15921</v>
          </cell>
        </row>
        <row r="7513">
          <cell r="A7513" t="str">
            <v>YZ-ZQ15921-P0-5X</v>
          </cell>
          <cell r="B7513" t="str">
            <v>YZ-ZQ15921</v>
          </cell>
        </row>
        <row r="7514">
          <cell r="A7514" t="str">
            <v>YZ-ZQ15921-P0-L</v>
          </cell>
          <cell r="B7514" t="str">
            <v>YZ-ZQ15921</v>
          </cell>
        </row>
        <row r="7515">
          <cell r="A7515" t="str">
            <v>YZ-ZQ15921-P0-M</v>
          </cell>
          <cell r="B7515" t="str">
            <v>YZ-ZQ15921</v>
          </cell>
        </row>
        <row r="7516">
          <cell r="A7516" t="str">
            <v>YZ-ZQ15921-P0-XL</v>
          </cell>
          <cell r="B7516" t="str">
            <v>YZ-ZQ15921</v>
          </cell>
        </row>
        <row r="7517">
          <cell r="A7517" t="str">
            <v>YZ-ZQ15921-R0-2X</v>
          </cell>
          <cell r="B7517" t="str">
            <v>YZ-ZQ15921</v>
          </cell>
        </row>
        <row r="7518">
          <cell r="A7518" t="str">
            <v>YZ-ZQ15921-R0-3X</v>
          </cell>
          <cell r="B7518" t="str">
            <v>YZ-ZQ15921</v>
          </cell>
        </row>
        <row r="7519">
          <cell r="A7519" t="str">
            <v>YZ-ZQ15921-R0-4X</v>
          </cell>
          <cell r="B7519" t="str">
            <v>YZ-ZQ15921</v>
          </cell>
        </row>
        <row r="7520">
          <cell r="A7520" t="str">
            <v>YZ-ZQ15921-R0-5X</v>
          </cell>
          <cell r="B7520" t="str">
            <v>YZ-ZQ15921</v>
          </cell>
        </row>
        <row r="7521">
          <cell r="A7521" t="str">
            <v>YZ-ZQ15921-R0-L</v>
          </cell>
          <cell r="B7521" t="str">
            <v>YZ-ZQ15921</v>
          </cell>
        </row>
        <row r="7522">
          <cell r="A7522" t="str">
            <v>YZ-ZQ15921-R0-M</v>
          </cell>
          <cell r="B7522" t="str">
            <v>YZ-ZQ15921</v>
          </cell>
        </row>
        <row r="7523">
          <cell r="A7523" t="str">
            <v>YZ-ZQ15921-R0-XL</v>
          </cell>
          <cell r="B7523" t="str">
            <v>YZ-ZQ15921</v>
          </cell>
        </row>
        <row r="7524">
          <cell r="A7524" t="str">
            <v>YZ-ZQ15986K02XL</v>
          </cell>
          <cell r="B7524" t="str">
            <v>YZ-ZQ15986</v>
          </cell>
        </row>
        <row r="7525">
          <cell r="A7525" t="str">
            <v>YZ-ZQ15986K03XL</v>
          </cell>
          <cell r="B7525" t="str">
            <v>YZ-ZQ15986</v>
          </cell>
        </row>
        <row r="7526">
          <cell r="A7526" t="str">
            <v>YZ-ZQ15986K04XL</v>
          </cell>
          <cell r="B7526" t="str">
            <v>YZ-ZQ15986</v>
          </cell>
        </row>
        <row r="7527">
          <cell r="A7527" t="str">
            <v>YZ-ZQ15986K0L</v>
          </cell>
          <cell r="B7527" t="str">
            <v>YZ-ZQ15986</v>
          </cell>
        </row>
        <row r="7528">
          <cell r="A7528" t="str">
            <v>YZ-ZQ16103R02XL</v>
          </cell>
          <cell r="B7528" t="str">
            <v>YZ-ZQ16103</v>
          </cell>
        </row>
        <row r="7529">
          <cell r="A7529" t="str">
            <v>YZ-ZQ16103R03XL</v>
          </cell>
          <cell r="B7529" t="str">
            <v>YZ-ZQ16103</v>
          </cell>
        </row>
        <row r="7530">
          <cell r="A7530" t="str">
            <v>YZ-ZQ16103R0L</v>
          </cell>
          <cell r="B7530" t="str">
            <v>YZ-ZQ16103</v>
          </cell>
        </row>
        <row r="7531">
          <cell r="A7531" t="str">
            <v>YZ-ZQ16103R0XL</v>
          </cell>
          <cell r="B7531" t="str">
            <v>YZ-ZQ16103</v>
          </cell>
        </row>
        <row r="7532">
          <cell r="A7532" t="str">
            <v>YZ-ZQ16103ZL2XL</v>
          </cell>
          <cell r="B7532" t="str">
            <v>YZ-ZQ16103</v>
          </cell>
        </row>
        <row r="7533">
          <cell r="A7533" t="str">
            <v>YZ-ZQ16103ZL3XL</v>
          </cell>
          <cell r="B7533" t="str">
            <v>YZ-ZQ16103</v>
          </cell>
        </row>
        <row r="7534">
          <cell r="A7534" t="str">
            <v>YZ-ZQ16103ZLL</v>
          </cell>
          <cell r="B7534" t="str">
            <v>YZ-ZQ16103</v>
          </cell>
        </row>
        <row r="7535">
          <cell r="A7535" t="str">
            <v>YZ-ZQ16103ZLXL</v>
          </cell>
          <cell r="B7535" t="str">
            <v>YZ-ZQ16103</v>
          </cell>
        </row>
        <row r="7536">
          <cell r="A7536" t="str">
            <v>YZ-ZQ1617-BH-2XL</v>
          </cell>
          <cell r="B7536" t="str">
            <v>YZ-ZQ1617</v>
          </cell>
        </row>
        <row r="7537">
          <cell r="A7537" t="str">
            <v>YZ-ZQ1617-BH-3XL</v>
          </cell>
          <cell r="B7537" t="str">
            <v>YZ-ZQ1617</v>
          </cell>
        </row>
        <row r="7538">
          <cell r="A7538" t="str">
            <v>YZ-ZQ1617-BH-4XL</v>
          </cell>
          <cell r="B7538" t="str">
            <v>YZ-ZQ1617</v>
          </cell>
        </row>
        <row r="7539">
          <cell r="A7539" t="str">
            <v>YZ-ZQ1617-BH-M</v>
          </cell>
          <cell r="B7539" t="str">
            <v>YZ-ZQ1617</v>
          </cell>
        </row>
        <row r="7540">
          <cell r="A7540" t="str">
            <v>YZ-ZQ1617-BH-XL</v>
          </cell>
          <cell r="B7540" t="str">
            <v>YZ-ZQ1617</v>
          </cell>
        </row>
        <row r="7541">
          <cell r="A7541" t="str">
            <v>YZ-ZQ1617K02XL</v>
          </cell>
          <cell r="B7541" t="str">
            <v>YZ-ZQ1617</v>
          </cell>
        </row>
        <row r="7542">
          <cell r="A7542" t="str">
            <v>YZ-ZQ1617K03XL</v>
          </cell>
          <cell r="B7542" t="str">
            <v>YZ-ZQ1617</v>
          </cell>
        </row>
        <row r="7543">
          <cell r="A7543" t="str">
            <v>YZ-ZQ1617K0L</v>
          </cell>
          <cell r="B7543" t="str">
            <v>YZ-ZQ1617</v>
          </cell>
        </row>
        <row r="7544">
          <cell r="A7544" t="str">
            <v>YZ-ZQ1617K0M</v>
          </cell>
          <cell r="B7544" t="str">
            <v>YZ-ZQ1617</v>
          </cell>
        </row>
        <row r="7545">
          <cell r="A7545" t="str">
            <v>YZ-ZQ1617K0XL</v>
          </cell>
          <cell r="B7545" t="str">
            <v>YZ-ZQ1617</v>
          </cell>
        </row>
        <row r="7546">
          <cell r="A7546" t="str">
            <v>YZ-ZQ1617-KH-2XL</v>
          </cell>
          <cell r="B7546" t="str">
            <v>YZ-ZQ1617</v>
          </cell>
        </row>
        <row r="7547">
          <cell r="A7547" t="str">
            <v>YZ-ZQ1617-KH-3XL</v>
          </cell>
          <cell r="B7547" t="str">
            <v>YZ-ZQ1617</v>
          </cell>
        </row>
        <row r="7548">
          <cell r="A7548" t="str">
            <v>YZ-ZQ1617-KH-4XL</v>
          </cell>
          <cell r="B7548" t="str">
            <v>YZ-ZQ1617</v>
          </cell>
        </row>
        <row r="7549">
          <cell r="A7549" t="str">
            <v>YZ-ZQ1617-KH-L</v>
          </cell>
          <cell r="B7549" t="str">
            <v>YZ-ZQ1617</v>
          </cell>
        </row>
        <row r="7550">
          <cell r="A7550" t="str">
            <v>YZ-ZQ1617-KH-M</v>
          </cell>
          <cell r="B7550" t="str">
            <v>YZ-ZQ1617</v>
          </cell>
        </row>
        <row r="7551">
          <cell r="A7551" t="str">
            <v>YZ-ZQ1617R03XL</v>
          </cell>
          <cell r="B7551" t="str">
            <v>YZ-ZQ1617</v>
          </cell>
        </row>
        <row r="7552">
          <cell r="A7552" t="str">
            <v>YZ-ZQ1617R0L</v>
          </cell>
          <cell r="B7552" t="str">
            <v>YZ-ZQ1617</v>
          </cell>
        </row>
        <row r="7553">
          <cell r="A7553" t="str">
            <v>YZ-ZQ1617R0XL</v>
          </cell>
          <cell r="B7553" t="str">
            <v>YZ-ZQ1617</v>
          </cell>
        </row>
        <row r="7554">
          <cell r="A7554" t="str">
            <v>YZ-ZQ1617ZL2XL</v>
          </cell>
          <cell r="B7554" t="str">
            <v>YZ-ZQ1617</v>
          </cell>
        </row>
        <row r="7555">
          <cell r="A7555" t="str">
            <v>YZ-ZQ1617ZL3XL</v>
          </cell>
          <cell r="B7555" t="str">
            <v>YZ-ZQ1617</v>
          </cell>
        </row>
        <row r="7556">
          <cell r="A7556" t="str">
            <v>YZ-ZQ1617ZL4XL</v>
          </cell>
          <cell r="B7556" t="str">
            <v>YZ-ZQ1617</v>
          </cell>
        </row>
        <row r="7557">
          <cell r="A7557" t="str">
            <v>YZ-ZQ1617ZLL</v>
          </cell>
          <cell r="B7557" t="str">
            <v>YZ-ZQ1617</v>
          </cell>
        </row>
        <row r="7558">
          <cell r="A7558" t="str">
            <v>YZ-ZQ1617ZLM</v>
          </cell>
          <cell r="B7558" t="str">
            <v>YZ-ZQ1617</v>
          </cell>
        </row>
        <row r="7559">
          <cell r="A7559" t="str">
            <v>YZ-ZQ1617ZLXL</v>
          </cell>
          <cell r="B7559" t="str">
            <v>YZ-ZQ1617</v>
          </cell>
        </row>
        <row r="7560">
          <cell r="A7560" t="str">
            <v>YZ-ZQ16597B02XL</v>
          </cell>
          <cell r="B7560" t="str">
            <v>YZ-ZQ16597</v>
          </cell>
        </row>
        <row r="7561">
          <cell r="A7561" t="str">
            <v>YZ-ZQ16597B03XL</v>
          </cell>
          <cell r="B7561" t="str">
            <v>YZ-ZQ16597</v>
          </cell>
        </row>
        <row r="7562">
          <cell r="A7562" t="str">
            <v>YZ-ZQ16597B04XL</v>
          </cell>
          <cell r="B7562" t="str">
            <v>YZ-ZQ16597</v>
          </cell>
        </row>
        <row r="7563">
          <cell r="A7563" t="str">
            <v>YZ-ZQ16597B05XL</v>
          </cell>
          <cell r="B7563" t="str">
            <v>YZ-ZQ16597</v>
          </cell>
        </row>
        <row r="7564">
          <cell r="A7564" t="str">
            <v>YZ-ZQ16597B0L</v>
          </cell>
          <cell r="B7564" t="str">
            <v>YZ-ZQ16597</v>
          </cell>
        </row>
        <row r="7565">
          <cell r="A7565" t="str">
            <v>YZ-ZQ16597B0M</v>
          </cell>
          <cell r="B7565" t="str">
            <v>YZ-ZQ16597</v>
          </cell>
        </row>
        <row r="7566">
          <cell r="A7566" t="str">
            <v>YZ-ZQ16597B0XL</v>
          </cell>
          <cell r="B7566" t="str">
            <v>YZ-ZQ16597</v>
          </cell>
        </row>
        <row r="7567">
          <cell r="A7567" t="str">
            <v>YZ-ZQ16598R02XL</v>
          </cell>
          <cell r="B7567" t="str">
            <v>YZ-ZQ16598</v>
          </cell>
        </row>
        <row r="7568">
          <cell r="A7568" t="str">
            <v>YZ-ZQ16598R03XL</v>
          </cell>
          <cell r="B7568" t="str">
            <v>YZ-ZQ16598</v>
          </cell>
        </row>
        <row r="7569">
          <cell r="A7569" t="str">
            <v>YZ-ZQ16598R04XL</v>
          </cell>
          <cell r="B7569" t="str">
            <v>YZ-ZQ16598</v>
          </cell>
        </row>
        <row r="7570">
          <cell r="A7570" t="str">
            <v>YZ-ZQ16598R05XL</v>
          </cell>
          <cell r="B7570" t="str">
            <v>YZ-ZQ16598</v>
          </cell>
        </row>
        <row r="7571">
          <cell r="A7571" t="str">
            <v>YZ-ZQ16598R0L</v>
          </cell>
          <cell r="B7571" t="str">
            <v>YZ-ZQ16598</v>
          </cell>
        </row>
        <row r="7572">
          <cell r="A7572" t="str">
            <v>YZ-ZQ16598R0XL</v>
          </cell>
          <cell r="B7572" t="str">
            <v>YZ-ZQ16598</v>
          </cell>
        </row>
        <row r="7573">
          <cell r="A7573" t="str">
            <v>YZ-ZQ17009-G0-L</v>
          </cell>
          <cell r="B7573" t="str">
            <v>YZ-ZQ17009</v>
          </cell>
        </row>
        <row r="7574">
          <cell r="A7574" t="str">
            <v>YZ-ZQ17009-G0-M</v>
          </cell>
          <cell r="B7574" t="str">
            <v>YZ-ZQ17009</v>
          </cell>
        </row>
        <row r="7575">
          <cell r="A7575" t="str">
            <v>YZ-ZQ17009-G0-XL</v>
          </cell>
          <cell r="B7575" t="str">
            <v>YZ-ZQ17009</v>
          </cell>
        </row>
        <row r="7576">
          <cell r="A7576" t="str">
            <v>YZ-ZQ17009-K0-L</v>
          </cell>
          <cell r="B7576" t="str">
            <v>YZ-ZQ17009</v>
          </cell>
        </row>
        <row r="7577">
          <cell r="A7577" t="str">
            <v>YZ-ZQ17009-K0-M</v>
          </cell>
          <cell r="B7577" t="str">
            <v>YZ-ZQ17009</v>
          </cell>
        </row>
        <row r="7578">
          <cell r="A7578" t="str">
            <v>YZ-ZQ17009-K0-XL</v>
          </cell>
          <cell r="B7578" t="str">
            <v>YZ-ZQ17009</v>
          </cell>
        </row>
        <row r="7579">
          <cell r="A7579" t="str">
            <v>YZ-ZQ17009-R0-S</v>
          </cell>
          <cell r="B7579" t="str">
            <v>YZ-ZQ17009</v>
          </cell>
        </row>
        <row r="7580">
          <cell r="A7580" t="str">
            <v>YZ-ZQ1715-W0-L</v>
          </cell>
          <cell r="B7580" t="str">
            <v>YZ-ZQ1715</v>
          </cell>
        </row>
        <row r="7581">
          <cell r="A7581" t="str">
            <v>YZ-ZQ1715-W0-M</v>
          </cell>
          <cell r="B7581" t="str">
            <v>YZ-ZQ1715</v>
          </cell>
        </row>
        <row r="7582">
          <cell r="A7582" t="str">
            <v>YZ-ZQ1715-W0-S</v>
          </cell>
          <cell r="B7582" t="str">
            <v>YZ-ZQ1715</v>
          </cell>
        </row>
        <row r="7583">
          <cell r="A7583" t="str">
            <v>YZ-ZQ1715-W0-XL</v>
          </cell>
          <cell r="B7583" t="str">
            <v>YZ-ZQ1715</v>
          </cell>
        </row>
        <row r="7584">
          <cell r="A7584" t="str">
            <v>YZ-ZQ1732-B0-L</v>
          </cell>
          <cell r="B7584" t="str">
            <v>YZ-ZQ1732</v>
          </cell>
        </row>
        <row r="7585">
          <cell r="A7585" t="str">
            <v>YZ-ZQ1732-B0-M</v>
          </cell>
          <cell r="B7585" t="str">
            <v>YZ-ZQ1732</v>
          </cell>
        </row>
        <row r="7586">
          <cell r="A7586" t="str">
            <v>YZ-ZQ1732-B0-S</v>
          </cell>
          <cell r="B7586" t="str">
            <v>YZ-ZQ1732</v>
          </cell>
        </row>
        <row r="7587">
          <cell r="A7587" t="str">
            <v>YZ-ZQ1732-B0-XL</v>
          </cell>
          <cell r="B7587" t="str">
            <v>YZ-ZQ1732</v>
          </cell>
        </row>
        <row r="7588">
          <cell r="A7588" t="str">
            <v>YZ-ZQ1732-K0-L</v>
          </cell>
          <cell r="B7588" t="str">
            <v>YZ-ZQ1732</v>
          </cell>
        </row>
        <row r="7589">
          <cell r="A7589" t="str">
            <v>YZ-ZQ1732-K0-M</v>
          </cell>
          <cell r="B7589" t="str">
            <v>YZ-ZQ1732</v>
          </cell>
        </row>
        <row r="7590">
          <cell r="A7590" t="str">
            <v>YZ-ZQ1732-K0-S</v>
          </cell>
          <cell r="B7590" t="str">
            <v>YZ-ZQ1732</v>
          </cell>
        </row>
        <row r="7591">
          <cell r="A7591" t="str">
            <v>YZ-ZQ1732-K0-XL</v>
          </cell>
          <cell r="B7591" t="str">
            <v>YZ-ZQ1732</v>
          </cell>
        </row>
        <row r="7592">
          <cell r="A7592" t="str">
            <v>YZ-ZQ1732-R0-L</v>
          </cell>
          <cell r="B7592" t="str">
            <v>YZ-ZQ1732</v>
          </cell>
        </row>
        <row r="7593">
          <cell r="A7593" t="str">
            <v>YZ-ZQ1732-R0-M</v>
          </cell>
          <cell r="B7593" t="str">
            <v>YZ-ZQ1732</v>
          </cell>
        </row>
        <row r="7594">
          <cell r="A7594" t="str">
            <v>YZ-ZQ1732-R0-S</v>
          </cell>
          <cell r="B7594" t="str">
            <v>YZ-ZQ1732</v>
          </cell>
        </row>
        <row r="7595">
          <cell r="A7595" t="str">
            <v>YZ-ZQ1732-R0-XL</v>
          </cell>
          <cell r="B7595" t="str">
            <v>YZ-ZQ1732</v>
          </cell>
        </row>
        <row r="7596">
          <cell r="A7596" t="str">
            <v>YZ-ZQ1733-K0-2XL</v>
          </cell>
          <cell r="B7596" t="str">
            <v>YZ-ZQ1733</v>
          </cell>
        </row>
        <row r="7597">
          <cell r="A7597" t="str">
            <v>YZ-ZQ1733-K0-3XL</v>
          </cell>
          <cell r="B7597" t="str">
            <v>YZ-ZQ1733</v>
          </cell>
        </row>
        <row r="7598">
          <cell r="A7598" t="str">
            <v>YZ-ZQ1733-K0-L</v>
          </cell>
          <cell r="B7598" t="str">
            <v>YZ-ZQ1733</v>
          </cell>
        </row>
        <row r="7599">
          <cell r="A7599" t="str">
            <v>YZ-ZQ1733-K0-M</v>
          </cell>
          <cell r="B7599" t="str">
            <v>YZ-ZQ1733</v>
          </cell>
        </row>
        <row r="7600">
          <cell r="A7600" t="str">
            <v>YZ-ZQ1733-K0-S</v>
          </cell>
          <cell r="B7600" t="str">
            <v>YZ-ZQ1733</v>
          </cell>
        </row>
        <row r="7601">
          <cell r="A7601" t="str">
            <v>YZ-ZQ1733-K0-XL</v>
          </cell>
          <cell r="B7601" t="str">
            <v>YZ-ZQ1733</v>
          </cell>
        </row>
        <row r="7602">
          <cell r="A7602" t="str">
            <v>YZ-ZQ1733-NB-2XL</v>
          </cell>
          <cell r="B7602" t="str">
            <v>YZ-ZQ1733</v>
          </cell>
        </row>
        <row r="7603">
          <cell r="A7603" t="str">
            <v>YZ-ZQ1733-NB-3XL</v>
          </cell>
          <cell r="B7603" t="str">
            <v>YZ-ZQ1733</v>
          </cell>
        </row>
        <row r="7604">
          <cell r="A7604" t="str">
            <v>YZ-ZQ1733-NB-L</v>
          </cell>
          <cell r="B7604" t="str">
            <v>YZ-ZQ1733</v>
          </cell>
        </row>
        <row r="7605">
          <cell r="A7605" t="str">
            <v>YZ-ZQ1733-NB-M</v>
          </cell>
          <cell r="B7605" t="str">
            <v>YZ-ZQ1733</v>
          </cell>
        </row>
        <row r="7606">
          <cell r="A7606" t="str">
            <v>YZ-ZQ1733-NB-S</v>
          </cell>
          <cell r="B7606" t="str">
            <v>YZ-ZQ1733</v>
          </cell>
        </row>
        <row r="7607">
          <cell r="A7607" t="str">
            <v>YZ-ZQ1733-NB-XL</v>
          </cell>
          <cell r="B7607" t="str">
            <v>YZ-ZQ1733</v>
          </cell>
        </row>
        <row r="7608">
          <cell r="A7608" t="str">
            <v>YZ-ZQ1733-R0-2XL</v>
          </cell>
          <cell r="B7608" t="str">
            <v>YZ-ZQ1733</v>
          </cell>
        </row>
        <row r="7609">
          <cell r="A7609" t="str">
            <v>YZ-ZQ1733-R0-3XL</v>
          </cell>
          <cell r="B7609" t="str">
            <v>YZ-ZQ1733</v>
          </cell>
        </row>
        <row r="7610">
          <cell r="A7610" t="str">
            <v>YZ-ZQ1733-R0-L</v>
          </cell>
          <cell r="B7610" t="str">
            <v>YZ-ZQ1733</v>
          </cell>
        </row>
        <row r="7611">
          <cell r="A7611" t="str">
            <v>YZ-ZQ1733-R0-M</v>
          </cell>
          <cell r="B7611" t="str">
            <v>YZ-ZQ1733</v>
          </cell>
        </row>
        <row r="7612">
          <cell r="A7612" t="str">
            <v>YZ-ZQ1733-R0-S</v>
          </cell>
          <cell r="B7612" t="str">
            <v>YZ-ZQ1733</v>
          </cell>
        </row>
        <row r="7613">
          <cell r="A7613" t="str">
            <v>YZ-ZQ1733-R0-XL</v>
          </cell>
          <cell r="B7613" t="str">
            <v>YZ-ZQ1733</v>
          </cell>
        </row>
        <row r="7614">
          <cell r="A7614" t="str">
            <v>YZ-ZQ1733-SB-2XL</v>
          </cell>
          <cell r="B7614" t="str">
            <v>YZ-ZQ1733</v>
          </cell>
        </row>
        <row r="7615">
          <cell r="A7615" t="str">
            <v>YZ-ZQ1733-SB-3XL</v>
          </cell>
          <cell r="B7615" t="str">
            <v>YZ-ZQ1733</v>
          </cell>
        </row>
        <row r="7616">
          <cell r="A7616" t="str">
            <v>YZ-ZQ1733-SB-L</v>
          </cell>
          <cell r="B7616" t="str">
            <v>YZ-ZQ1733</v>
          </cell>
        </row>
        <row r="7617">
          <cell r="A7617" t="str">
            <v>YZ-ZQ1733-SB-M</v>
          </cell>
          <cell r="B7617" t="str">
            <v>YZ-ZQ1733</v>
          </cell>
        </row>
        <row r="7618">
          <cell r="A7618" t="str">
            <v>YZ-ZQ1733-SB-S</v>
          </cell>
          <cell r="B7618" t="str">
            <v>YZ-ZQ1733</v>
          </cell>
        </row>
        <row r="7619">
          <cell r="A7619" t="str">
            <v>YZ-ZQ1733-SB-XL</v>
          </cell>
          <cell r="B7619" t="str">
            <v>YZ-ZQ1733</v>
          </cell>
        </row>
        <row r="7620">
          <cell r="A7620" t="str">
            <v>YZ-ZQ17845-K0-2X</v>
          </cell>
          <cell r="B7620" t="str">
            <v>YZ-ZQ17845</v>
          </cell>
        </row>
        <row r="7621">
          <cell r="A7621" t="str">
            <v>YZ-ZQ17845-K0-3X</v>
          </cell>
          <cell r="B7621" t="str">
            <v>YZ-ZQ17845</v>
          </cell>
        </row>
        <row r="7622">
          <cell r="A7622" t="str">
            <v>YZ-ZQ17845-K0-4X</v>
          </cell>
          <cell r="B7622" t="str">
            <v>YZ-ZQ17845</v>
          </cell>
        </row>
        <row r="7623">
          <cell r="A7623" t="str">
            <v>YZ-ZQ17845-K0-5X</v>
          </cell>
          <cell r="B7623" t="str">
            <v>YZ-ZQ17845</v>
          </cell>
        </row>
        <row r="7624">
          <cell r="A7624" t="str">
            <v>YZ-ZQ17845-K0-L</v>
          </cell>
          <cell r="B7624" t="str">
            <v>YZ-ZQ17845</v>
          </cell>
        </row>
        <row r="7625">
          <cell r="A7625" t="str">
            <v>YZ-ZQ17845-K0-XL</v>
          </cell>
          <cell r="B7625" t="str">
            <v>YZ-ZQ17845</v>
          </cell>
        </row>
        <row r="7626">
          <cell r="A7626" t="str">
            <v>YZ-ZQ17958P0-2XL</v>
          </cell>
          <cell r="B7626" t="str">
            <v>YZ-ZQ17958</v>
          </cell>
        </row>
        <row r="7627">
          <cell r="A7627" t="str">
            <v>YZ-ZQ17958P0-3XL</v>
          </cell>
          <cell r="B7627" t="str">
            <v>YZ-ZQ17958</v>
          </cell>
        </row>
        <row r="7628">
          <cell r="A7628" t="str">
            <v>YZ-ZQ17958P0-4XL</v>
          </cell>
          <cell r="B7628" t="str">
            <v>YZ-ZQ17958</v>
          </cell>
        </row>
        <row r="7629">
          <cell r="A7629" t="str">
            <v>YZ-ZQ17958P0-5XL</v>
          </cell>
          <cell r="B7629" t="str">
            <v>YZ-ZQ17958</v>
          </cell>
        </row>
        <row r="7630">
          <cell r="A7630" t="str">
            <v>YZ-ZQ17958P0-L</v>
          </cell>
          <cell r="B7630" t="str">
            <v>YZ-ZQ17958</v>
          </cell>
        </row>
        <row r="7631">
          <cell r="A7631" t="str">
            <v>YZ-ZQ17958P0-M</v>
          </cell>
          <cell r="B7631" t="str">
            <v>YZ-ZQ17958</v>
          </cell>
        </row>
        <row r="7632">
          <cell r="A7632" t="str">
            <v>YZ-ZQ17958P0-S</v>
          </cell>
          <cell r="B7632" t="str">
            <v>YZ-ZQ17958</v>
          </cell>
        </row>
        <row r="7633">
          <cell r="A7633" t="str">
            <v>YZ-ZQ17958P0-XL</v>
          </cell>
          <cell r="B7633" t="str">
            <v>YZ-ZQ17958</v>
          </cell>
        </row>
        <row r="7634">
          <cell r="A7634" t="str">
            <v>YZ-ZQ17984-R0-2X</v>
          </cell>
          <cell r="B7634" t="str">
            <v>YZ-ZQ17984</v>
          </cell>
        </row>
        <row r="7635">
          <cell r="A7635" t="str">
            <v>YZ-ZQ17984-R0-3X</v>
          </cell>
          <cell r="B7635" t="str">
            <v>YZ-ZQ17984</v>
          </cell>
        </row>
        <row r="7636">
          <cell r="A7636" t="str">
            <v>YZ-ZQ17984-R0-4X</v>
          </cell>
          <cell r="B7636" t="str">
            <v>YZ-ZQ17984</v>
          </cell>
        </row>
        <row r="7637">
          <cell r="A7637" t="str">
            <v>YZ-ZQ17984-R0-5X</v>
          </cell>
          <cell r="B7637" t="str">
            <v>YZ-ZQ17984</v>
          </cell>
        </row>
        <row r="7638">
          <cell r="A7638" t="str">
            <v>YZ-ZQ17984-R0-L</v>
          </cell>
          <cell r="B7638" t="str">
            <v>YZ-ZQ17984</v>
          </cell>
        </row>
        <row r="7639">
          <cell r="A7639" t="str">
            <v>YZ-ZQ17984-R0-XL</v>
          </cell>
          <cell r="B7639" t="str">
            <v>YZ-ZQ17984</v>
          </cell>
        </row>
        <row r="7640">
          <cell r="A7640" t="str">
            <v>YZ-ZQ17985-P0-2X</v>
          </cell>
          <cell r="B7640" t="str">
            <v>YZ-ZQ17985</v>
          </cell>
        </row>
        <row r="7641">
          <cell r="A7641" t="str">
            <v>YZ-ZQ17985-P0-3X</v>
          </cell>
          <cell r="B7641" t="str">
            <v>YZ-ZQ17985</v>
          </cell>
        </row>
        <row r="7642">
          <cell r="A7642" t="str">
            <v>YZ-ZQ17985-P0-4X</v>
          </cell>
          <cell r="B7642" t="str">
            <v>YZ-ZQ17985</v>
          </cell>
        </row>
        <row r="7643">
          <cell r="A7643" t="str">
            <v>YZ-ZQ17985-P0-5X</v>
          </cell>
          <cell r="B7643" t="str">
            <v>YZ-ZQ17985</v>
          </cell>
        </row>
        <row r="7644">
          <cell r="A7644" t="str">
            <v>YZ-ZQ17985-P0-L</v>
          </cell>
          <cell r="B7644" t="str">
            <v>YZ-ZQ17985</v>
          </cell>
        </row>
        <row r="7645">
          <cell r="A7645" t="str">
            <v>YZ-ZQ17985-P0-M</v>
          </cell>
          <cell r="B7645" t="str">
            <v>YZ-ZQ17985</v>
          </cell>
        </row>
        <row r="7646">
          <cell r="A7646" t="str">
            <v>YZ-ZQ17985-P0-S</v>
          </cell>
          <cell r="B7646" t="str">
            <v>YZ-ZQ17985</v>
          </cell>
        </row>
        <row r="7647">
          <cell r="A7647" t="str">
            <v>YZ-ZQ17985-P0-XL</v>
          </cell>
          <cell r="B7647" t="str">
            <v>YZ-ZQ17985</v>
          </cell>
        </row>
        <row r="7648">
          <cell r="A7648" t="str">
            <v>YZ-ZQ17986W0-2XL</v>
          </cell>
          <cell r="B7648" t="str">
            <v>YZ-ZQ17986</v>
          </cell>
        </row>
        <row r="7649">
          <cell r="A7649" t="str">
            <v>YZ-ZQ17986W0-3XL</v>
          </cell>
          <cell r="B7649" t="str">
            <v>YZ-ZQ17986</v>
          </cell>
        </row>
        <row r="7650">
          <cell r="A7650" t="str">
            <v>YZ-ZQ17986W0-4XL</v>
          </cell>
          <cell r="B7650" t="str">
            <v>YZ-ZQ17986</v>
          </cell>
        </row>
        <row r="7651">
          <cell r="A7651" t="str">
            <v>YZ-ZQ17986W0-5XL</v>
          </cell>
          <cell r="B7651" t="str">
            <v>YZ-ZQ17986</v>
          </cell>
        </row>
        <row r="7652">
          <cell r="A7652" t="str">
            <v>YZ-ZQ17986W0-L</v>
          </cell>
          <cell r="B7652" t="str">
            <v>YZ-ZQ17986</v>
          </cell>
        </row>
        <row r="7653">
          <cell r="A7653" t="str">
            <v>YZ-ZQ17986W0-M</v>
          </cell>
          <cell r="B7653" t="str">
            <v>YZ-ZQ17986</v>
          </cell>
        </row>
        <row r="7654">
          <cell r="A7654" t="str">
            <v>YZ-ZQ17986W0-S</v>
          </cell>
          <cell r="B7654" t="str">
            <v>YZ-ZQ17986</v>
          </cell>
        </row>
        <row r="7655">
          <cell r="A7655" t="str">
            <v>YZ-ZQ17986W0-XL</v>
          </cell>
          <cell r="B7655" t="str">
            <v>YZ-ZQ17986</v>
          </cell>
        </row>
        <row r="7656">
          <cell r="A7656" t="str">
            <v>YZ-ZQ1803-K0-L</v>
          </cell>
          <cell r="B7656" t="str">
            <v>YZ-ZQ1803</v>
          </cell>
        </row>
        <row r="7657">
          <cell r="A7657" t="str">
            <v>YZ-ZQ1803-K0-M</v>
          </cell>
          <cell r="B7657" t="str">
            <v>YZ-ZQ1803</v>
          </cell>
        </row>
        <row r="7658">
          <cell r="A7658" t="str">
            <v>YZ-ZQ1803-K0-XL</v>
          </cell>
          <cell r="B7658" t="str">
            <v>YZ-ZQ1803</v>
          </cell>
        </row>
        <row r="7659">
          <cell r="A7659" t="str">
            <v>YZ-ZQ-18745K0-2X</v>
          </cell>
          <cell r="B7659" t="str">
            <v>YZ-ZQ-18745</v>
          </cell>
        </row>
        <row r="7660">
          <cell r="A7660" t="str">
            <v>YZ-ZQ18745-K0-3X</v>
          </cell>
          <cell r="B7660" t="str">
            <v>YZ-ZQ-18745</v>
          </cell>
        </row>
        <row r="7661">
          <cell r="A7661" t="str">
            <v>YZ-ZQ-18745K0-3X</v>
          </cell>
          <cell r="B7661" t="str">
            <v>YZ-ZQ-18745</v>
          </cell>
        </row>
        <row r="7662">
          <cell r="A7662" t="str">
            <v>YZ-ZQ-18745K0-L</v>
          </cell>
          <cell r="B7662" t="str">
            <v>YZ-ZQ-18745</v>
          </cell>
        </row>
        <row r="7663">
          <cell r="A7663" t="str">
            <v>YZ-ZQ18745-K0-M</v>
          </cell>
          <cell r="B7663" t="str">
            <v>YZ-ZQ-18745</v>
          </cell>
        </row>
        <row r="7664">
          <cell r="A7664" t="str">
            <v>YZ-ZQ-18745K0-M</v>
          </cell>
          <cell r="B7664" t="str">
            <v>YZ-ZQ-18745</v>
          </cell>
        </row>
        <row r="7665">
          <cell r="A7665" t="str">
            <v>YZ-ZQ18745-K0-S</v>
          </cell>
          <cell r="B7665" t="str">
            <v>YZ-ZQ-18745</v>
          </cell>
        </row>
        <row r="7666">
          <cell r="A7666" t="str">
            <v>YZ-ZQ-18745K0-S</v>
          </cell>
          <cell r="B7666" t="str">
            <v>YZ-ZQ-18745</v>
          </cell>
        </row>
        <row r="7667">
          <cell r="A7667" t="str">
            <v>YZ-ZQ18745-K0-XL</v>
          </cell>
          <cell r="B7667" t="str">
            <v>YZ-ZQ-18745</v>
          </cell>
        </row>
        <row r="7668">
          <cell r="A7668" t="str">
            <v>YZ-ZQ-18745K0-XL</v>
          </cell>
          <cell r="B7668" t="str">
            <v>YZ-ZQ-18745</v>
          </cell>
        </row>
        <row r="7669">
          <cell r="A7669" t="str">
            <v>YZ-ZQ18758-K0-2X</v>
          </cell>
          <cell r="B7669" t="str">
            <v>YZ-ZQ18758</v>
          </cell>
        </row>
        <row r="7670">
          <cell r="A7670" t="str">
            <v>YZ-ZQ18758-K0-3X</v>
          </cell>
          <cell r="B7670" t="str">
            <v>YZ-ZQ18758</v>
          </cell>
        </row>
        <row r="7671">
          <cell r="A7671" t="str">
            <v>YZ-ZQ18758-K0-4X</v>
          </cell>
          <cell r="B7671" t="str">
            <v>YZ-ZQ18758</v>
          </cell>
        </row>
        <row r="7672">
          <cell r="A7672" t="str">
            <v>YZ-ZQ18758-K0-5X</v>
          </cell>
          <cell r="B7672" t="str">
            <v>YZ-ZQ18758</v>
          </cell>
        </row>
        <row r="7673">
          <cell r="A7673" t="str">
            <v>YZ-ZQ18758-K0-L</v>
          </cell>
          <cell r="B7673" t="str">
            <v>YZ-ZQ18758</v>
          </cell>
        </row>
        <row r="7674">
          <cell r="A7674" t="str">
            <v>YZ-ZQ18758-K0-M</v>
          </cell>
          <cell r="B7674" t="str">
            <v>YZ-ZQ18758</v>
          </cell>
        </row>
        <row r="7675">
          <cell r="A7675" t="str">
            <v>YZ-ZQ18758-K0-S</v>
          </cell>
          <cell r="B7675" t="str">
            <v>YZ-ZQ18758</v>
          </cell>
        </row>
        <row r="7676">
          <cell r="A7676" t="str">
            <v>YZ-ZQ18758-K0-XL</v>
          </cell>
          <cell r="B7676" t="str">
            <v>YZ-ZQ18758</v>
          </cell>
        </row>
        <row r="7677">
          <cell r="A7677" t="str">
            <v>YZ-ZQ19758-K0-2XL</v>
          </cell>
          <cell r="B7677" t="str">
            <v>YZ-ZQ19758</v>
          </cell>
        </row>
        <row r="7678">
          <cell r="A7678" t="str">
            <v>YZ-ZQ19758-K0-3XL</v>
          </cell>
          <cell r="B7678" t="str">
            <v>YZ-ZQ19758</v>
          </cell>
        </row>
        <row r="7679">
          <cell r="A7679" t="str">
            <v>YZ-ZQ19758-K0-4XL</v>
          </cell>
          <cell r="B7679" t="str">
            <v>YZ-ZQ19758</v>
          </cell>
        </row>
        <row r="7680">
          <cell r="A7680" t="str">
            <v>YZ-ZQ19758-K0-5XL</v>
          </cell>
          <cell r="B7680" t="str">
            <v>YZ-ZQ19758</v>
          </cell>
        </row>
        <row r="7681">
          <cell r="A7681" t="str">
            <v>YZ-ZQ19758-K0-L</v>
          </cell>
          <cell r="B7681" t="str">
            <v>YZ-ZQ19758</v>
          </cell>
        </row>
        <row r="7682">
          <cell r="A7682" t="str">
            <v>YZ-ZQ19758-K0-M</v>
          </cell>
          <cell r="B7682" t="str">
            <v>YZ-ZQ19758</v>
          </cell>
        </row>
        <row r="7683">
          <cell r="A7683" t="str">
            <v>YZ-ZQ19758-K0-S</v>
          </cell>
          <cell r="B7683" t="str">
            <v>YZ-ZQ19758</v>
          </cell>
        </row>
        <row r="7684">
          <cell r="A7684" t="str">
            <v>YZ-ZQ19758-K0-XL</v>
          </cell>
          <cell r="B7684" t="str">
            <v>YZ-ZQ19758</v>
          </cell>
        </row>
        <row r="7685">
          <cell r="A7685" t="str">
            <v>YZ-ZQ298N02XL</v>
          </cell>
          <cell r="B7685" t="str">
            <v>YZ-ZQ298</v>
          </cell>
        </row>
        <row r="7686">
          <cell r="A7686" t="str">
            <v>YZ-ZQ298N03XL</v>
          </cell>
          <cell r="B7686" t="str">
            <v>YZ-ZQ298</v>
          </cell>
        </row>
        <row r="7687">
          <cell r="A7687" t="str">
            <v>YZ-ZQ298N04XL</v>
          </cell>
          <cell r="B7687" t="str">
            <v>YZ-ZQ298</v>
          </cell>
        </row>
        <row r="7688">
          <cell r="A7688" t="str">
            <v>YZ-ZQ298N05XL</v>
          </cell>
          <cell r="B7688" t="str">
            <v>YZ-ZQ298</v>
          </cell>
        </row>
        <row r="7689">
          <cell r="A7689" t="str">
            <v>YZ-ZQ298N0XL</v>
          </cell>
          <cell r="B7689" t="str">
            <v>YZ-ZQ298</v>
          </cell>
        </row>
        <row r="7690">
          <cell r="A7690" t="str">
            <v>YZ-ZQ45984K02XL</v>
          </cell>
          <cell r="B7690" t="str">
            <v>YZ-ZQ45984</v>
          </cell>
        </row>
        <row r="7691">
          <cell r="A7691" t="str">
            <v>YZ-ZQ45984K03XL</v>
          </cell>
          <cell r="B7691" t="str">
            <v>YZ-ZQ45984</v>
          </cell>
        </row>
        <row r="7692">
          <cell r="A7692" t="str">
            <v>YZ-ZQ45984K04XL</v>
          </cell>
          <cell r="B7692" t="str">
            <v>YZ-ZQ45984</v>
          </cell>
        </row>
        <row r="7693">
          <cell r="A7693" t="str">
            <v>YZ-ZQ45984K05XL</v>
          </cell>
          <cell r="B7693" t="str">
            <v>YZ-ZQ45984</v>
          </cell>
        </row>
        <row r="7694">
          <cell r="A7694" t="str">
            <v>YZ-ZQ45984K0L</v>
          </cell>
          <cell r="B7694" t="str">
            <v>YZ-ZQ45984</v>
          </cell>
        </row>
        <row r="7695">
          <cell r="A7695" t="str">
            <v>YZ-ZQ45984K0M</v>
          </cell>
          <cell r="B7695" t="str">
            <v>YZ-ZQ45984</v>
          </cell>
        </row>
        <row r="7696">
          <cell r="A7696" t="str">
            <v>YZ-ZQ45984K0XL</v>
          </cell>
          <cell r="B7696" t="str">
            <v>YZ-ZQ45984</v>
          </cell>
        </row>
        <row r="7697">
          <cell r="A7697" t="str">
            <v>YZ-ZQ47121-K0-L</v>
          </cell>
          <cell r="B7697" t="str">
            <v>YZ-ZQ47121</v>
          </cell>
        </row>
        <row r="7698">
          <cell r="A7698" t="str">
            <v>YZ-ZQ47121-K0-M</v>
          </cell>
          <cell r="B7698" t="str">
            <v>YZ-ZQ47121</v>
          </cell>
        </row>
        <row r="7699">
          <cell r="A7699" t="str">
            <v>YZ-ZQ47121-K0-S</v>
          </cell>
          <cell r="B7699" t="str">
            <v>YZ-ZQ47121</v>
          </cell>
        </row>
        <row r="7700">
          <cell r="A7700" t="str">
            <v>YZ-ZQ511K02XL</v>
          </cell>
          <cell r="B7700" t="str">
            <v>YZ-ZQ511</v>
          </cell>
        </row>
        <row r="7701">
          <cell r="A7701" t="str">
            <v>YZ-ZQ511K03XL</v>
          </cell>
          <cell r="B7701" t="str">
            <v>YZ-ZQ511</v>
          </cell>
        </row>
        <row r="7702">
          <cell r="A7702" t="str">
            <v>YZ-ZQ511K04XL</v>
          </cell>
          <cell r="B7702" t="str">
            <v>YZ-ZQ511</v>
          </cell>
        </row>
        <row r="7703">
          <cell r="A7703" t="str">
            <v>YZ-ZQ511K05XL</v>
          </cell>
          <cell r="B7703" t="str">
            <v>YZ-ZQ511</v>
          </cell>
        </row>
        <row r="7704">
          <cell r="A7704" t="str">
            <v>YZ-ZQ511K06XL</v>
          </cell>
          <cell r="B7704" t="str">
            <v>YZ-ZQ511</v>
          </cell>
        </row>
        <row r="7705">
          <cell r="A7705" t="str">
            <v>YZ-ZQ511K0L</v>
          </cell>
          <cell r="B7705" t="str">
            <v>YZ-ZQ511</v>
          </cell>
        </row>
        <row r="7706">
          <cell r="A7706" t="str">
            <v>YZ-ZQ511K0XL</v>
          </cell>
          <cell r="B7706" t="str">
            <v>YZ-ZQ511</v>
          </cell>
        </row>
        <row r="7707">
          <cell r="A7707" t="str">
            <v>YZ-ZQ511R22XL</v>
          </cell>
          <cell r="B7707" t="str">
            <v>YZ-ZQ511</v>
          </cell>
        </row>
        <row r="7708">
          <cell r="A7708" t="str">
            <v>YZ-ZQ511R23XL</v>
          </cell>
          <cell r="B7708" t="str">
            <v>YZ-ZQ511</v>
          </cell>
        </row>
        <row r="7709">
          <cell r="A7709" t="str">
            <v>YZ-ZQ511R24XL</v>
          </cell>
          <cell r="B7709" t="str">
            <v>YZ-ZQ511</v>
          </cell>
        </row>
        <row r="7710">
          <cell r="A7710" t="str">
            <v>YZ-ZQ511R25XL</v>
          </cell>
          <cell r="B7710" t="str">
            <v>YZ-ZQ511</v>
          </cell>
        </row>
        <row r="7711">
          <cell r="A7711" t="str">
            <v>YZ-ZQ511R2L</v>
          </cell>
          <cell r="B7711" t="str">
            <v>YZ-ZQ511</v>
          </cell>
        </row>
        <row r="7712">
          <cell r="A7712" t="str">
            <v>YZ-ZQ511R2XL</v>
          </cell>
          <cell r="B7712" t="str">
            <v>YZ-ZQ511</v>
          </cell>
        </row>
        <row r="7713">
          <cell r="A7713" t="str">
            <v>YZ-ZQ511Z22XL</v>
          </cell>
          <cell r="B7713" t="str">
            <v>YZ-ZQ511</v>
          </cell>
        </row>
        <row r="7714">
          <cell r="A7714" t="str">
            <v>YZ-ZQ511Z23XL</v>
          </cell>
          <cell r="B7714" t="str">
            <v>YZ-ZQ511</v>
          </cell>
        </row>
        <row r="7715">
          <cell r="A7715" t="str">
            <v>YZ-ZQ511Z2L</v>
          </cell>
          <cell r="B7715" t="str">
            <v>YZ-ZQ511</v>
          </cell>
        </row>
        <row r="7716">
          <cell r="A7716" t="str">
            <v>YZ-ZQ511Z2XL</v>
          </cell>
          <cell r="B7716" t="str">
            <v>YZ-ZQ511</v>
          </cell>
        </row>
        <row r="7717">
          <cell r="A7717" t="str">
            <v>YZ-ZQ565-R0-L</v>
          </cell>
          <cell r="B7717" t="str">
            <v>YZ-ZQ565</v>
          </cell>
        </row>
        <row r="7718">
          <cell r="A7718" t="str">
            <v>YZ-ZQ565-R0-M</v>
          </cell>
          <cell r="B7718" t="str">
            <v>YZ-ZQ565</v>
          </cell>
        </row>
        <row r="7719">
          <cell r="A7719" t="str">
            <v>YZ-ZQ565-R0-S</v>
          </cell>
          <cell r="B7719" t="str">
            <v>YZ-ZQ565</v>
          </cell>
        </row>
        <row r="7720">
          <cell r="A7720" t="str">
            <v>YZ-ZQ565-R0-XL</v>
          </cell>
          <cell r="B7720" t="str">
            <v>YZ-ZQ565</v>
          </cell>
        </row>
        <row r="7721">
          <cell r="A7721" t="str">
            <v>YZ-ZQ5839B03XL</v>
          </cell>
          <cell r="B7721" t="str">
            <v>YZ-ZQ5839</v>
          </cell>
        </row>
        <row r="7722">
          <cell r="A7722" t="str">
            <v>YZ-ZQ5839R24XL</v>
          </cell>
          <cell r="B7722" t="str">
            <v>YZ-ZQ5839</v>
          </cell>
        </row>
        <row r="7723">
          <cell r="A7723" t="str">
            <v>YZ-ZQ5999-Y0-2X</v>
          </cell>
          <cell r="B7723" t="str">
            <v>YZ-ZQ5999</v>
          </cell>
        </row>
        <row r="7724">
          <cell r="A7724" t="str">
            <v>YZ-ZQ5999-Y0-L</v>
          </cell>
          <cell r="B7724" t="str">
            <v>YZ-ZQ5999</v>
          </cell>
        </row>
        <row r="7725">
          <cell r="A7725" t="str">
            <v>YZ-ZQ5999-Y0-M</v>
          </cell>
          <cell r="B7725" t="str">
            <v>YZ-ZQ5999</v>
          </cell>
        </row>
        <row r="7726">
          <cell r="A7726" t="str">
            <v>YZ-ZQ5999-Y0-XL</v>
          </cell>
          <cell r="B7726" t="str">
            <v>YZ-ZQ5999</v>
          </cell>
        </row>
        <row r="7727">
          <cell r="A7727" t="str">
            <v>YZ-ZQ6189B046</v>
          </cell>
          <cell r="B7727" t="str">
            <v>YZ-ZQ6189</v>
          </cell>
        </row>
        <row r="7728">
          <cell r="A7728" t="str">
            <v>YZ-ZQ6189B048</v>
          </cell>
          <cell r="B7728" t="str">
            <v>YZ-ZQ6189</v>
          </cell>
        </row>
        <row r="7729">
          <cell r="A7729" t="str">
            <v>YZ-ZQ6189B050</v>
          </cell>
          <cell r="B7729" t="str">
            <v>YZ-ZQ6189</v>
          </cell>
        </row>
        <row r="7730">
          <cell r="A7730" t="str">
            <v>YZ-ZQ6189B052</v>
          </cell>
          <cell r="B7730" t="str">
            <v>YZ-ZQ6189</v>
          </cell>
        </row>
        <row r="7731">
          <cell r="A7731" t="str">
            <v>YZ-ZQ6189B054</v>
          </cell>
          <cell r="B7731" t="str">
            <v>YZ-ZQ6189</v>
          </cell>
        </row>
        <row r="7732">
          <cell r="A7732" t="str">
            <v>YZ-ZQ6189G046</v>
          </cell>
          <cell r="B7732" t="str">
            <v>YZ-ZQ6189</v>
          </cell>
        </row>
        <row r="7733">
          <cell r="A7733" t="str">
            <v>YZ-ZQ6189G048</v>
          </cell>
          <cell r="B7733" t="str">
            <v>YZ-ZQ6189</v>
          </cell>
        </row>
        <row r="7734">
          <cell r="A7734" t="str">
            <v>YZ-ZQ6189G050</v>
          </cell>
          <cell r="B7734" t="str">
            <v>YZ-ZQ6189</v>
          </cell>
        </row>
        <row r="7735">
          <cell r="A7735" t="str">
            <v>YZ-ZQ6189G052</v>
          </cell>
          <cell r="B7735" t="str">
            <v>YZ-ZQ6189</v>
          </cell>
        </row>
        <row r="7736">
          <cell r="A7736" t="str">
            <v>YZ-ZQ6189P048</v>
          </cell>
          <cell r="B7736" t="str">
            <v>YZ-ZQ6189</v>
          </cell>
        </row>
        <row r="7737">
          <cell r="A7737" t="str">
            <v>YZ-ZQ6189P050</v>
          </cell>
          <cell r="B7737" t="str">
            <v>YZ-ZQ6189</v>
          </cell>
        </row>
        <row r="7738">
          <cell r="A7738" t="str">
            <v>YZ-ZQ6189P052</v>
          </cell>
          <cell r="B7738" t="str">
            <v>YZ-ZQ6189</v>
          </cell>
        </row>
        <row r="7739">
          <cell r="A7739" t="str">
            <v>YZ-ZQ6189P054</v>
          </cell>
          <cell r="B7739" t="str">
            <v>YZ-ZQ6189</v>
          </cell>
        </row>
        <row r="7740">
          <cell r="A7740" t="str">
            <v>YZ-ZQ6189Y046</v>
          </cell>
          <cell r="B7740" t="str">
            <v>YZ-ZQ6189</v>
          </cell>
        </row>
        <row r="7741">
          <cell r="A7741" t="str">
            <v>YZ-ZQ6189Y048</v>
          </cell>
          <cell r="B7741" t="str">
            <v>YZ-ZQ6189</v>
          </cell>
        </row>
        <row r="7742">
          <cell r="A7742" t="str">
            <v>YZ-ZQ6189Y050</v>
          </cell>
          <cell r="B7742" t="str">
            <v>YZ-ZQ6189</v>
          </cell>
        </row>
        <row r="7743">
          <cell r="A7743" t="str">
            <v>YZ-ZQ6189Y052</v>
          </cell>
          <cell r="B7743" t="str">
            <v>YZ-ZQ6189</v>
          </cell>
        </row>
        <row r="7744">
          <cell r="A7744" t="str">
            <v>YZ-ZQ6189Y054</v>
          </cell>
          <cell r="B7744" t="str">
            <v>YZ-ZQ6189</v>
          </cell>
        </row>
        <row r="7745">
          <cell r="A7745" t="str">
            <v>YZ-ZQ6258B048</v>
          </cell>
          <cell r="B7745" t="str">
            <v>YZ-ZQ6258</v>
          </cell>
        </row>
        <row r="7746">
          <cell r="A7746" t="str">
            <v>YZ-ZQ6258B050</v>
          </cell>
          <cell r="B7746" t="str">
            <v>YZ-ZQ6258</v>
          </cell>
        </row>
        <row r="7747">
          <cell r="A7747" t="str">
            <v>YZ-ZQ6258B052</v>
          </cell>
          <cell r="B7747" t="str">
            <v>YZ-ZQ6258</v>
          </cell>
        </row>
        <row r="7748">
          <cell r="A7748" t="str">
            <v>YZ-ZQ6258K048</v>
          </cell>
          <cell r="B7748" t="str">
            <v>YZ-ZQ6258</v>
          </cell>
        </row>
        <row r="7749">
          <cell r="A7749" t="str">
            <v>YZ-ZQ6258K050</v>
          </cell>
          <cell r="B7749" t="str">
            <v>YZ-ZQ6258</v>
          </cell>
        </row>
        <row r="7750">
          <cell r="A7750" t="str">
            <v>YZ-ZQ6258K052</v>
          </cell>
          <cell r="B7750" t="str">
            <v>YZ-ZQ6258</v>
          </cell>
        </row>
        <row r="7751">
          <cell r="A7751" t="str">
            <v>YZ-ZQ6258T048</v>
          </cell>
          <cell r="B7751" t="str">
            <v>YZ-ZQ6258</v>
          </cell>
        </row>
        <row r="7752">
          <cell r="A7752" t="str">
            <v>YZ-ZQ6258T050</v>
          </cell>
          <cell r="B7752" t="str">
            <v>YZ-ZQ6258</v>
          </cell>
        </row>
        <row r="7753">
          <cell r="A7753" t="str">
            <v>YZ-ZQ6667G044</v>
          </cell>
          <cell r="B7753" t="str">
            <v>YZ-ZQ6667</v>
          </cell>
        </row>
        <row r="7754">
          <cell r="A7754" t="str">
            <v>YZ-ZQ6667G046</v>
          </cell>
          <cell r="B7754" t="str">
            <v>YZ-ZQ6667</v>
          </cell>
        </row>
        <row r="7755">
          <cell r="A7755" t="str">
            <v>YZ-ZQ6667G048</v>
          </cell>
          <cell r="B7755" t="str">
            <v>YZ-ZQ6667</v>
          </cell>
        </row>
        <row r="7756">
          <cell r="A7756" t="str">
            <v>YZ-ZQ6667G050</v>
          </cell>
          <cell r="B7756" t="str">
            <v>YZ-ZQ6667</v>
          </cell>
        </row>
        <row r="7757">
          <cell r="A7757" t="str">
            <v>YZ-ZQ6667G052</v>
          </cell>
          <cell r="B7757" t="str">
            <v>YZ-ZQ6667</v>
          </cell>
        </row>
        <row r="7758">
          <cell r="A7758" t="str">
            <v>YZ-ZQ6667G054</v>
          </cell>
          <cell r="B7758" t="str">
            <v>YZ-ZQ6667</v>
          </cell>
        </row>
        <row r="7759">
          <cell r="A7759" t="str">
            <v>YZ-ZQ6667R044</v>
          </cell>
          <cell r="B7759" t="str">
            <v>YZ-ZQ6667</v>
          </cell>
        </row>
        <row r="7760">
          <cell r="A7760" t="str">
            <v>YZ-ZQ6667R046</v>
          </cell>
          <cell r="B7760" t="str">
            <v>YZ-ZQ6667</v>
          </cell>
        </row>
        <row r="7761">
          <cell r="A7761" t="str">
            <v>YZ-ZQ6667R048</v>
          </cell>
          <cell r="B7761" t="str">
            <v>YZ-ZQ6667</v>
          </cell>
        </row>
        <row r="7762">
          <cell r="A7762" t="str">
            <v>YZ-ZQ6667R050</v>
          </cell>
          <cell r="B7762" t="str">
            <v>YZ-ZQ6667</v>
          </cell>
        </row>
        <row r="7763">
          <cell r="A7763" t="str">
            <v>YZ-ZQ6667R052</v>
          </cell>
          <cell r="B7763" t="str">
            <v>YZ-ZQ6667</v>
          </cell>
        </row>
        <row r="7764">
          <cell r="A7764" t="str">
            <v>YZ-ZQ6667R054</v>
          </cell>
          <cell r="B7764" t="str">
            <v>YZ-ZQ6667</v>
          </cell>
        </row>
        <row r="7765">
          <cell r="A7765" t="str">
            <v>YZ-ZQ6667ZL44</v>
          </cell>
          <cell r="B7765" t="str">
            <v>YZ-ZQ6667</v>
          </cell>
        </row>
        <row r="7766">
          <cell r="A7766" t="str">
            <v>YZ-ZQ6667ZL46</v>
          </cell>
          <cell r="B7766" t="str">
            <v>YZ-ZQ6667</v>
          </cell>
        </row>
        <row r="7767">
          <cell r="A7767" t="str">
            <v>YZ-ZQ6667ZL48</v>
          </cell>
          <cell r="B7767" t="str">
            <v>YZ-ZQ6667</v>
          </cell>
        </row>
        <row r="7768">
          <cell r="A7768" t="str">
            <v>YZ-ZQ6667ZL50</v>
          </cell>
          <cell r="B7768" t="str">
            <v>YZ-ZQ6667</v>
          </cell>
        </row>
        <row r="7769">
          <cell r="A7769" t="str">
            <v>YZ-ZQ6667ZL52</v>
          </cell>
          <cell r="B7769" t="str">
            <v>YZ-ZQ6667</v>
          </cell>
        </row>
        <row r="7770">
          <cell r="A7770" t="str">
            <v>YZ-ZQ6667ZL54</v>
          </cell>
          <cell r="B7770" t="str">
            <v>YZ-ZQ6667</v>
          </cell>
        </row>
        <row r="7771">
          <cell r="A7771" t="str">
            <v>YZ-ZQ6922-B0-L</v>
          </cell>
          <cell r="B7771" t="str">
            <v>YZ-ZQ6922</v>
          </cell>
        </row>
        <row r="7772">
          <cell r="A7772" t="str">
            <v>YZ-ZQ6922-B0-M</v>
          </cell>
          <cell r="B7772" t="str">
            <v>YZ-ZQ6922</v>
          </cell>
        </row>
        <row r="7773">
          <cell r="A7773" t="str">
            <v>YZ-ZQ6922-B0-S</v>
          </cell>
          <cell r="B7773" t="str">
            <v>YZ-ZQ6922</v>
          </cell>
        </row>
        <row r="7774">
          <cell r="A7774" t="str">
            <v>YZ-ZQ6922-B0-XL</v>
          </cell>
          <cell r="B7774" t="str">
            <v>YZ-ZQ6922</v>
          </cell>
        </row>
        <row r="7775">
          <cell r="A7775" t="str">
            <v>YZ-ZQ7777B014</v>
          </cell>
          <cell r="B7775" t="str">
            <v>YZ-ZQ7777</v>
          </cell>
        </row>
        <row r="7776">
          <cell r="A7776" t="str">
            <v>YZ-ZQ7777B016</v>
          </cell>
          <cell r="B7776" t="str">
            <v>YZ-ZQ7777</v>
          </cell>
        </row>
        <row r="7777">
          <cell r="A7777" t="str">
            <v>YZ-ZQ7777B018</v>
          </cell>
          <cell r="B7777" t="str">
            <v>YZ-ZQ7777</v>
          </cell>
        </row>
        <row r="7778">
          <cell r="A7778" t="str">
            <v>YZ-ZQ7777B020</v>
          </cell>
          <cell r="B7778" t="str">
            <v>YZ-ZQ7777</v>
          </cell>
        </row>
        <row r="7779">
          <cell r="A7779" t="str">
            <v>YZ-ZQ7777R012</v>
          </cell>
          <cell r="B7779" t="str">
            <v>YZ-ZQ7777</v>
          </cell>
        </row>
        <row r="7780">
          <cell r="A7780" t="str">
            <v>YZ-ZQ7777R014</v>
          </cell>
          <cell r="B7780" t="str">
            <v>YZ-ZQ7777</v>
          </cell>
        </row>
        <row r="7781">
          <cell r="A7781" t="str">
            <v>YZ-ZQ7777R016</v>
          </cell>
          <cell r="B7781" t="str">
            <v>YZ-ZQ7777</v>
          </cell>
        </row>
        <row r="7782">
          <cell r="A7782" t="str">
            <v>YZ-ZQ7777R018</v>
          </cell>
          <cell r="B7782" t="str">
            <v>YZ-ZQ7777</v>
          </cell>
        </row>
        <row r="7783">
          <cell r="A7783" t="str">
            <v>YZ-ZQ7777R020</v>
          </cell>
          <cell r="B7783" t="str">
            <v>YZ-ZQ7777</v>
          </cell>
        </row>
        <row r="7784">
          <cell r="A7784" t="str">
            <v>YZ-ZQ789K02XL</v>
          </cell>
          <cell r="B7784" t="str">
            <v>YZ-ZQ789</v>
          </cell>
        </row>
        <row r="7785">
          <cell r="A7785" t="str">
            <v>YZ-ZQ789K03XL</v>
          </cell>
          <cell r="B7785" t="str">
            <v>YZ-ZQ789</v>
          </cell>
        </row>
        <row r="7786">
          <cell r="A7786" t="str">
            <v>YZ-ZQ789K04XL</v>
          </cell>
          <cell r="B7786" t="str">
            <v>YZ-ZQ789</v>
          </cell>
        </row>
        <row r="7787">
          <cell r="A7787" t="str">
            <v>YZ-ZQ789K05XL</v>
          </cell>
          <cell r="B7787" t="str">
            <v>YZ-ZQ789</v>
          </cell>
        </row>
        <row r="7788">
          <cell r="A7788" t="str">
            <v>YZ-ZQ789K0L</v>
          </cell>
          <cell r="B7788" t="str">
            <v>YZ-ZQ789</v>
          </cell>
        </row>
        <row r="7789">
          <cell r="A7789" t="str">
            <v>YZ-ZQ789K0XL</v>
          </cell>
          <cell r="B7789" t="str">
            <v>YZ-ZQ789</v>
          </cell>
        </row>
        <row r="7790">
          <cell r="A7790" t="str">
            <v>YZ-ZQ8639-W0-L</v>
          </cell>
          <cell r="B7790" t="str">
            <v>YZ-ZQ8639</v>
          </cell>
        </row>
        <row r="7791">
          <cell r="A7791" t="str">
            <v>YZ-ZQ8639-W0-M</v>
          </cell>
          <cell r="B7791" t="str">
            <v>YZ-ZQ8639</v>
          </cell>
        </row>
        <row r="7792">
          <cell r="A7792" t="str">
            <v>YZ-ZQ8639-W0-S</v>
          </cell>
          <cell r="B7792" t="str">
            <v>YZ-ZQ8639</v>
          </cell>
        </row>
        <row r="7793">
          <cell r="A7793" t="str">
            <v>YZ-ZQ8699-K0-2X</v>
          </cell>
          <cell r="B7793" t="str">
            <v>YZ-ZQ8699</v>
          </cell>
        </row>
        <row r="7794">
          <cell r="A7794" t="str">
            <v>YZ-ZQ8699-K0-2X-GM</v>
          </cell>
          <cell r="B7794" t="str">
            <v>YZ-ZQ8699</v>
          </cell>
        </row>
        <row r="7795">
          <cell r="A7795" t="str">
            <v>YZ-ZQ8699-K0-3X</v>
          </cell>
          <cell r="B7795" t="str">
            <v>YZ-ZQ8699</v>
          </cell>
        </row>
        <row r="7796">
          <cell r="A7796" t="str">
            <v>YZ-ZQ8699-K0-3X-GM</v>
          </cell>
          <cell r="B7796" t="str">
            <v>YZ-ZQ8699</v>
          </cell>
        </row>
        <row r="7797">
          <cell r="A7797" t="str">
            <v>YZ-ZQ8699-K0-L</v>
          </cell>
          <cell r="B7797" t="str">
            <v>YZ-ZQ8699</v>
          </cell>
        </row>
        <row r="7798">
          <cell r="A7798" t="str">
            <v>YZ-ZQ8699-K0-XL</v>
          </cell>
          <cell r="B7798" t="str">
            <v>YZ-ZQ8699</v>
          </cell>
        </row>
        <row r="7799">
          <cell r="A7799" t="str">
            <v>YZ-ZQ8867-B0-L</v>
          </cell>
          <cell r="B7799" t="str">
            <v>YZ-ZQ8867</v>
          </cell>
        </row>
        <row r="7800">
          <cell r="A7800" t="str">
            <v>YZ-ZQ8867-B0-M</v>
          </cell>
          <cell r="B7800" t="str">
            <v>YZ-ZQ8867</v>
          </cell>
        </row>
        <row r="7801">
          <cell r="A7801" t="str">
            <v>YZ-ZQ8867-B0-S</v>
          </cell>
          <cell r="B7801" t="str">
            <v>YZ-ZQ8867</v>
          </cell>
        </row>
        <row r="7802">
          <cell r="A7802" t="str">
            <v>YZ-ZQ8867-B0-XL</v>
          </cell>
          <cell r="B7802" t="str">
            <v>YZ-ZQ8867</v>
          </cell>
        </row>
        <row r="7803">
          <cell r="A7803" t="str">
            <v>YZ-ZQA100-B0-L</v>
          </cell>
          <cell r="B7803" t="str">
            <v>YZ-ZQA100</v>
          </cell>
        </row>
        <row r="7804">
          <cell r="A7804" t="str">
            <v>YZ-ZQA100-B0-M</v>
          </cell>
          <cell r="B7804" t="str">
            <v>YZ-ZQA100</v>
          </cell>
        </row>
        <row r="7805">
          <cell r="A7805" t="str">
            <v>YZ-ZQA100-B0-S</v>
          </cell>
          <cell r="B7805" t="str">
            <v>YZ-ZQA100</v>
          </cell>
        </row>
        <row r="7806">
          <cell r="A7806" t="str">
            <v>YZ-ZQA100-B0-XL</v>
          </cell>
          <cell r="B7806" t="str">
            <v>YZ-ZQA100</v>
          </cell>
        </row>
        <row r="7807">
          <cell r="A7807" t="str">
            <v>YZ-ZQA100-G0-2XL</v>
          </cell>
          <cell r="B7807" t="str">
            <v>YZ-ZQA100</v>
          </cell>
        </row>
        <row r="7808">
          <cell r="A7808" t="str">
            <v>YZ-ZQA100-G0-L</v>
          </cell>
          <cell r="B7808" t="str">
            <v>YZ-ZQA100</v>
          </cell>
        </row>
        <row r="7809">
          <cell r="A7809" t="str">
            <v>YZ-ZQA100-G0-M</v>
          </cell>
          <cell r="B7809" t="str">
            <v>YZ-ZQA100</v>
          </cell>
        </row>
        <row r="7810">
          <cell r="A7810" t="str">
            <v>YZ-ZQA100-G0-XL</v>
          </cell>
          <cell r="B7810" t="str">
            <v>YZ-ZQA100</v>
          </cell>
        </row>
        <row r="7811">
          <cell r="A7811" t="str">
            <v>YZ-ZQA10-B0-2XL</v>
          </cell>
          <cell r="B7811" t="str">
            <v>YZ-ZQA10</v>
          </cell>
        </row>
        <row r="7812">
          <cell r="A7812" t="str">
            <v>YZ-ZQA10-B0-3XL</v>
          </cell>
          <cell r="B7812" t="str">
            <v>YZ-ZQA10</v>
          </cell>
        </row>
        <row r="7813">
          <cell r="A7813" t="str">
            <v>YZ-ZQA10-B0-L</v>
          </cell>
          <cell r="B7813" t="str">
            <v>YZ-ZQA10</v>
          </cell>
        </row>
        <row r="7814">
          <cell r="A7814" t="str">
            <v>YZ-ZQA10-B0-XL</v>
          </cell>
          <cell r="B7814" t="str">
            <v>YZ-ZQA10</v>
          </cell>
        </row>
        <row r="7815">
          <cell r="A7815" t="str">
            <v>YZ-ZQA31-K0-L</v>
          </cell>
          <cell r="B7815" t="str">
            <v>YZ-ZQA31</v>
          </cell>
        </row>
        <row r="7816">
          <cell r="A7816" t="str">
            <v>YZ-ZQA31-K0-M</v>
          </cell>
          <cell r="B7816" t="str">
            <v>YZ-ZQA31</v>
          </cell>
        </row>
        <row r="7817">
          <cell r="A7817" t="str">
            <v>YZ-ZQA31-K0-XL</v>
          </cell>
          <cell r="B7817" t="str">
            <v>YZ-ZQA31</v>
          </cell>
        </row>
        <row r="7818">
          <cell r="A7818" t="str">
            <v>YZ-ZQA31-ZL-L</v>
          </cell>
          <cell r="B7818" t="str">
            <v>YZ-ZQA31</v>
          </cell>
        </row>
        <row r="7819">
          <cell r="A7819" t="str">
            <v>YZ-ZQA31-ZL-M</v>
          </cell>
          <cell r="B7819" t="str">
            <v>YZ-ZQA31</v>
          </cell>
        </row>
        <row r="7820">
          <cell r="A7820" t="str">
            <v>YZ-ZQA31-ZL-XL</v>
          </cell>
          <cell r="B7820" t="str">
            <v>YZ-ZQA31</v>
          </cell>
        </row>
        <row r="7821">
          <cell r="A7821" t="str">
            <v>YZ-ZQadn1601-B1-L</v>
          </cell>
          <cell r="B7821" t="str">
            <v>YZ-ZQadn1601</v>
          </cell>
        </row>
        <row r="7822">
          <cell r="A7822" t="str">
            <v>YZ-ZQadn1601-B1-M</v>
          </cell>
          <cell r="B7822" t="str">
            <v>YZ-ZQadn1601</v>
          </cell>
        </row>
        <row r="7823">
          <cell r="A7823" t="str">
            <v>YZ-ZQadn1601-B1-S</v>
          </cell>
          <cell r="B7823" t="str">
            <v>YZ-ZQadn1601</v>
          </cell>
        </row>
        <row r="7824">
          <cell r="A7824" t="str">
            <v>YZ-ZQadn1601-B1-XL</v>
          </cell>
          <cell r="B7824" t="str">
            <v>YZ-ZQadn1601</v>
          </cell>
        </row>
        <row r="7825">
          <cell r="A7825" t="str">
            <v>YZ-ZQBL03-K0-2X</v>
          </cell>
          <cell r="B7825" t="str">
            <v>YZ-ZQBL03</v>
          </cell>
        </row>
        <row r="7826">
          <cell r="A7826" t="str">
            <v>YZ-ZQBL03-K0-3X</v>
          </cell>
          <cell r="B7826" t="str">
            <v>YZ-ZQBL03</v>
          </cell>
        </row>
        <row r="7827">
          <cell r="A7827" t="str">
            <v>YZ-ZQBL03-K0-L</v>
          </cell>
          <cell r="B7827" t="str">
            <v>YZ-ZQBL03</v>
          </cell>
        </row>
        <row r="7828">
          <cell r="A7828" t="str">
            <v>YZ-ZQBL03-K0-M</v>
          </cell>
          <cell r="B7828" t="str">
            <v>YZ-ZQBL03</v>
          </cell>
        </row>
        <row r="7829">
          <cell r="A7829" t="str">
            <v>YZ-ZQBL03-K0-S</v>
          </cell>
          <cell r="B7829" t="str">
            <v>YZ-ZQBL03</v>
          </cell>
        </row>
        <row r="7830">
          <cell r="A7830" t="str">
            <v>YZ-ZQBL03-K0-XL</v>
          </cell>
          <cell r="B7830" t="str">
            <v>YZ-ZQBL03</v>
          </cell>
        </row>
        <row r="7831">
          <cell r="A7831" t="str">
            <v>YZ-ZQF5802B04XL</v>
          </cell>
          <cell r="B7831" t="str">
            <v>YZ-ZQF5802</v>
          </cell>
        </row>
        <row r="7832">
          <cell r="A7832" t="str">
            <v>YZ-ZQF5802B05XL</v>
          </cell>
          <cell r="B7832" t="str">
            <v>YZ-ZQF5802</v>
          </cell>
        </row>
        <row r="7833">
          <cell r="A7833" t="str">
            <v>YZ-ZQF5802G04XL</v>
          </cell>
          <cell r="B7833" t="str">
            <v>YZ-ZQF5802</v>
          </cell>
        </row>
        <row r="7834">
          <cell r="A7834" t="str">
            <v>YZ-ZQF5802G05XL</v>
          </cell>
          <cell r="B7834" t="str">
            <v>YZ-ZQF5802</v>
          </cell>
        </row>
        <row r="7835">
          <cell r="A7835" t="str">
            <v>YZ-ZQFT1816-O0-2X</v>
          </cell>
          <cell r="B7835" t="str">
            <v>YZ-ZQFT1816</v>
          </cell>
        </row>
        <row r="7836">
          <cell r="A7836" t="str">
            <v>YZ-ZQFT1816-O0-3X</v>
          </cell>
          <cell r="B7836" t="str">
            <v>YZ-ZQFT1816</v>
          </cell>
        </row>
        <row r="7837">
          <cell r="A7837" t="str">
            <v>YZ-ZQFT1816-O0-4X</v>
          </cell>
          <cell r="B7837" t="str">
            <v>YZ-ZQFT1816</v>
          </cell>
        </row>
        <row r="7838">
          <cell r="A7838" t="str">
            <v>YZ-ZQFT1816-O0-5X</v>
          </cell>
          <cell r="B7838" t="str">
            <v>YZ-ZQFT1816</v>
          </cell>
        </row>
        <row r="7839">
          <cell r="A7839" t="str">
            <v>YZ-ZQFT1816-O0-L</v>
          </cell>
          <cell r="B7839" t="str">
            <v>YZ-ZQFT1816</v>
          </cell>
        </row>
        <row r="7840">
          <cell r="A7840" t="str">
            <v>YZ-ZQFT1816-O0-M</v>
          </cell>
          <cell r="B7840" t="str">
            <v>YZ-ZQFT1816</v>
          </cell>
        </row>
        <row r="7841">
          <cell r="A7841" t="str">
            <v>YZ-ZQFT1816-O0-S</v>
          </cell>
          <cell r="B7841" t="str">
            <v>YZ-ZQFT1816</v>
          </cell>
        </row>
        <row r="7842">
          <cell r="A7842" t="str">
            <v>YZ-ZQFT1816-O0-XL</v>
          </cell>
          <cell r="B7842" t="str">
            <v>YZ-ZQFT1816</v>
          </cell>
        </row>
        <row r="7843">
          <cell r="A7843" t="str">
            <v>YZ-ZQFT1816-Y0-2X</v>
          </cell>
          <cell r="B7843" t="str">
            <v>YZ-ZQFT1816</v>
          </cell>
        </row>
        <row r="7844">
          <cell r="A7844" t="str">
            <v>YZ-ZQFT1816-Y0-3X</v>
          </cell>
          <cell r="B7844" t="str">
            <v>YZ-ZQFT1816</v>
          </cell>
        </row>
        <row r="7845">
          <cell r="A7845" t="str">
            <v>YZ-ZQFT1816-Y0-4X</v>
          </cell>
          <cell r="B7845" t="str">
            <v>YZ-ZQFT1816</v>
          </cell>
        </row>
        <row r="7846">
          <cell r="A7846" t="str">
            <v>YZ-ZQFT1816-Y0-5X</v>
          </cell>
          <cell r="B7846" t="str">
            <v>YZ-ZQFT1816</v>
          </cell>
        </row>
        <row r="7847">
          <cell r="A7847" t="str">
            <v>YZ-ZQFT1816-Y0-L</v>
          </cell>
          <cell r="B7847" t="str">
            <v>YZ-ZQFT1816</v>
          </cell>
        </row>
        <row r="7848">
          <cell r="A7848" t="str">
            <v>YZ-ZQFT1816-Y0-M</v>
          </cell>
          <cell r="B7848" t="str">
            <v>YZ-ZQFT1816</v>
          </cell>
        </row>
        <row r="7849">
          <cell r="A7849" t="str">
            <v>YZ-ZQFT1816-Y0-S</v>
          </cell>
          <cell r="B7849" t="str">
            <v>YZ-ZQFT1816</v>
          </cell>
        </row>
        <row r="7850">
          <cell r="A7850" t="str">
            <v>YZ-ZQFT1816-Y0-XL</v>
          </cell>
          <cell r="B7850" t="str">
            <v>YZ-ZQFT1816</v>
          </cell>
        </row>
        <row r="7851">
          <cell r="A7851" t="str">
            <v>YZ-ZQGB01-B0-2XL</v>
          </cell>
          <cell r="B7851" t="str">
            <v>YZ-ZQGB01</v>
          </cell>
        </row>
        <row r="7852">
          <cell r="A7852" t="str">
            <v>YZ-ZQGB01-B0-L</v>
          </cell>
          <cell r="B7852" t="str">
            <v>YZ-ZQGB01</v>
          </cell>
        </row>
        <row r="7853">
          <cell r="A7853" t="str">
            <v>YZ-ZQGB01-B0-M</v>
          </cell>
          <cell r="B7853" t="str">
            <v>YZ-ZQGB01</v>
          </cell>
        </row>
        <row r="7854">
          <cell r="A7854" t="str">
            <v>YZ-ZQGB01-B0-XL</v>
          </cell>
          <cell r="B7854" t="str">
            <v>YZ-ZQGB01</v>
          </cell>
        </row>
        <row r="7855">
          <cell r="A7855" t="str">
            <v>YZ-ZQGB01-BD-2XL</v>
          </cell>
          <cell r="B7855" t="str">
            <v>YZ-ZQGB01</v>
          </cell>
        </row>
        <row r="7856">
          <cell r="A7856" t="str">
            <v>YZ-ZQGB01-BD-L</v>
          </cell>
          <cell r="B7856" t="str">
            <v>YZ-ZQGB01</v>
          </cell>
        </row>
        <row r="7857">
          <cell r="A7857" t="str">
            <v>YZ-ZQGB01-BD-M</v>
          </cell>
          <cell r="B7857" t="str">
            <v>YZ-ZQGB01</v>
          </cell>
        </row>
        <row r="7858">
          <cell r="A7858" t="str">
            <v>YZ-ZQGB01-BD-XL</v>
          </cell>
          <cell r="B7858" t="str">
            <v>YZ-ZQGB01</v>
          </cell>
        </row>
        <row r="7859">
          <cell r="A7859" t="str">
            <v>YZ-ZQGB01-K0-2XL</v>
          </cell>
          <cell r="B7859" t="str">
            <v>YZ-ZQGB01</v>
          </cell>
        </row>
        <row r="7860">
          <cell r="A7860" t="str">
            <v>YZ-ZQGB01-K0-L</v>
          </cell>
          <cell r="B7860" t="str">
            <v>YZ-ZQGB01</v>
          </cell>
        </row>
        <row r="7861">
          <cell r="A7861" t="str">
            <v>YZ-ZQGB01-K0-M</v>
          </cell>
          <cell r="B7861" t="str">
            <v>YZ-ZQGB01</v>
          </cell>
        </row>
        <row r="7862">
          <cell r="A7862" t="str">
            <v>YZ-ZQGB01-K0-XL</v>
          </cell>
          <cell r="B7862" t="str">
            <v>YZ-ZQGB01</v>
          </cell>
        </row>
        <row r="7863">
          <cell r="A7863" t="str">
            <v>YZ-ZQGB01-W0-2XL</v>
          </cell>
          <cell r="B7863" t="str">
            <v>YZ-ZQGB01</v>
          </cell>
        </row>
        <row r="7864">
          <cell r="A7864" t="str">
            <v>YZ-ZQGB01-W0-L</v>
          </cell>
          <cell r="B7864" t="str">
            <v>YZ-ZQGB01</v>
          </cell>
        </row>
        <row r="7865">
          <cell r="A7865" t="str">
            <v>YZ-ZQGB01-W0-M</v>
          </cell>
          <cell r="B7865" t="str">
            <v>YZ-ZQGB01</v>
          </cell>
        </row>
        <row r="7866">
          <cell r="A7866" t="str">
            <v>YZ-ZQGB01-W0-XL</v>
          </cell>
          <cell r="B7866" t="str">
            <v>YZ-ZQGB01</v>
          </cell>
        </row>
        <row r="7867">
          <cell r="A7867" t="str">
            <v>YZ-ZQGB01-Y0-2XL</v>
          </cell>
          <cell r="B7867" t="str">
            <v>YZ-ZQGB01</v>
          </cell>
        </row>
        <row r="7868">
          <cell r="A7868" t="str">
            <v>YZ-ZQGB01-Y0-M</v>
          </cell>
          <cell r="B7868" t="str">
            <v>YZ-ZQGB01</v>
          </cell>
        </row>
        <row r="7869">
          <cell r="A7869" t="str">
            <v>YZ-ZQGB01-Y0S</v>
          </cell>
          <cell r="B7869" t="str">
            <v>YZ-ZQGB01</v>
          </cell>
        </row>
        <row r="7870">
          <cell r="A7870" t="str">
            <v>YZ-ZQGB01-Y0-S</v>
          </cell>
          <cell r="B7870" t="str">
            <v>YZ-ZQGB01</v>
          </cell>
        </row>
        <row r="7871">
          <cell r="A7871" t="str">
            <v>YZ-ZQGB01-Y0-XL</v>
          </cell>
          <cell r="B7871" t="str">
            <v>YZ-ZQGB01</v>
          </cell>
        </row>
        <row r="7872">
          <cell r="A7872" t="str">
            <v>YZ-ZQGB02-B0-L</v>
          </cell>
          <cell r="B7872" t="str">
            <v>YZ-ZQHL02</v>
          </cell>
        </row>
        <row r="7873">
          <cell r="A7873" t="str">
            <v>YZ-ZQGB02-B0-M</v>
          </cell>
          <cell r="B7873" t="str">
            <v>YZ-ZQHL02</v>
          </cell>
        </row>
        <row r="7874">
          <cell r="A7874" t="str">
            <v>YZ-ZQGB02-B0-S</v>
          </cell>
          <cell r="B7874" t="str">
            <v>YZ-ZQHL02</v>
          </cell>
        </row>
        <row r="7875">
          <cell r="A7875" t="str">
            <v>YZ-ZQGB02-B0-XL</v>
          </cell>
          <cell r="B7875" t="str">
            <v>YZ-ZQHL02</v>
          </cell>
        </row>
        <row r="7876">
          <cell r="A7876" t="str">
            <v>YZ-ZQHL02-G0-L</v>
          </cell>
          <cell r="B7876" t="str">
            <v>YZ-ZQHL02</v>
          </cell>
        </row>
        <row r="7877">
          <cell r="A7877" t="str">
            <v>YZ-ZQHL02-G0-M</v>
          </cell>
          <cell r="B7877" t="str">
            <v>YZ-ZQHL02</v>
          </cell>
        </row>
        <row r="7878">
          <cell r="A7878" t="str">
            <v>YZ-ZQHL02-G0-S</v>
          </cell>
          <cell r="B7878" t="str">
            <v>YZ-ZQHL02</v>
          </cell>
        </row>
        <row r="7879">
          <cell r="A7879" t="str">
            <v>YZ-ZQHL02-G0-XL</v>
          </cell>
          <cell r="B7879" t="str">
            <v>YZ-ZQHL02</v>
          </cell>
        </row>
        <row r="7880">
          <cell r="A7880" t="str">
            <v>YZ-ZQLC18-BS-2X</v>
          </cell>
          <cell r="B7880" t="str">
            <v>YZ-ZQLC18</v>
          </cell>
        </row>
        <row r="7881">
          <cell r="A7881" t="str">
            <v>YZ-ZQLC18-BS-L</v>
          </cell>
          <cell r="B7881" t="str">
            <v>YZ-ZQLC18</v>
          </cell>
        </row>
        <row r="7882">
          <cell r="A7882" t="str">
            <v>YZ-ZQLC18-BS-XL</v>
          </cell>
          <cell r="B7882" t="str">
            <v>YZ-ZQLC18</v>
          </cell>
        </row>
        <row r="7883">
          <cell r="A7883" t="str">
            <v>YZ-ZQLC18-KS-2X</v>
          </cell>
          <cell r="B7883" t="str">
            <v>YZ-ZQLC18</v>
          </cell>
        </row>
        <row r="7884">
          <cell r="A7884" t="str">
            <v>YZ-ZQLC18-KS-XL</v>
          </cell>
          <cell r="B7884" t="str">
            <v>YZ-ZQLC18</v>
          </cell>
        </row>
        <row r="7885">
          <cell r="A7885" t="str">
            <v>YZ-ZQLS062-K0-2XL</v>
          </cell>
          <cell r="B7885" t="str">
            <v>YZ-ZQLS062</v>
          </cell>
        </row>
        <row r="7886">
          <cell r="A7886" t="str">
            <v>YZ-ZQLS062-K0-3XL</v>
          </cell>
          <cell r="B7886" t="str">
            <v>YZ-ZQLS062</v>
          </cell>
        </row>
        <row r="7887">
          <cell r="A7887" t="str">
            <v>YZ-ZQLS062-K0-L</v>
          </cell>
          <cell r="B7887" t="str">
            <v>YZ-ZQLS062</v>
          </cell>
        </row>
        <row r="7888">
          <cell r="A7888" t="str">
            <v>YZ-ZQLS062-K0-M</v>
          </cell>
          <cell r="B7888" t="str">
            <v>YZ-ZQLS062</v>
          </cell>
        </row>
        <row r="7889">
          <cell r="A7889" t="str">
            <v>YZ-ZQLS062-K0-S</v>
          </cell>
          <cell r="B7889" t="str">
            <v>YZ-ZQLS062</v>
          </cell>
        </row>
        <row r="7890">
          <cell r="A7890" t="str">
            <v>YZ-ZQLS062-K0-XL</v>
          </cell>
          <cell r="B7890" t="str">
            <v>YZ-ZQLS062</v>
          </cell>
        </row>
        <row r="7891">
          <cell r="A7891" t="str">
            <v>YZ-ZQLS1353-K0-2X</v>
          </cell>
          <cell r="B7891" t="str">
            <v>YZ-ZQLS1353</v>
          </cell>
        </row>
        <row r="7892">
          <cell r="A7892" t="str">
            <v>YZ-ZQLS1353-K0-3X</v>
          </cell>
          <cell r="B7892" t="str">
            <v>YZ-ZQLS1353</v>
          </cell>
        </row>
        <row r="7893">
          <cell r="A7893" t="str">
            <v>YZ-ZQLS1353-K0-XL</v>
          </cell>
          <cell r="B7893" t="str">
            <v>YZ-ZQLS1353</v>
          </cell>
        </row>
        <row r="7894">
          <cell r="A7894" t="str">
            <v>YZ-ZQMICAIK02XL</v>
          </cell>
          <cell r="B7894" t="str">
            <v>YZ-ZQMICAI</v>
          </cell>
        </row>
        <row r="7895">
          <cell r="A7895" t="str">
            <v>YZ-ZQMICAIK03XL</v>
          </cell>
          <cell r="B7895" t="str">
            <v>YZ-ZQMICAI</v>
          </cell>
        </row>
        <row r="7896">
          <cell r="A7896" t="str">
            <v>YZ-ZQMICAIK04XL</v>
          </cell>
          <cell r="B7896" t="str">
            <v>YZ-ZQMICAI</v>
          </cell>
        </row>
        <row r="7897">
          <cell r="A7897" t="str">
            <v>YZ-ZQMICAIK05XL</v>
          </cell>
          <cell r="B7897" t="str">
            <v>YZ-ZQMICAI</v>
          </cell>
        </row>
        <row r="7898">
          <cell r="A7898" t="str">
            <v>YZ-ZQMICAIK0L</v>
          </cell>
          <cell r="B7898" t="str">
            <v>YZ-ZQMICAI</v>
          </cell>
        </row>
        <row r="7899">
          <cell r="A7899" t="str">
            <v>YZ-ZQMICAIK0M</v>
          </cell>
          <cell r="B7899" t="str">
            <v>YZ-ZQMICAI</v>
          </cell>
        </row>
        <row r="7900">
          <cell r="A7900" t="str">
            <v>YZ-ZQMICAIK0XL</v>
          </cell>
          <cell r="B7900" t="str">
            <v>YZ-ZQMICAI</v>
          </cell>
        </row>
        <row r="7901">
          <cell r="A7901" t="str">
            <v>YZ-ZQMS02-K0-L</v>
          </cell>
          <cell r="B7901" t="str">
            <v>YZ-ZQMS02</v>
          </cell>
        </row>
        <row r="7902">
          <cell r="A7902" t="str">
            <v>YZ-ZQMS02-K0-M</v>
          </cell>
          <cell r="B7902" t="str">
            <v>YZ-ZQMS02</v>
          </cell>
        </row>
        <row r="7903">
          <cell r="A7903" t="str">
            <v>YZ-ZQMS02-K0-S</v>
          </cell>
          <cell r="B7903" t="str">
            <v>YZ-ZQMS02</v>
          </cell>
        </row>
        <row r="7904">
          <cell r="A7904" t="str">
            <v>YZ-ZQN9002-B0-3X</v>
          </cell>
          <cell r="B7904" t="str">
            <v>YZ-ZQN9002</v>
          </cell>
        </row>
        <row r="7905">
          <cell r="A7905" t="str">
            <v>YZ-ZQN9002-G0-2X</v>
          </cell>
          <cell r="B7905" t="str">
            <v>YZ-ZQN9002</v>
          </cell>
        </row>
        <row r="7906">
          <cell r="A7906" t="str">
            <v>YZ-ZQN9002-G0-4X</v>
          </cell>
          <cell r="B7906" t="str">
            <v>YZ-ZQN9002</v>
          </cell>
        </row>
        <row r="7907">
          <cell r="A7907" t="str">
            <v>YZ-ZQN9002-G0-5X</v>
          </cell>
          <cell r="B7907" t="str">
            <v>YZ-ZQN9002</v>
          </cell>
        </row>
        <row r="7908">
          <cell r="A7908" t="str">
            <v>YZ-ZQN9002-G0-L</v>
          </cell>
          <cell r="B7908" t="str">
            <v>YZ-ZQN9002</v>
          </cell>
        </row>
        <row r="7909">
          <cell r="A7909" t="str">
            <v>YZ-ZQN9002-G0-XL</v>
          </cell>
          <cell r="B7909" t="str">
            <v>YZ-ZQN9002</v>
          </cell>
        </row>
        <row r="7910">
          <cell r="A7910" t="str">
            <v>YZ-ZQN9002-ND-3X</v>
          </cell>
          <cell r="B7910" t="str">
            <v>YZ-ZQN9002</v>
          </cell>
        </row>
        <row r="7911">
          <cell r="A7911" t="str">
            <v>YZ-ZQN9002-ND-4X</v>
          </cell>
          <cell r="B7911" t="str">
            <v>YZ-ZQN9002</v>
          </cell>
        </row>
        <row r="7912">
          <cell r="A7912" t="str">
            <v>YZ-ZQN9002-ND-5X</v>
          </cell>
          <cell r="B7912" t="str">
            <v>YZ-ZQN9002</v>
          </cell>
        </row>
        <row r="7913">
          <cell r="A7913" t="str">
            <v>YZ-ZQN9002-TL-L</v>
          </cell>
          <cell r="B7913" t="str">
            <v>YZ-ZQN9002</v>
          </cell>
        </row>
        <row r="7914">
          <cell r="A7914" t="str">
            <v>YZ-ZQN9002-TL-XL</v>
          </cell>
          <cell r="B7914" t="str">
            <v>YZ-ZQN9002</v>
          </cell>
        </row>
        <row r="7915">
          <cell r="A7915" t="str">
            <v>YZ-ZQN9003-B0-2X</v>
          </cell>
          <cell r="B7915" t="str">
            <v>YZ-ZQN9003</v>
          </cell>
        </row>
        <row r="7916">
          <cell r="A7916" t="str">
            <v>YZ-ZQN9003-B0-4X</v>
          </cell>
          <cell r="B7916" t="str">
            <v>YZ-ZQN9003</v>
          </cell>
        </row>
        <row r="7917">
          <cell r="A7917" t="str">
            <v>YZ-ZQN9003-B0-L</v>
          </cell>
          <cell r="B7917" t="str">
            <v>YZ-ZQN9003</v>
          </cell>
        </row>
        <row r="7918">
          <cell r="A7918" t="str">
            <v>YZ-ZQN9003-B0-M</v>
          </cell>
          <cell r="B7918" t="str">
            <v>YZ-ZQN9003</v>
          </cell>
        </row>
        <row r="7919">
          <cell r="A7919" t="str">
            <v>YZ-ZQN9003-K0-4X</v>
          </cell>
          <cell r="B7919" t="str">
            <v>YZ-ZQN9003</v>
          </cell>
        </row>
        <row r="7920">
          <cell r="A7920" t="str">
            <v>YZ-ZQN9003-K0-L</v>
          </cell>
          <cell r="B7920" t="str">
            <v>YZ-ZQN9003</v>
          </cell>
        </row>
        <row r="7921">
          <cell r="A7921" t="str">
            <v>YZ-ZQN9003-ZL-4X</v>
          </cell>
          <cell r="B7921" t="str">
            <v>YZ-ZQN9003</v>
          </cell>
        </row>
        <row r="7922">
          <cell r="A7922" t="str">
            <v>YZ-ZQN9003-ZL-L</v>
          </cell>
          <cell r="B7922" t="str">
            <v>YZ-ZQN9003</v>
          </cell>
        </row>
        <row r="7923">
          <cell r="A7923" t="str">
            <v>YZ-ZQN9076-G3-2X</v>
          </cell>
          <cell r="B7923" t="str">
            <v>YZ-ZQN9076</v>
          </cell>
        </row>
        <row r="7924">
          <cell r="A7924" t="str">
            <v>YZ-ZQN9076-G3-3X</v>
          </cell>
          <cell r="B7924" t="str">
            <v>YZ-ZQN9076</v>
          </cell>
        </row>
        <row r="7925">
          <cell r="A7925" t="str">
            <v>YZ-ZQN9076-H1-3X</v>
          </cell>
          <cell r="B7925" t="str">
            <v>YZ-ZQN9076</v>
          </cell>
        </row>
        <row r="7926">
          <cell r="A7926" t="str">
            <v>YZ-ZQN9200-K0-2X</v>
          </cell>
          <cell r="B7926" t="str">
            <v>YZ-ZQN9200</v>
          </cell>
        </row>
        <row r="7927">
          <cell r="A7927" t="str">
            <v>YZ-ZQN9200-K0-3X</v>
          </cell>
          <cell r="B7927" t="str">
            <v>YZ-ZQN9200</v>
          </cell>
        </row>
        <row r="7928">
          <cell r="A7928" t="str">
            <v>YZ-ZQN9200-K0-4X</v>
          </cell>
          <cell r="B7928" t="str">
            <v>YZ-ZQN9200</v>
          </cell>
        </row>
        <row r="7929">
          <cell r="A7929" t="str">
            <v>YZ-ZQN9200-K0-L</v>
          </cell>
          <cell r="B7929" t="str">
            <v>YZ-ZQN9200</v>
          </cell>
        </row>
        <row r="7930">
          <cell r="A7930" t="str">
            <v>YZ-ZQN9200-K0-M</v>
          </cell>
          <cell r="B7930" t="str">
            <v>YZ-ZQN9200</v>
          </cell>
        </row>
        <row r="7931">
          <cell r="A7931" t="str">
            <v>YZ-ZQN9200-K0-XL</v>
          </cell>
          <cell r="B7931" t="str">
            <v>YZ-ZQN9200</v>
          </cell>
        </row>
        <row r="7932">
          <cell r="A7932" t="str">
            <v>YZ-ZQNA16121E02XL</v>
          </cell>
          <cell r="B7932" t="str">
            <v>YZ-ZQNA16121</v>
          </cell>
        </row>
        <row r="7933">
          <cell r="A7933" t="str">
            <v>YZ-ZQNA16121E03XL</v>
          </cell>
          <cell r="B7933" t="str">
            <v>YZ-ZQNA16121</v>
          </cell>
        </row>
        <row r="7934">
          <cell r="A7934" t="str">
            <v>YZ-ZQNA16121E0L</v>
          </cell>
          <cell r="B7934" t="str">
            <v>YZ-ZQNA16121</v>
          </cell>
        </row>
        <row r="7935">
          <cell r="A7935" t="str">
            <v>YZ-ZQNA16121E0XL</v>
          </cell>
          <cell r="B7935" t="str">
            <v>YZ-ZQNA16121</v>
          </cell>
        </row>
        <row r="7936">
          <cell r="A7936" t="str">
            <v>YZ-ZQNA16121R02XL</v>
          </cell>
          <cell r="B7936" t="str">
            <v>YZ-ZQNA16121</v>
          </cell>
        </row>
        <row r="7937">
          <cell r="A7937" t="str">
            <v>YZ-ZQNA16121R03XL</v>
          </cell>
          <cell r="B7937" t="str">
            <v>YZ-ZQNA16121</v>
          </cell>
        </row>
        <row r="7938">
          <cell r="A7938" t="str">
            <v>YZ-ZQNA16121R0L</v>
          </cell>
          <cell r="B7938" t="str">
            <v>YZ-ZQNA16121</v>
          </cell>
        </row>
        <row r="7939">
          <cell r="A7939" t="str">
            <v>YZ-ZQNA16121R0XL</v>
          </cell>
          <cell r="B7939" t="str">
            <v>YZ-ZQNA16121</v>
          </cell>
        </row>
        <row r="7940">
          <cell r="A7940" t="str">
            <v>YZ-ZQNA161244-Y0-2XL</v>
          </cell>
          <cell r="B7940" t="str">
            <v>YZ-ZQNA161244</v>
          </cell>
        </row>
        <row r="7941">
          <cell r="A7941" t="str">
            <v>YZ-ZQNA161244-Y0-L</v>
          </cell>
          <cell r="B7941" t="str">
            <v>YZ-ZQNA161244</v>
          </cell>
        </row>
        <row r="7942">
          <cell r="A7942" t="str">
            <v>YZ-ZQNA161244-Y0-XL</v>
          </cell>
          <cell r="B7942" t="str">
            <v>YZ-ZQNA161244</v>
          </cell>
        </row>
        <row r="7943">
          <cell r="A7943" t="str">
            <v>YZ-ZQOM388-K0-2XL</v>
          </cell>
          <cell r="B7943" t="str">
            <v>YZ-ZQOM388</v>
          </cell>
        </row>
        <row r="7944">
          <cell r="A7944" t="str">
            <v>YZ-ZQOM388-K0-L</v>
          </cell>
          <cell r="B7944" t="str">
            <v>YZ-ZQOM388</v>
          </cell>
        </row>
        <row r="7945">
          <cell r="A7945" t="str">
            <v>YZ-ZQOM388-K0-M</v>
          </cell>
          <cell r="B7945" t="str">
            <v>YZ-ZQOM388</v>
          </cell>
        </row>
        <row r="7946">
          <cell r="A7946" t="str">
            <v>YZ-ZQOM388-K0-S</v>
          </cell>
          <cell r="B7946" t="str">
            <v>YZ-ZQOM388</v>
          </cell>
        </row>
        <row r="7947">
          <cell r="A7947" t="str">
            <v>YZ-ZQOM388-K0-XL</v>
          </cell>
          <cell r="B7947" t="str">
            <v>YZ-ZQOM388</v>
          </cell>
        </row>
        <row r="7948">
          <cell r="A7948" t="str">
            <v>YZ-ZQOM388-W0-2XL</v>
          </cell>
          <cell r="B7948" t="str">
            <v>YZ-ZQOM388</v>
          </cell>
        </row>
        <row r="7949">
          <cell r="A7949" t="str">
            <v>YZ-ZQOM388-W0-L</v>
          </cell>
          <cell r="B7949" t="str">
            <v>YZ-ZQOM388</v>
          </cell>
        </row>
        <row r="7950">
          <cell r="A7950" t="str">
            <v>YZ-ZQOM388-W0-M</v>
          </cell>
          <cell r="B7950" t="str">
            <v>YZ-ZQOM388</v>
          </cell>
        </row>
        <row r="7951">
          <cell r="A7951" t="str">
            <v>YZ-ZQOM388-W0-S</v>
          </cell>
          <cell r="B7951" t="str">
            <v>YZ-ZQOM388</v>
          </cell>
        </row>
        <row r="7952">
          <cell r="A7952" t="str">
            <v>YZ-ZQOM388-W0-XL</v>
          </cell>
          <cell r="B7952" t="str">
            <v>YZ-ZQOM388</v>
          </cell>
        </row>
        <row r="7953">
          <cell r="A7953" t="str">
            <v>YZ-ZQQ9227-K0-2X</v>
          </cell>
          <cell r="B7953" t="str">
            <v>YZ-ZQQ9227</v>
          </cell>
        </row>
        <row r="7954">
          <cell r="A7954" t="str">
            <v>YZ-ZQQ9227-K0-3X</v>
          </cell>
          <cell r="B7954" t="str">
            <v>YZ-ZQQ9227</v>
          </cell>
        </row>
        <row r="7955">
          <cell r="A7955" t="str">
            <v>YZ-ZQQ9227-K0-4X</v>
          </cell>
          <cell r="B7955" t="str">
            <v>YZ-ZQQ9227</v>
          </cell>
        </row>
        <row r="7956">
          <cell r="A7956" t="str">
            <v>YZ-ZQQ9227-K0-5X</v>
          </cell>
          <cell r="B7956" t="str">
            <v>YZ-ZQQ9227</v>
          </cell>
        </row>
        <row r="7957">
          <cell r="A7957" t="str">
            <v>YZ-ZQQ9227-K0-L</v>
          </cell>
          <cell r="B7957" t="str">
            <v>YZ-ZQQ9227</v>
          </cell>
        </row>
        <row r="7958">
          <cell r="A7958" t="str">
            <v>YZ-ZQQ9227-K0-M</v>
          </cell>
          <cell r="B7958" t="str">
            <v>YZ-ZQQ9227</v>
          </cell>
        </row>
        <row r="7959">
          <cell r="A7959" t="str">
            <v>YZ-ZQQ9227-K0-S</v>
          </cell>
          <cell r="B7959" t="str">
            <v>YZ-ZQQ9227</v>
          </cell>
        </row>
        <row r="7960">
          <cell r="A7960" t="str">
            <v>YZ-ZQQ9227-K0-XL</v>
          </cell>
          <cell r="B7960" t="str">
            <v>YZ-ZQQ9227</v>
          </cell>
        </row>
        <row r="7961">
          <cell r="A7961" t="str">
            <v>YZ-ZQSG16116-K0-2XL</v>
          </cell>
          <cell r="B7961" t="str">
            <v>YZ-ZQSG16116</v>
          </cell>
        </row>
        <row r="7962">
          <cell r="A7962" t="str">
            <v>YZ-ZQSG16116-K0-L</v>
          </cell>
          <cell r="B7962" t="str">
            <v>YZ-ZQSG16116</v>
          </cell>
        </row>
        <row r="7963">
          <cell r="A7963" t="str">
            <v>YZ-ZQSG16116-K0-XL</v>
          </cell>
          <cell r="B7963" t="str">
            <v>YZ-ZQSG16116</v>
          </cell>
        </row>
        <row r="7964">
          <cell r="A7964" t="str">
            <v>YZ-ZQSG16121E02XL</v>
          </cell>
          <cell r="B7964" t="str">
            <v>YZ-ZQSG16121</v>
          </cell>
        </row>
        <row r="7965">
          <cell r="A7965" t="str">
            <v>YZ-ZQSG16121E03XL</v>
          </cell>
          <cell r="B7965" t="str">
            <v>YZ-ZQSG16121</v>
          </cell>
        </row>
        <row r="7966">
          <cell r="A7966" t="str">
            <v>YZ-ZQSG16121E0L</v>
          </cell>
          <cell r="B7966" t="str">
            <v>YZ-ZQSG16121</v>
          </cell>
        </row>
        <row r="7967">
          <cell r="A7967" t="str">
            <v>YZ-ZQSG16121E0XL</v>
          </cell>
          <cell r="B7967" t="str">
            <v>YZ-ZQSG16121</v>
          </cell>
        </row>
        <row r="7968">
          <cell r="A7968" t="str">
            <v>YZ-ZQSG16121R02XL</v>
          </cell>
          <cell r="B7968" t="str">
            <v>YZ-ZQSG16121</v>
          </cell>
        </row>
        <row r="7969">
          <cell r="A7969" t="str">
            <v>YZ-ZQSG16121R03XL</v>
          </cell>
          <cell r="B7969" t="str">
            <v>YZ-ZQSG16121</v>
          </cell>
        </row>
        <row r="7970">
          <cell r="A7970" t="str">
            <v>YZ-ZQSG16121R0L</v>
          </cell>
          <cell r="B7970" t="str">
            <v>YZ-ZQSG16121</v>
          </cell>
        </row>
        <row r="7971">
          <cell r="A7971" t="str">
            <v>YZ-ZQSG16121R0XL</v>
          </cell>
          <cell r="B7971" t="str">
            <v>YZ-ZQSG16121</v>
          </cell>
        </row>
        <row r="7972">
          <cell r="A7972" t="str">
            <v>YZ-ZQSG161244-Y0-2XL</v>
          </cell>
          <cell r="B7972" t="str">
            <v>YZ-ZQSG161244</v>
          </cell>
        </row>
        <row r="7973">
          <cell r="A7973" t="str">
            <v>YZ-ZQSG161244-Y0-3XL</v>
          </cell>
          <cell r="B7973" t="str">
            <v>YZ-ZQSG161244</v>
          </cell>
        </row>
        <row r="7974">
          <cell r="A7974" t="str">
            <v>YZ-ZQSG161244-Y0-L</v>
          </cell>
          <cell r="B7974" t="str">
            <v>YZ-ZQSG161244</v>
          </cell>
        </row>
        <row r="7975">
          <cell r="A7975" t="str">
            <v>YZ-ZQSG161244-Y0-XL</v>
          </cell>
          <cell r="B7975" t="str">
            <v>YZ-ZQSG161244</v>
          </cell>
        </row>
        <row r="7976">
          <cell r="A7976" t="str">
            <v>YZ-ZQSG16124Y02XL</v>
          </cell>
          <cell r="B7976" t="str">
            <v>YZ-ZQSG16124</v>
          </cell>
        </row>
        <row r="7977">
          <cell r="A7977" t="str">
            <v>YZ-ZQSG16124Y03XL</v>
          </cell>
          <cell r="B7977" t="str">
            <v>YZ-ZQSG16124</v>
          </cell>
        </row>
        <row r="7978">
          <cell r="A7978" t="str">
            <v>YZ-ZQSG16124Y0L</v>
          </cell>
          <cell r="B7978" t="str">
            <v>YZ-ZQSG16124</v>
          </cell>
        </row>
        <row r="7979">
          <cell r="A7979" t="str">
            <v>YZ-ZQSG16124Y0XL</v>
          </cell>
          <cell r="B7979" t="str">
            <v>YZ-ZQSG16124</v>
          </cell>
        </row>
        <row r="7980">
          <cell r="A7980" t="str">
            <v>YZ-ZQTWA1-K0-2X</v>
          </cell>
          <cell r="B7980" t="str">
            <v>YZ-ZQTWA1</v>
          </cell>
        </row>
        <row r="7981">
          <cell r="A7981" t="str">
            <v>YZ-ZQTWA1-K0-3X</v>
          </cell>
          <cell r="B7981" t="str">
            <v>YZ-ZQTWA1</v>
          </cell>
        </row>
        <row r="7982">
          <cell r="A7982" t="str">
            <v>YZ-ZQTWA1-K0-4X</v>
          </cell>
          <cell r="B7982" t="str">
            <v>YZ-ZQTWA1</v>
          </cell>
        </row>
        <row r="7983">
          <cell r="A7983" t="str">
            <v>YZ-ZQTWA1-K0-5X</v>
          </cell>
          <cell r="B7983" t="str">
            <v>YZ-ZQTWA1</v>
          </cell>
        </row>
        <row r="7984">
          <cell r="A7984" t="str">
            <v>YZ-ZQTWA1-K0-L</v>
          </cell>
          <cell r="B7984" t="str">
            <v>YZ-ZQTWA1</v>
          </cell>
        </row>
        <row r="7985">
          <cell r="A7985" t="str">
            <v>YZ-ZQTWA1-K0-M</v>
          </cell>
          <cell r="B7985" t="str">
            <v>YZ-ZQTWA1</v>
          </cell>
        </row>
        <row r="7986">
          <cell r="A7986" t="str">
            <v>YZ-ZQTWA1-K0-S</v>
          </cell>
          <cell r="B7986" t="str">
            <v>YZ-ZQTWA1</v>
          </cell>
        </row>
        <row r="7987">
          <cell r="A7987" t="str">
            <v>YZ-ZQTWA1-K0-XL</v>
          </cell>
          <cell r="B7987" t="str">
            <v>YZ-ZQTWA1</v>
          </cell>
        </row>
        <row r="7988">
          <cell r="A7988" t="str">
            <v>YZ-ZQXZ345-G0-L</v>
          </cell>
          <cell r="B7988" t="str">
            <v>YZ-ZQXZ345</v>
          </cell>
        </row>
        <row r="7989">
          <cell r="A7989" t="str">
            <v>YZ-ZQXZ345-G0-M</v>
          </cell>
          <cell r="B7989" t="str">
            <v>YZ-ZQXZ345</v>
          </cell>
        </row>
        <row r="7990">
          <cell r="A7990" t="str">
            <v>YZ-ZQXZ345-G0-S</v>
          </cell>
          <cell r="B7990" t="str">
            <v>YZ-ZQXZ345</v>
          </cell>
        </row>
        <row r="7991">
          <cell r="A7991" t="str">
            <v>YZ-ZQXZ345-G0-XL</v>
          </cell>
          <cell r="B7991" t="str">
            <v>YZ-ZQXZ345</v>
          </cell>
        </row>
        <row r="7992">
          <cell r="A7992" t="str">
            <v>YZ-ZQZY456-R0-L</v>
          </cell>
          <cell r="B7992" t="str">
            <v>YZ-ZQZY456</v>
          </cell>
        </row>
        <row r="7993">
          <cell r="A7993" t="str">
            <v>YZ-ZQZY456-R0-M</v>
          </cell>
          <cell r="B7993" t="str">
            <v>YZ-ZQZY456</v>
          </cell>
        </row>
        <row r="7994">
          <cell r="A7994" t="str">
            <v>YZ-ZQZY456-R0-S</v>
          </cell>
          <cell r="B7994" t="str">
            <v>YZ-ZQZY456</v>
          </cell>
        </row>
        <row r="7995">
          <cell r="A7995" t="str">
            <v>ZS-CF2112-BK-L</v>
          </cell>
          <cell r="B7995" t="str">
            <v>ZS-CF2112</v>
          </cell>
        </row>
        <row r="7996">
          <cell r="A7996" t="str">
            <v>ZS-CF2112-CO-M</v>
          </cell>
          <cell r="B7996" t="str">
            <v>ZS-CF2112</v>
          </cell>
        </row>
        <row r="7997">
          <cell r="A7997" t="str">
            <v>ZS-CF2112-CO-XL</v>
          </cell>
          <cell r="B7997" t="str">
            <v>ZS-CF2112</v>
          </cell>
        </row>
        <row r="7998">
          <cell r="A7998" t="str">
            <v>ZS-CF2112-OR-L</v>
          </cell>
          <cell r="B7998" t="str">
            <v>ZS-CF2112</v>
          </cell>
        </row>
        <row r="7999">
          <cell r="A7999" t="str">
            <v>ZS-JY2300-BL-JM</v>
          </cell>
          <cell r="B7999" t="str">
            <v>ZS-JY2300</v>
          </cell>
        </row>
        <row r="8000">
          <cell r="A8000" t="str">
            <v>ZS-JY2300-ZL-JM</v>
          </cell>
          <cell r="B8000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5770"/>
  <sheetViews>
    <sheetView tabSelected="1" topLeftCell="J1316" workbookViewId="0">
      <selection activeCell="AD35" sqref="AD35"/>
    </sheetView>
  </sheetViews>
  <sheetFormatPr defaultColWidth="9" defaultRowHeight="14.25"/>
  <cols>
    <col min="2" max="2" width="12.625"/>
    <col min="3" max="3" width="18.375" customWidth="1"/>
    <col min="31" max="31" width="9.375"/>
    <col min="33" max="33" width="15.625" style="8" customWidth="1"/>
  </cols>
  <sheetData>
    <row r="1" spans="1:3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8" t="s">
        <v>32</v>
      </c>
    </row>
    <row r="2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5"/>
      <c r="I2" s="5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1</v>
      </c>
      <c r="P2" s="5" t="s">
        <v>43</v>
      </c>
      <c r="Q2" s="5">
        <v>12.98</v>
      </c>
      <c r="R2" s="5"/>
      <c r="S2" s="5"/>
      <c r="T2" s="5"/>
      <c r="U2" s="5"/>
      <c r="V2" s="5"/>
      <c r="W2" s="5"/>
      <c r="X2" s="5"/>
      <c r="Y2" s="5" t="s">
        <v>44</v>
      </c>
      <c r="Z2" s="5" t="s">
        <v>45</v>
      </c>
      <c r="AA2" s="5">
        <v>87004</v>
      </c>
      <c r="AB2" s="5" t="s">
        <v>46</v>
      </c>
      <c r="AC2" s="5"/>
      <c r="AD2" s="5" t="b">
        <v>0</v>
      </c>
      <c r="AE2" s="5"/>
      <c r="AF2" s="5"/>
      <c r="AG2" s="9">
        <f t="shared" ref="AG2:AG65" si="0">DATEVALUE(LEFT(C2,10))</f>
        <v>43262</v>
      </c>
    </row>
    <row r="3" spans="1:33">
      <c r="A3" s="5" t="s">
        <v>47</v>
      </c>
      <c r="B3" s="5" t="s">
        <v>47</v>
      </c>
      <c r="C3" s="5" t="s">
        <v>48</v>
      </c>
      <c r="D3" s="5" t="s">
        <v>49</v>
      </c>
      <c r="E3" s="5" t="s">
        <v>36</v>
      </c>
      <c r="F3" s="5" t="s">
        <v>37</v>
      </c>
      <c r="G3" s="5" t="s">
        <v>38</v>
      </c>
      <c r="H3" s="5"/>
      <c r="I3" s="5"/>
      <c r="J3" s="5" t="s">
        <v>39</v>
      </c>
      <c r="K3" s="5" t="s">
        <v>50</v>
      </c>
      <c r="L3" s="5" t="s">
        <v>51</v>
      </c>
      <c r="M3" s="5" t="s">
        <v>52</v>
      </c>
      <c r="N3" s="5" t="s">
        <v>36</v>
      </c>
      <c r="O3" s="5">
        <v>1</v>
      </c>
      <c r="P3" s="5" t="s">
        <v>43</v>
      </c>
      <c r="Q3" s="5">
        <v>18.99</v>
      </c>
      <c r="R3" s="5"/>
      <c r="S3" s="5"/>
      <c r="T3" s="5"/>
      <c r="U3" s="5"/>
      <c r="V3" s="5"/>
      <c r="W3" s="5"/>
      <c r="X3" s="5"/>
      <c r="Y3" s="5" t="s">
        <v>53</v>
      </c>
      <c r="Z3" s="5" t="s">
        <v>54</v>
      </c>
      <c r="AA3" s="5">
        <v>95008</v>
      </c>
      <c r="AB3" s="5" t="s">
        <v>46</v>
      </c>
      <c r="AC3" s="5"/>
      <c r="AD3" s="5" t="b">
        <v>0</v>
      </c>
      <c r="AE3" s="5"/>
      <c r="AF3" s="5"/>
      <c r="AG3" s="9">
        <f t="shared" si="0"/>
        <v>43262</v>
      </c>
    </row>
    <row r="4" s="6" customFormat="1" spans="1:33">
      <c r="A4" s="5" t="s">
        <v>55</v>
      </c>
      <c r="B4" s="5" t="s">
        <v>55</v>
      </c>
      <c r="C4" s="5" t="s">
        <v>56</v>
      </c>
      <c r="D4" s="5" t="s">
        <v>57</v>
      </c>
      <c r="E4" s="5" t="s">
        <v>36</v>
      </c>
      <c r="F4" s="5" t="s">
        <v>37</v>
      </c>
      <c r="G4" s="5" t="s">
        <v>38</v>
      </c>
      <c r="H4" s="5"/>
      <c r="I4" s="5"/>
      <c r="J4" s="5" t="s">
        <v>39</v>
      </c>
      <c r="K4" s="5" t="s">
        <v>58</v>
      </c>
      <c r="L4" s="5" t="s">
        <v>59</v>
      </c>
      <c r="M4" s="5" t="s">
        <v>60</v>
      </c>
      <c r="N4" s="5" t="s">
        <v>36</v>
      </c>
      <c r="O4" s="5">
        <v>1</v>
      </c>
      <c r="P4" s="5" t="s">
        <v>43</v>
      </c>
      <c r="Q4" s="5">
        <v>13.99</v>
      </c>
      <c r="R4" s="5"/>
      <c r="S4" s="5"/>
      <c r="T4" s="5"/>
      <c r="U4" s="5"/>
      <c r="V4" s="5"/>
      <c r="W4" s="5"/>
      <c r="X4" s="5"/>
      <c r="Y4" s="5" t="s">
        <v>61</v>
      </c>
      <c r="Z4" s="5" t="s">
        <v>62</v>
      </c>
      <c r="AA4" s="5" t="s">
        <v>63</v>
      </c>
      <c r="AB4" s="5" t="s">
        <v>46</v>
      </c>
      <c r="AC4" s="5"/>
      <c r="AD4" s="5" t="b">
        <v>0</v>
      </c>
      <c r="AE4" s="5"/>
      <c r="AF4" s="5"/>
      <c r="AG4" s="9">
        <f t="shared" si="0"/>
        <v>43262</v>
      </c>
    </row>
    <row r="5" s="6" customFormat="1" spans="1:33">
      <c r="A5" s="5" t="s">
        <v>64</v>
      </c>
      <c r="B5" s="5" t="s">
        <v>64</v>
      </c>
      <c r="C5" s="5" t="s">
        <v>65</v>
      </c>
      <c r="D5" s="5" t="s">
        <v>66</v>
      </c>
      <c r="E5" s="5" t="s">
        <v>36</v>
      </c>
      <c r="F5" s="5" t="s">
        <v>37</v>
      </c>
      <c r="G5" s="5" t="s">
        <v>38</v>
      </c>
      <c r="H5" s="5"/>
      <c r="I5" s="5"/>
      <c r="J5" s="5" t="s">
        <v>39</v>
      </c>
      <c r="K5" s="5" t="s">
        <v>67</v>
      </c>
      <c r="L5" s="5" t="s">
        <v>68</v>
      </c>
      <c r="M5" s="5" t="s">
        <v>69</v>
      </c>
      <c r="N5" s="5" t="s">
        <v>36</v>
      </c>
      <c r="O5" s="5">
        <v>1</v>
      </c>
      <c r="P5" s="5" t="s">
        <v>43</v>
      </c>
      <c r="Q5" s="5">
        <v>25.99</v>
      </c>
      <c r="R5" s="5"/>
      <c r="S5" s="5"/>
      <c r="T5" s="5"/>
      <c r="U5" s="5"/>
      <c r="V5" s="5"/>
      <c r="W5" s="5"/>
      <c r="X5" s="5"/>
      <c r="Y5" s="5" t="s">
        <v>70</v>
      </c>
      <c r="Z5" s="5" t="s">
        <v>54</v>
      </c>
      <c r="AA5" s="5" t="s">
        <v>71</v>
      </c>
      <c r="AB5" s="5" t="s">
        <v>46</v>
      </c>
      <c r="AC5" s="5"/>
      <c r="AD5" s="5" t="b">
        <v>0</v>
      </c>
      <c r="AE5" s="5"/>
      <c r="AF5" s="5"/>
      <c r="AG5" s="9">
        <f t="shared" si="0"/>
        <v>43262</v>
      </c>
    </row>
    <row r="6" s="6" customFormat="1" spans="1:33">
      <c r="A6" s="5" t="s">
        <v>72</v>
      </c>
      <c r="B6" s="5" t="s">
        <v>72</v>
      </c>
      <c r="C6" s="5" t="s">
        <v>73</v>
      </c>
      <c r="D6" s="5" t="s">
        <v>74</v>
      </c>
      <c r="E6" s="5" t="s">
        <v>36</v>
      </c>
      <c r="F6" s="5" t="s">
        <v>37</v>
      </c>
      <c r="G6" s="5" t="s">
        <v>38</v>
      </c>
      <c r="H6" s="5"/>
      <c r="I6" s="5"/>
      <c r="J6" s="5" t="s">
        <v>39</v>
      </c>
      <c r="K6" s="5" t="s">
        <v>75</v>
      </c>
      <c r="L6" s="5" t="s">
        <v>76</v>
      </c>
      <c r="M6" s="5" t="s">
        <v>77</v>
      </c>
      <c r="N6" s="5" t="s">
        <v>36</v>
      </c>
      <c r="O6" s="5">
        <v>1</v>
      </c>
      <c r="P6" s="5" t="s">
        <v>43</v>
      </c>
      <c r="Q6" s="5">
        <v>12.99</v>
      </c>
      <c r="R6" s="5"/>
      <c r="S6" s="5"/>
      <c r="T6" s="5"/>
      <c r="U6" s="5"/>
      <c r="V6" s="5"/>
      <c r="W6" s="5"/>
      <c r="X6" s="5"/>
      <c r="Y6" s="5" t="s">
        <v>78</v>
      </c>
      <c r="Z6" s="5" t="s">
        <v>54</v>
      </c>
      <c r="AA6" s="5" t="s">
        <v>79</v>
      </c>
      <c r="AB6" s="5" t="s">
        <v>46</v>
      </c>
      <c r="AC6" s="5"/>
      <c r="AD6" s="5" t="b">
        <v>0</v>
      </c>
      <c r="AE6" s="5"/>
      <c r="AF6" s="5"/>
      <c r="AG6" s="9">
        <f t="shared" si="0"/>
        <v>43262</v>
      </c>
    </row>
    <row r="7" s="6" customFormat="1" spans="1:33">
      <c r="A7" s="5" t="s">
        <v>80</v>
      </c>
      <c r="B7" s="5" t="s">
        <v>80</v>
      </c>
      <c r="C7" s="5" t="s">
        <v>81</v>
      </c>
      <c r="D7" s="5" t="s">
        <v>82</v>
      </c>
      <c r="E7" s="5" t="s">
        <v>36</v>
      </c>
      <c r="F7" s="5" t="s">
        <v>37</v>
      </c>
      <c r="G7" s="5" t="s">
        <v>38</v>
      </c>
      <c r="H7" s="5"/>
      <c r="I7" s="5"/>
      <c r="J7" s="5" t="s">
        <v>39</v>
      </c>
      <c r="K7" s="5" t="s">
        <v>83</v>
      </c>
      <c r="L7" s="5" t="s">
        <v>84</v>
      </c>
      <c r="M7" s="5" t="s">
        <v>85</v>
      </c>
      <c r="N7" s="5" t="s">
        <v>36</v>
      </c>
      <c r="O7" s="5">
        <v>1</v>
      </c>
      <c r="P7" s="5" t="s">
        <v>43</v>
      </c>
      <c r="Q7" s="5">
        <v>12.99</v>
      </c>
      <c r="R7" s="5"/>
      <c r="S7" s="5"/>
      <c r="T7" s="5"/>
      <c r="U7" s="5"/>
      <c r="V7" s="5"/>
      <c r="W7" s="5"/>
      <c r="X7" s="5"/>
      <c r="Y7" s="5" t="s">
        <v>86</v>
      </c>
      <c r="Z7" s="5" t="s">
        <v>87</v>
      </c>
      <c r="AA7" s="5" t="s">
        <v>88</v>
      </c>
      <c r="AB7" s="5" t="s">
        <v>46</v>
      </c>
      <c r="AC7" s="5"/>
      <c r="AD7" s="5" t="b">
        <v>0</v>
      </c>
      <c r="AE7" s="5"/>
      <c r="AF7" s="5"/>
      <c r="AG7" s="9">
        <f t="shared" si="0"/>
        <v>43262</v>
      </c>
    </row>
    <row r="8" s="6" customFormat="1" spans="1:33">
      <c r="A8" s="5" t="s">
        <v>89</v>
      </c>
      <c r="B8" s="5" t="s">
        <v>89</v>
      </c>
      <c r="C8" s="5" t="s">
        <v>90</v>
      </c>
      <c r="D8" s="5" t="s">
        <v>91</v>
      </c>
      <c r="E8" s="5" t="s">
        <v>36</v>
      </c>
      <c r="F8" s="5" t="s">
        <v>37</v>
      </c>
      <c r="G8" s="5" t="s">
        <v>38</v>
      </c>
      <c r="H8" s="5"/>
      <c r="I8" s="5"/>
      <c r="J8" s="5" t="s">
        <v>39</v>
      </c>
      <c r="K8" s="5" t="s">
        <v>92</v>
      </c>
      <c r="L8" s="5" t="s">
        <v>93</v>
      </c>
      <c r="M8" s="5" t="s">
        <v>94</v>
      </c>
      <c r="N8" s="5" t="s">
        <v>36</v>
      </c>
      <c r="O8" s="5">
        <v>1</v>
      </c>
      <c r="P8" s="5" t="s">
        <v>43</v>
      </c>
      <c r="Q8" s="5">
        <v>10</v>
      </c>
      <c r="R8" s="5"/>
      <c r="S8" s="5"/>
      <c r="T8" s="5"/>
      <c r="U8" s="5"/>
      <c r="V8" s="5"/>
      <c r="W8" s="5"/>
      <c r="X8" s="5"/>
      <c r="Y8" s="5" t="s">
        <v>95</v>
      </c>
      <c r="Z8" s="5" t="s">
        <v>96</v>
      </c>
      <c r="AA8" s="5" t="s">
        <v>97</v>
      </c>
      <c r="AB8" s="5" t="s">
        <v>46</v>
      </c>
      <c r="AC8" s="5"/>
      <c r="AD8" s="5" t="b">
        <v>1</v>
      </c>
      <c r="AE8" s="5">
        <v>45502</v>
      </c>
      <c r="AF8" s="5"/>
      <c r="AG8" s="9">
        <f t="shared" si="0"/>
        <v>43262</v>
      </c>
    </row>
    <row r="9" s="6" customFormat="1" spans="1:33">
      <c r="A9" s="5" t="s">
        <v>98</v>
      </c>
      <c r="B9" s="5" t="s">
        <v>98</v>
      </c>
      <c r="C9" s="5" t="s">
        <v>99</v>
      </c>
      <c r="D9" s="5" t="s">
        <v>100</v>
      </c>
      <c r="E9" s="5" t="s">
        <v>36</v>
      </c>
      <c r="F9" s="5" t="s">
        <v>37</v>
      </c>
      <c r="G9" s="5" t="s">
        <v>38</v>
      </c>
      <c r="H9" s="5"/>
      <c r="I9" s="5"/>
      <c r="J9" s="5" t="s">
        <v>39</v>
      </c>
      <c r="K9" s="5" t="s">
        <v>101</v>
      </c>
      <c r="L9" s="5" t="s">
        <v>102</v>
      </c>
      <c r="M9" s="5" t="s">
        <v>103</v>
      </c>
      <c r="N9" s="5" t="s">
        <v>36</v>
      </c>
      <c r="O9" s="5">
        <v>1</v>
      </c>
      <c r="P9" s="5" t="s">
        <v>43</v>
      </c>
      <c r="Q9" s="5">
        <v>12.99</v>
      </c>
      <c r="R9" s="5"/>
      <c r="S9" s="5"/>
      <c r="T9" s="5"/>
      <c r="U9" s="5"/>
      <c r="V9" s="5"/>
      <c r="W9" s="5"/>
      <c r="X9" s="5"/>
      <c r="Y9" s="5" t="s">
        <v>104</v>
      </c>
      <c r="Z9" s="5" t="s">
        <v>105</v>
      </c>
      <c r="AA9" s="5" t="s">
        <v>106</v>
      </c>
      <c r="AB9" s="5" t="s">
        <v>46</v>
      </c>
      <c r="AC9" s="5"/>
      <c r="AD9" s="5" t="b">
        <v>0</v>
      </c>
      <c r="AE9" s="5"/>
      <c r="AF9" s="5"/>
      <c r="AG9" s="9">
        <f t="shared" si="0"/>
        <v>43262</v>
      </c>
    </row>
    <row r="10" s="6" customFormat="1" spans="1:33">
      <c r="A10" s="5" t="s">
        <v>107</v>
      </c>
      <c r="B10" s="5" t="s">
        <v>107</v>
      </c>
      <c r="C10" s="5" t="s">
        <v>108</v>
      </c>
      <c r="D10" s="5" t="s">
        <v>109</v>
      </c>
      <c r="E10" s="5" t="s">
        <v>36</v>
      </c>
      <c r="F10" s="5" t="s">
        <v>37</v>
      </c>
      <c r="G10" s="5" t="s">
        <v>38</v>
      </c>
      <c r="H10" s="5"/>
      <c r="I10" s="5"/>
      <c r="J10" s="5" t="s">
        <v>39</v>
      </c>
      <c r="K10" s="5" t="s">
        <v>110</v>
      </c>
      <c r="L10" s="5" t="s">
        <v>111</v>
      </c>
      <c r="M10" s="5" t="s">
        <v>112</v>
      </c>
      <c r="N10" s="5" t="s">
        <v>36</v>
      </c>
      <c r="O10" s="5">
        <v>2</v>
      </c>
      <c r="P10" s="5" t="s">
        <v>43</v>
      </c>
      <c r="Q10" s="5">
        <v>25.98</v>
      </c>
      <c r="R10" s="5"/>
      <c r="S10" s="5"/>
      <c r="T10" s="5"/>
      <c r="U10" s="5"/>
      <c r="V10" s="5"/>
      <c r="W10" s="5">
        <v>1.3</v>
      </c>
      <c r="X10" s="5"/>
      <c r="Y10" s="5" t="s">
        <v>113</v>
      </c>
      <c r="Z10" s="5" t="s">
        <v>114</v>
      </c>
      <c r="AA10" s="5">
        <v>59716</v>
      </c>
      <c r="AB10" s="5" t="s">
        <v>46</v>
      </c>
      <c r="AC10" s="5" t="s">
        <v>115</v>
      </c>
      <c r="AD10" s="5" t="b">
        <v>0</v>
      </c>
      <c r="AE10" s="5"/>
      <c r="AF10" s="5"/>
      <c r="AG10" s="9">
        <f t="shared" si="0"/>
        <v>43262</v>
      </c>
    </row>
    <row r="11" s="6" customFormat="1" spans="1:33">
      <c r="A11" s="5" t="s">
        <v>116</v>
      </c>
      <c r="B11" s="5" t="s">
        <v>116</v>
      </c>
      <c r="C11" s="5" t="s">
        <v>117</v>
      </c>
      <c r="D11" s="5" t="s">
        <v>118</v>
      </c>
      <c r="E11" s="5" t="s">
        <v>36</v>
      </c>
      <c r="F11" s="5" t="s">
        <v>37</v>
      </c>
      <c r="G11" s="5" t="s">
        <v>38</v>
      </c>
      <c r="H11" s="5"/>
      <c r="I11" s="5"/>
      <c r="J11" s="5" t="s">
        <v>39</v>
      </c>
      <c r="K11" s="5" t="s">
        <v>119</v>
      </c>
      <c r="L11" s="5" t="s">
        <v>120</v>
      </c>
      <c r="M11" s="5" t="s">
        <v>121</v>
      </c>
      <c r="N11" s="5" t="s">
        <v>36</v>
      </c>
      <c r="O11" s="5">
        <v>1</v>
      </c>
      <c r="P11" s="5" t="s">
        <v>43</v>
      </c>
      <c r="Q11" s="5">
        <v>24.99</v>
      </c>
      <c r="R11" s="5"/>
      <c r="S11" s="5"/>
      <c r="T11" s="5"/>
      <c r="U11" s="5"/>
      <c r="V11" s="5"/>
      <c r="W11" s="5"/>
      <c r="X11" s="5"/>
      <c r="Y11" s="5" t="s">
        <v>122</v>
      </c>
      <c r="Z11" s="5" t="s">
        <v>123</v>
      </c>
      <c r="AA11" s="5" t="s">
        <v>124</v>
      </c>
      <c r="AB11" s="5" t="s">
        <v>46</v>
      </c>
      <c r="AC11" s="5"/>
      <c r="AD11" s="5" t="b">
        <v>0</v>
      </c>
      <c r="AE11" s="5"/>
      <c r="AF11" s="5"/>
      <c r="AG11" s="9">
        <f t="shared" si="0"/>
        <v>43262</v>
      </c>
    </row>
    <row r="12" s="6" customFormat="1" spans="1:33">
      <c r="A12" s="5" t="s">
        <v>125</v>
      </c>
      <c r="B12" s="5" t="s">
        <v>125</v>
      </c>
      <c r="C12" s="5" t="s">
        <v>126</v>
      </c>
      <c r="D12" s="5" t="s">
        <v>127</v>
      </c>
      <c r="E12" s="5" t="s">
        <v>36</v>
      </c>
      <c r="F12" s="5" t="s">
        <v>37</v>
      </c>
      <c r="G12" s="5" t="s">
        <v>38</v>
      </c>
      <c r="H12" s="5"/>
      <c r="I12" s="5"/>
      <c r="J12" s="5" t="s">
        <v>128</v>
      </c>
      <c r="K12" s="5" t="s">
        <v>75</v>
      </c>
      <c r="L12" s="5" t="s">
        <v>76</v>
      </c>
      <c r="M12" s="5" t="s">
        <v>77</v>
      </c>
      <c r="N12" s="5" t="s">
        <v>36</v>
      </c>
      <c r="O12" s="5">
        <v>2</v>
      </c>
      <c r="P12" s="5" t="s">
        <v>43</v>
      </c>
      <c r="Q12" s="5">
        <v>25.98</v>
      </c>
      <c r="R12" s="5"/>
      <c r="S12" s="5">
        <v>3.99</v>
      </c>
      <c r="T12" s="5"/>
      <c r="U12" s="5"/>
      <c r="V12" s="5"/>
      <c r="W12" s="5">
        <v>1.3</v>
      </c>
      <c r="X12" s="5">
        <v>3.99</v>
      </c>
      <c r="Y12" s="5" t="s">
        <v>129</v>
      </c>
      <c r="Z12" s="5" t="s">
        <v>130</v>
      </c>
      <c r="AA12" s="5" t="s">
        <v>131</v>
      </c>
      <c r="AB12" s="5" t="s">
        <v>46</v>
      </c>
      <c r="AC12" s="5" t="s">
        <v>132</v>
      </c>
      <c r="AD12" s="5" t="b">
        <v>0</v>
      </c>
      <c r="AE12" s="5"/>
      <c r="AF12" s="5"/>
      <c r="AG12" s="9">
        <f t="shared" si="0"/>
        <v>43262</v>
      </c>
    </row>
    <row r="13" s="6" customFormat="1" spans="1:33">
      <c r="A13" s="5" t="s">
        <v>133</v>
      </c>
      <c r="B13" s="5" t="s">
        <v>133</v>
      </c>
      <c r="C13" s="5" t="s">
        <v>134</v>
      </c>
      <c r="D13" s="5" t="s">
        <v>135</v>
      </c>
      <c r="E13" s="5" t="s">
        <v>36</v>
      </c>
      <c r="F13" s="5" t="s">
        <v>37</v>
      </c>
      <c r="G13" s="5" t="s">
        <v>38</v>
      </c>
      <c r="H13" s="5"/>
      <c r="I13" s="5"/>
      <c r="J13" s="5" t="s">
        <v>39</v>
      </c>
      <c r="K13" s="5" t="s">
        <v>50</v>
      </c>
      <c r="L13" s="5" t="s">
        <v>51</v>
      </c>
      <c r="M13" s="5" t="s">
        <v>52</v>
      </c>
      <c r="N13" s="5" t="s">
        <v>36</v>
      </c>
      <c r="O13" s="5">
        <v>1</v>
      </c>
      <c r="P13" s="5" t="s">
        <v>43</v>
      </c>
      <c r="Q13" s="5">
        <v>18.99</v>
      </c>
      <c r="R13" s="5"/>
      <c r="S13" s="5"/>
      <c r="T13" s="5"/>
      <c r="U13" s="5"/>
      <c r="V13" s="5"/>
      <c r="W13" s="5"/>
      <c r="X13" s="5"/>
      <c r="Y13" s="5" t="s">
        <v>136</v>
      </c>
      <c r="Z13" s="5" t="s">
        <v>105</v>
      </c>
      <c r="AA13" s="5" t="s">
        <v>137</v>
      </c>
      <c r="AB13" s="5" t="s">
        <v>46</v>
      </c>
      <c r="AC13" s="5"/>
      <c r="AD13" s="5" t="b">
        <v>0</v>
      </c>
      <c r="AE13" s="5"/>
      <c r="AF13" s="5"/>
      <c r="AG13" s="9">
        <f t="shared" si="0"/>
        <v>43262</v>
      </c>
    </row>
    <row r="14" s="6" customFormat="1" spans="1:33">
      <c r="A14" s="5" t="s">
        <v>138</v>
      </c>
      <c r="B14" s="5" t="s">
        <v>138</v>
      </c>
      <c r="C14" s="5" t="s">
        <v>139</v>
      </c>
      <c r="D14" s="5" t="s">
        <v>140</v>
      </c>
      <c r="E14" s="5" t="s">
        <v>36</v>
      </c>
      <c r="F14" s="5" t="s">
        <v>37</v>
      </c>
      <c r="G14" s="5" t="s">
        <v>38</v>
      </c>
      <c r="H14" s="5"/>
      <c r="I14" s="5"/>
      <c r="J14" s="5" t="s">
        <v>39</v>
      </c>
      <c r="K14" s="5" t="s">
        <v>75</v>
      </c>
      <c r="L14" s="5" t="s">
        <v>76</v>
      </c>
      <c r="M14" s="5" t="s">
        <v>77</v>
      </c>
      <c r="N14" s="5" t="s">
        <v>36</v>
      </c>
      <c r="O14" s="5">
        <v>1</v>
      </c>
      <c r="P14" s="5" t="s">
        <v>43</v>
      </c>
      <c r="Q14" s="5">
        <v>12.99</v>
      </c>
      <c r="R14" s="5"/>
      <c r="S14" s="5"/>
      <c r="T14" s="5"/>
      <c r="U14" s="5"/>
      <c r="V14" s="5"/>
      <c r="W14" s="5"/>
      <c r="X14" s="5"/>
      <c r="Y14" s="5" t="s">
        <v>141</v>
      </c>
      <c r="Z14" s="5" t="s">
        <v>142</v>
      </c>
      <c r="AA14" s="5" t="s">
        <v>143</v>
      </c>
      <c r="AB14" s="5" t="s">
        <v>46</v>
      </c>
      <c r="AC14" s="5"/>
      <c r="AD14" s="5" t="b">
        <v>0</v>
      </c>
      <c r="AE14" s="5"/>
      <c r="AF14" s="5"/>
      <c r="AG14" s="9">
        <f t="shared" si="0"/>
        <v>43262</v>
      </c>
    </row>
    <row r="15" s="6" customFormat="1" spans="1:33">
      <c r="A15" s="5" t="s">
        <v>144</v>
      </c>
      <c r="B15" s="5" t="s">
        <v>144</v>
      </c>
      <c r="C15" s="5" t="s">
        <v>145</v>
      </c>
      <c r="D15" s="5" t="s">
        <v>146</v>
      </c>
      <c r="E15" s="5" t="s">
        <v>36</v>
      </c>
      <c r="F15" s="5" t="s">
        <v>37</v>
      </c>
      <c r="G15" s="5" t="s">
        <v>38</v>
      </c>
      <c r="H15" s="5"/>
      <c r="I15" s="5"/>
      <c r="J15" s="5" t="s">
        <v>39</v>
      </c>
      <c r="K15" s="5" t="s">
        <v>147</v>
      </c>
      <c r="L15" s="5" t="s">
        <v>148</v>
      </c>
      <c r="M15" s="5" t="s">
        <v>149</v>
      </c>
      <c r="N15" s="5" t="s">
        <v>36</v>
      </c>
      <c r="O15" s="5">
        <v>1</v>
      </c>
      <c r="P15" s="5" t="s">
        <v>43</v>
      </c>
      <c r="Q15" s="5">
        <v>12.98</v>
      </c>
      <c r="R15" s="5"/>
      <c r="S15" s="5"/>
      <c r="T15" s="5"/>
      <c r="U15" s="5"/>
      <c r="V15" s="5"/>
      <c r="W15" s="5"/>
      <c r="X15" s="5"/>
      <c r="Y15" s="5" t="s">
        <v>150</v>
      </c>
      <c r="Z15" s="5" t="s">
        <v>151</v>
      </c>
      <c r="AA15" s="5" t="s">
        <v>152</v>
      </c>
      <c r="AB15" s="5" t="s">
        <v>46</v>
      </c>
      <c r="AC15" s="5"/>
      <c r="AD15" s="5" t="b">
        <v>0</v>
      </c>
      <c r="AE15" s="5"/>
      <c r="AF15" s="5"/>
      <c r="AG15" s="9">
        <f t="shared" si="0"/>
        <v>43262</v>
      </c>
    </row>
    <row r="16" s="6" customFormat="1" spans="1:33">
      <c r="A16" s="5" t="s">
        <v>153</v>
      </c>
      <c r="B16" s="5" t="s">
        <v>153</v>
      </c>
      <c r="C16" s="5" t="s">
        <v>154</v>
      </c>
      <c r="D16" s="5" t="s">
        <v>155</v>
      </c>
      <c r="E16" s="5" t="s">
        <v>36</v>
      </c>
      <c r="F16" s="5" t="s">
        <v>37</v>
      </c>
      <c r="G16" s="5" t="s">
        <v>38</v>
      </c>
      <c r="H16" s="5"/>
      <c r="I16" s="5"/>
      <c r="J16" s="5" t="s">
        <v>156</v>
      </c>
      <c r="K16" s="5" t="s">
        <v>75</v>
      </c>
      <c r="L16" s="5" t="s">
        <v>76</v>
      </c>
      <c r="M16" s="5" t="s">
        <v>77</v>
      </c>
      <c r="N16" s="5" t="s">
        <v>36</v>
      </c>
      <c r="O16" s="5">
        <v>1</v>
      </c>
      <c r="P16" s="5" t="s">
        <v>43</v>
      </c>
      <c r="Q16" s="5">
        <v>12.99</v>
      </c>
      <c r="R16" s="5"/>
      <c r="S16" s="5">
        <v>3.99</v>
      </c>
      <c r="T16" s="5"/>
      <c r="U16" s="5"/>
      <c r="V16" s="5"/>
      <c r="W16" s="5"/>
      <c r="X16" s="5"/>
      <c r="Y16" s="5" t="s">
        <v>157</v>
      </c>
      <c r="Z16" s="5" t="s">
        <v>96</v>
      </c>
      <c r="AA16" s="5" t="s">
        <v>158</v>
      </c>
      <c r="AB16" s="5" t="s">
        <v>46</v>
      </c>
      <c r="AC16" s="5"/>
      <c r="AD16" s="5" t="b">
        <v>0</v>
      </c>
      <c r="AE16" s="5"/>
      <c r="AF16" s="5"/>
      <c r="AG16" s="9">
        <f t="shared" si="0"/>
        <v>43262</v>
      </c>
    </row>
    <row r="17" s="6" customFormat="1" spans="1:33">
      <c r="A17" s="5" t="s">
        <v>159</v>
      </c>
      <c r="B17" s="5" t="s">
        <v>159</v>
      </c>
      <c r="C17" s="5" t="s">
        <v>160</v>
      </c>
      <c r="D17" s="5" t="s">
        <v>161</v>
      </c>
      <c r="E17" s="5" t="s">
        <v>36</v>
      </c>
      <c r="F17" s="5" t="s">
        <v>37</v>
      </c>
      <c r="G17" s="5" t="s">
        <v>38</v>
      </c>
      <c r="H17" s="5"/>
      <c r="I17" s="5"/>
      <c r="J17" s="5" t="s">
        <v>39</v>
      </c>
      <c r="K17" s="5" t="s">
        <v>147</v>
      </c>
      <c r="L17" s="5" t="s">
        <v>148</v>
      </c>
      <c r="M17" s="5" t="s">
        <v>149</v>
      </c>
      <c r="N17" s="5" t="s">
        <v>36</v>
      </c>
      <c r="O17" s="5">
        <v>1</v>
      </c>
      <c r="P17" s="5" t="s">
        <v>43</v>
      </c>
      <c r="Q17" s="5">
        <v>12.98</v>
      </c>
      <c r="R17" s="5"/>
      <c r="S17" s="5"/>
      <c r="T17" s="5"/>
      <c r="U17" s="5"/>
      <c r="V17" s="5"/>
      <c r="W17" s="5"/>
      <c r="X17" s="5"/>
      <c r="Y17" s="5" t="s">
        <v>162</v>
      </c>
      <c r="Z17" s="5" t="s">
        <v>151</v>
      </c>
      <c r="AA17" s="5">
        <v>11385</v>
      </c>
      <c r="AB17" s="5" t="s">
        <v>46</v>
      </c>
      <c r="AC17" s="5"/>
      <c r="AD17" s="5" t="b">
        <v>0</v>
      </c>
      <c r="AE17" s="5"/>
      <c r="AF17" s="5"/>
      <c r="AG17" s="9">
        <f t="shared" si="0"/>
        <v>43262</v>
      </c>
    </row>
    <row r="18" s="6" customFormat="1" spans="1:33">
      <c r="A18" s="5" t="s">
        <v>163</v>
      </c>
      <c r="B18" s="5" t="s">
        <v>163</v>
      </c>
      <c r="C18" s="5" t="s">
        <v>164</v>
      </c>
      <c r="D18" s="5" t="s">
        <v>165</v>
      </c>
      <c r="E18" s="5" t="s">
        <v>36</v>
      </c>
      <c r="F18" s="5" t="s">
        <v>37</v>
      </c>
      <c r="G18" s="5" t="s">
        <v>38</v>
      </c>
      <c r="H18" s="5"/>
      <c r="I18" s="5"/>
      <c r="J18" s="5" t="s">
        <v>39</v>
      </c>
      <c r="K18" s="5" t="s">
        <v>166</v>
      </c>
      <c r="L18" s="5" t="s">
        <v>167</v>
      </c>
      <c r="M18" s="5" t="s">
        <v>168</v>
      </c>
      <c r="N18" s="5" t="s">
        <v>36</v>
      </c>
      <c r="O18" s="5">
        <v>1</v>
      </c>
      <c r="P18" s="5" t="s">
        <v>43</v>
      </c>
      <c r="Q18" s="5">
        <v>15</v>
      </c>
      <c r="R18" s="5"/>
      <c r="S18" s="5"/>
      <c r="T18" s="5"/>
      <c r="U18" s="5"/>
      <c r="V18" s="5"/>
      <c r="W18" s="5">
        <v>3</v>
      </c>
      <c r="X18" s="5"/>
      <c r="Y18" s="5" t="s">
        <v>169</v>
      </c>
      <c r="Z18" s="5" t="s">
        <v>170</v>
      </c>
      <c r="AA18" s="5" t="s">
        <v>171</v>
      </c>
      <c r="AB18" s="5" t="s">
        <v>46</v>
      </c>
      <c r="AC18" s="5" t="s">
        <v>172</v>
      </c>
      <c r="AD18" s="5" t="b">
        <v>0</v>
      </c>
      <c r="AE18" s="5"/>
      <c r="AF18" s="5"/>
      <c r="AG18" s="9">
        <f t="shared" si="0"/>
        <v>43262</v>
      </c>
    </row>
    <row r="19" s="6" customFormat="1" spans="1:33">
      <c r="A19" s="5" t="s">
        <v>173</v>
      </c>
      <c r="B19" s="5" t="s">
        <v>173</v>
      </c>
      <c r="C19" s="5" t="s">
        <v>174</v>
      </c>
      <c r="D19" s="5" t="s">
        <v>175</v>
      </c>
      <c r="E19" s="5" t="s">
        <v>36</v>
      </c>
      <c r="F19" s="5" t="s">
        <v>37</v>
      </c>
      <c r="G19" s="5" t="s">
        <v>38</v>
      </c>
      <c r="H19" s="5"/>
      <c r="I19" s="5"/>
      <c r="J19" s="5" t="s">
        <v>39</v>
      </c>
      <c r="K19" s="5" t="s">
        <v>101</v>
      </c>
      <c r="L19" s="5" t="s">
        <v>102</v>
      </c>
      <c r="M19" s="5" t="s">
        <v>103</v>
      </c>
      <c r="N19" s="5" t="s">
        <v>36</v>
      </c>
      <c r="O19" s="5">
        <v>1</v>
      </c>
      <c r="P19" s="5" t="s">
        <v>43</v>
      </c>
      <c r="Q19" s="5">
        <v>12.99</v>
      </c>
      <c r="R19" s="5"/>
      <c r="S19" s="5"/>
      <c r="T19" s="5"/>
      <c r="U19" s="5"/>
      <c r="V19" s="5"/>
      <c r="W19" s="5"/>
      <c r="X19" s="5"/>
      <c r="Y19" s="5" t="s">
        <v>176</v>
      </c>
      <c r="Z19" s="5" t="s">
        <v>54</v>
      </c>
      <c r="AA19" s="5" t="s">
        <v>177</v>
      </c>
      <c r="AB19" s="5" t="s">
        <v>46</v>
      </c>
      <c r="AC19" s="5"/>
      <c r="AD19" s="5" t="b">
        <v>0</v>
      </c>
      <c r="AE19" s="5"/>
      <c r="AF19" s="5"/>
      <c r="AG19" s="9">
        <f t="shared" si="0"/>
        <v>43262</v>
      </c>
    </row>
    <row r="20" s="6" customFormat="1" spans="1:33">
      <c r="A20" s="5" t="s">
        <v>178</v>
      </c>
      <c r="B20" s="5" t="s">
        <v>178</v>
      </c>
      <c r="C20" s="5" t="s">
        <v>179</v>
      </c>
      <c r="D20" s="5" t="s">
        <v>180</v>
      </c>
      <c r="E20" s="5" t="s">
        <v>36</v>
      </c>
      <c r="F20" s="5" t="s">
        <v>37</v>
      </c>
      <c r="G20" s="5" t="s">
        <v>38</v>
      </c>
      <c r="H20" s="5"/>
      <c r="I20" s="5"/>
      <c r="J20" s="5" t="s">
        <v>39</v>
      </c>
      <c r="K20" s="5" t="s">
        <v>101</v>
      </c>
      <c r="L20" s="5" t="s">
        <v>181</v>
      </c>
      <c r="M20" s="5" t="s">
        <v>103</v>
      </c>
      <c r="N20" s="5" t="s">
        <v>36</v>
      </c>
      <c r="O20" s="5">
        <v>1</v>
      </c>
      <c r="P20" s="5" t="s">
        <v>43</v>
      </c>
      <c r="Q20" s="5">
        <v>12.99</v>
      </c>
      <c r="R20" s="5"/>
      <c r="S20" s="5"/>
      <c r="T20" s="5"/>
      <c r="U20" s="5"/>
      <c r="V20" s="5"/>
      <c r="W20" s="5"/>
      <c r="X20" s="5"/>
      <c r="Y20" s="5" t="s">
        <v>182</v>
      </c>
      <c r="Z20" s="5" t="s">
        <v>183</v>
      </c>
      <c r="AA20" s="5" t="s">
        <v>184</v>
      </c>
      <c r="AB20" s="5" t="s">
        <v>46</v>
      </c>
      <c r="AC20" s="5"/>
      <c r="AD20" s="5" t="b">
        <v>0</v>
      </c>
      <c r="AE20" s="5"/>
      <c r="AF20" s="5"/>
      <c r="AG20" s="9">
        <f t="shared" si="0"/>
        <v>43262</v>
      </c>
    </row>
    <row r="21" s="6" customFormat="1" spans="1:33">
      <c r="A21" s="5" t="s">
        <v>185</v>
      </c>
      <c r="B21" s="5" t="s">
        <v>185</v>
      </c>
      <c r="C21" s="5" t="s">
        <v>186</v>
      </c>
      <c r="D21" s="5" t="s">
        <v>187</v>
      </c>
      <c r="E21" s="5" t="s">
        <v>36</v>
      </c>
      <c r="F21" s="5" t="s">
        <v>37</v>
      </c>
      <c r="G21" s="5" t="s">
        <v>38</v>
      </c>
      <c r="H21" s="5"/>
      <c r="I21" s="5"/>
      <c r="J21" s="5" t="s">
        <v>39</v>
      </c>
      <c r="K21" s="5" t="s">
        <v>110</v>
      </c>
      <c r="L21" s="5" t="s">
        <v>111</v>
      </c>
      <c r="M21" s="5" t="s">
        <v>112</v>
      </c>
      <c r="N21" s="5" t="s">
        <v>36</v>
      </c>
      <c r="O21" s="5">
        <v>1</v>
      </c>
      <c r="P21" s="5" t="s">
        <v>43</v>
      </c>
      <c r="Q21" s="5">
        <v>12.99</v>
      </c>
      <c r="R21" s="5"/>
      <c r="S21" s="5"/>
      <c r="T21" s="5"/>
      <c r="U21" s="5"/>
      <c r="V21" s="5"/>
      <c r="W21" s="5"/>
      <c r="X21" s="5"/>
      <c r="Y21" s="5" t="s">
        <v>188</v>
      </c>
      <c r="Z21" s="5" t="s">
        <v>142</v>
      </c>
      <c r="AA21" s="5" t="s">
        <v>189</v>
      </c>
      <c r="AB21" s="5" t="s">
        <v>46</v>
      </c>
      <c r="AC21" s="5"/>
      <c r="AD21" s="5" t="b">
        <v>0</v>
      </c>
      <c r="AE21" s="5"/>
      <c r="AF21" s="5"/>
      <c r="AG21" s="9">
        <f t="shared" si="0"/>
        <v>43262</v>
      </c>
    </row>
    <row r="22" s="6" customFormat="1" spans="1:33">
      <c r="A22" s="5" t="s">
        <v>190</v>
      </c>
      <c r="B22" s="5" t="s">
        <v>190</v>
      </c>
      <c r="C22" s="5" t="s">
        <v>191</v>
      </c>
      <c r="D22" s="5" t="s">
        <v>192</v>
      </c>
      <c r="E22" s="5" t="s">
        <v>36</v>
      </c>
      <c r="F22" s="5" t="s">
        <v>37</v>
      </c>
      <c r="G22" s="5" t="s">
        <v>38</v>
      </c>
      <c r="H22" s="5"/>
      <c r="I22" s="5"/>
      <c r="J22" s="5" t="s">
        <v>39</v>
      </c>
      <c r="K22" s="5" t="s">
        <v>193</v>
      </c>
      <c r="L22" s="5" t="s">
        <v>194</v>
      </c>
      <c r="M22" s="5" t="s">
        <v>195</v>
      </c>
      <c r="N22" s="5" t="s">
        <v>36</v>
      </c>
      <c r="O22" s="5">
        <v>1</v>
      </c>
      <c r="P22" s="5" t="s">
        <v>43</v>
      </c>
      <c r="Q22" s="5">
        <v>36.99</v>
      </c>
      <c r="R22" s="5"/>
      <c r="S22" s="5"/>
      <c r="T22" s="5"/>
      <c r="U22" s="5"/>
      <c r="V22" s="5"/>
      <c r="W22" s="5"/>
      <c r="X22" s="5"/>
      <c r="Y22" s="5" t="s">
        <v>196</v>
      </c>
      <c r="Z22" s="5" t="s">
        <v>54</v>
      </c>
      <c r="AA22" s="5" t="s">
        <v>197</v>
      </c>
      <c r="AB22" s="5" t="s">
        <v>46</v>
      </c>
      <c r="AC22" s="5"/>
      <c r="AD22" s="5" t="b">
        <v>0</v>
      </c>
      <c r="AE22" s="5"/>
      <c r="AF22" s="5"/>
      <c r="AG22" s="9">
        <f t="shared" si="0"/>
        <v>43262</v>
      </c>
    </row>
    <row r="23" s="6" customFormat="1" spans="1:33">
      <c r="A23" s="5" t="s">
        <v>198</v>
      </c>
      <c r="B23" s="5" t="s">
        <v>198</v>
      </c>
      <c r="C23" s="5" t="s">
        <v>199</v>
      </c>
      <c r="D23" s="5" t="s">
        <v>200</v>
      </c>
      <c r="E23" s="5" t="s">
        <v>36</v>
      </c>
      <c r="F23" s="5" t="s">
        <v>37</v>
      </c>
      <c r="G23" s="5" t="s">
        <v>38</v>
      </c>
      <c r="H23" s="5"/>
      <c r="I23" s="5"/>
      <c r="J23" s="5" t="s">
        <v>39</v>
      </c>
      <c r="K23" s="5" t="s">
        <v>201</v>
      </c>
      <c r="L23" s="5" t="s">
        <v>202</v>
      </c>
      <c r="M23" s="5" t="s">
        <v>203</v>
      </c>
      <c r="N23" s="5" t="s">
        <v>36</v>
      </c>
      <c r="O23" s="5">
        <v>1</v>
      </c>
      <c r="P23" s="5" t="s">
        <v>43</v>
      </c>
      <c r="Q23" s="5">
        <v>18.99</v>
      </c>
      <c r="R23" s="5"/>
      <c r="S23" s="5"/>
      <c r="T23" s="5"/>
      <c r="U23" s="5"/>
      <c r="V23" s="5"/>
      <c r="W23" s="5"/>
      <c r="X23" s="5"/>
      <c r="Y23" s="5" t="s">
        <v>204</v>
      </c>
      <c r="Z23" s="5" t="s">
        <v>142</v>
      </c>
      <c r="AA23" s="5" t="s">
        <v>205</v>
      </c>
      <c r="AB23" s="5" t="s">
        <v>46</v>
      </c>
      <c r="AC23" s="5"/>
      <c r="AD23" s="5" t="b">
        <v>0</v>
      </c>
      <c r="AE23" s="5"/>
      <c r="AF23" s="5"/>
      <c r="AG23" s="9">
        <f t="shared" si="0"/>
        <v>43262</v>
      </c>
    </row>
    <row r="24" s="6" customFormat="1" spans="1:33">
      <c r="A24" s="5" t="s">
        <v>206</v>
      </c>
      <c r="B24" s="5" t="s">
        <v>206</v>
      </c>
      <c r="C24" s="5" t="s">
        <v>207</v>
      </c>
      <c r="D24" s="5" t="s">
        <v>208</v>
      </c>
      <c r="E24" s="5" t="s">
        <v>36</v>
      </c>
      <c r="F24" s="5" t="s">
        <v>37</v>
      </c>
      <c r="G24" s="5" t="s">
        <v>38</v>
      </c>
      <c r="H24" s="5"/>
      <c r="I24" s="5"/>
      <c r="J24" s="5" t="s">
        <v>39</v>
      </c>
      <c r="K24" s="5" t="s">
        <v>209</v>
      </c>
      <c r="L24" s="5" t="s">
        <v>210</v>
      </c>
      <c r="M24" s="5" t="s">
        <v>211</v>
      </c>
      <c r="N24" s="5" t="s">
        <v>36</v>
      </c>
      <c r="O24" s="5">
        <v>1</v>
      </c>
      <c r="P24" s="5" t="s">
        <v>43</v>
      </c>
      <c r="Q24" s="5">
        <v>13.99</v>
      </c>
      <c r="R24" s="5"/>
      <c r="S24" s="5"/>
      <c r="T24" s="5"/>
      <c r="U24" s="5"/>
      <c r="V24" s="5"/>
      <c r="W24" s="5"/>
      <c r="X24" s="5"/>
      <c r="Y24" s="5" t="s">
        <v>212</v>
      </c>
      <c r="Z24" s="5" t="s">
        <v>96</v>
      </c>
      <c r="AA24" s="5" t="s">
        <v>213</v>
      </c>
      <c r="AB24" s="5" t="s">
        <v>46</v>
      </c>
      <c r="AC24" s="5"/>
      <c r="AD24" s="5" t="b">
        <v>0</v>
      </c>
      <c r="AE24" s="5"/>
      <c r="AF24" s="5"/>
      <c r="AG24" s="9">
        <f t="shared" si="0"/>
        <v>43262</v>
      </c>
    </row>
    <row r="25" s="6" customFormat="1" spans="1:33">
      <c r="A25" s="5" t="s">
        <v>214</v>
      </c>
      <c r="B25" s="5" t="s">
        <v>214</v>
      </c>
      <c r="C25" s="5" t="s">
        <v>215</v>
      </c>
      <c r="D25" s="5" t="s">
        <v>216</v>
      </c>
      <c r="E25" s="5" t="s">
        <v>36</v>
      </c>
      <c r="F25" s="5" t="s">
        <v>37</v>
      </c>
      <c r="G25" s="5" t="s">
        <v>38</v>
      </c>
      <c r="H25" s="5"/>
      <c r="I25" s="5"/>
      <c r="J25" s="5" t="s">
        <v>39</v>
      </c>
      <c r="K25" s="5" t="s">
        <v>201</v>
      </c>
      <c r="L25" s="5" t="s">
        <v>202</v>
      </c>
      <c r="M25" s="5" t="s">
        <v>203</v>
      </c>
      <c r="N25" s="5" t="s">
        <v>36</v>
      </c>
      <c r="O25" s="5">
        <v>1</v>
      </c>
      <c r="P25" s="5" t="s">
        <v>43</v>
      </c>
      <c r="Q25" s="5">
        <v>18.99</v>
      </c>
      <c r="R25" s="5"/>
      <c r="S25" s="5"/>
      <c r="T25" s="5"/>
      <c r="U25" s="5"/>
      <c r="V25" s="5"/>
      <c r="W25" s="5"/>
      <c r="X25" s="5"/>
      <c r="Y25" s="5" t="s">
        <v>217</v>
      </c>
      <c r="Z25" s="5" t="s">
        <v>218</v>
      </c>
      <c r="AA25" s="5">
        <v>21113</v>
      </c>
      <c r="AB25" s="5" t="s">
        <v>46</v>
      </c>
      <c r="AC25" s="5"/>
      <c r="AD25" s="5" t="b">
        <v>0</v>
      </c>
      <c r="AE25" s="5"/>
      <c r="AF25" s="5"/>
      <c r="AG25" s="9">
        <f t="shared" si="0"/>
        <v>43262</v>
      </c>
    </row>
    <row r="26" s="6" customFormat="1" spans="1:33">
      <c r="A26" s="5" t="s">
        <v>219</v>
      </c>
      <c r="B26" s="5" t="s">
        <v>219</v>
      </c>
      <c r="C26" s="5" t="s">
        <v>220</v>
      </c>
      <c r="D26" s="5" t="s">
        <v>221</v>
      </c>
      <c r="E26" s="5" t="s">
        <v>36</v>
      </c>
      <c r="F26" s="5" t="s">
        <v>37</v>
      </c>
      <c r="G26" s="5" t="s">
        <v>38</v>
      </c>
      <c r="H26" s="5"/>
      <c r="I26" s="5"/>
      <c r="J26" s="5" t="s">
        <v>128</v>
      </c>
      <c r="K26" s="5" t="s">
        <v>101</v>
      </c>
      <c r="L26" s="5" t="s">
        <v>181</v>
      </c>
      <c r="M26" s="5" t="s">
        <v>103</v>
      </c>
      <c r="N26" s="5" t="s">
        <v>36</v>
      </c>
      <c r="O26" s="5">
        <v>1</v>
      </c>
      <c r="P26" s="5" t="s">
        <v>43</v>
      </c>
      <c r="Q26" s="5">
        <v>12.99</v>
      </c>
      <c r="R26" s="5"/>
      <c r="S26" s="5">
        <v>1.88</v>
      </c>
      <c r="T26" s="5"/>
      <c r="U26" s="5"/>
      <c r="V26" s="5"/>
      <c r="W26" s="5"/>
      <c r="X26" s="5">
        <v>1.88</v>
      </c>
      <c r="Y26" s="5" t="s">
        <v>222</v>
      </c>
      <c r="Z26" s="5" t="s">
        <v>223</v>
      </c>
      <c r="AA26" s="5" t="s">
        <v>224</v>
      </c>
      <c r="AB26" s="5" t="s">
        <v>46</v>
      </c>
      <c r="AC26" s="5" t="s">
        <v>225</v>
      </c>
      <c r="AD26" s="5" t="b">
        <v>0</v>
      </c>
      <c r="AE26" s="5"/>
      <c r="AF26" s="5"/>
      <c r="AG26" s="9">
        <f t="shared" si="0"/>
        <v>43262</v>
      </c>
    </row>
    <row r="27" s="6" customFormat="1" spans="1:33">
      <c r="A27" s="5" t="s">
        <v>226</v>
      </c>
      <c r="B27" s="5" t="s">
        <v>226</v>
      </c>
      <c r="C27" s="5" t="s">
        <v>227</v>
      </c>
      <c r="D27" s="5" t="s">
        <v>228</v>
      </c>
      <c r="E27" s="5" t="s">
        <v>36</v>
      </c>
      <c r="F27" s="5" t="s">
        <v>37</v>
      </c>
      <c r="G27" s="5" t="s">
        <v>38</v>
      </c>
      <c r="H27" s="5"/>
      <c r="I27" s="5"/>
      <c r="J27" s="5" t="s">
        <v>39</v>
      </c>
      <c r="K27" s="5" t="s">
        <v>229</v>
      </c>
      <c r="L27" s="5" t="s">
        <v>230</v>
      </c>
      <c r="M27" s="5" t="s">
        <v>231</v>
      </c>
      <c r="N27" s="5" t="s">
        <v>36</v>
      </c>
      <c r="O27" s="5">
        <v>1</v>
      </c>
      <c r="P27" s="5" t="s">
        <v>43</v>
      </c>
      <c r="Q27" s="5">
        <v>24.82</v>
      </c>
      <c r="R27" s="5"/>
      <c r="S27" s="5"/>
      <c r="T27" s="5"/>
      <c r="U27" s="5"/>
      <c r="V27" s="5"/>
      <c r="W27" s="5"/>
      <c r="X27" s="5"/>
      <c r="Y27" s="5" t="s">
        <v>232</v>
      </c>
      <c r="Z27" s="5" t="s">
        <v>96</v>
      </c>
      <c r="AA27" s="5" t="s">
        <v>233</v>
      </c>
      <c r="AB27" s="5" t="s">
        <v>46</v>
      </c>
      <c r="AC27" s="5"/>
      <c r="AD27" s="5" t="b">
        <v>0</v>
      </c>
      <c r="AE27" s="5"/>
      <c r="AF27" s="5"/>
      <c r="AG27" s="9">
        <f t="shared" si="0"/>
        <v>43262</v>
      </c>
    </row>
    <row r="28" s="6" customFormat="1" spans="1:33">
      <c r="A28" s="5" t="s">
        <v>234</v>
      </c>
      <c r="B28" s="5" t="s">
        <v>234</v>
      </c>
      <c r="C28" s="5" t="s">
        <v>235</v>
      </c>
      <c r="D28" s="5" t="s">
        <v>236</v>
      </c>
      <c r="E28" s="5" t="s">
        <v>36</v>
      </c>
      <c r="F28" s="5" t="s">
        <v>37</v>
      </c>
      <c r="G28" s="5" t="s">
        <v>38</v>
      </c>
      <c r="H28" s="5"/>
      <c r="I28" s="5"/>
      <c r="J28" s="5" t="s">
        <v>39</v>
      </c>
      <c r="K28" s="5" t="s">
        <v>75</v>
      </c>
      <c r="L28" s="5" t="s">
        <v>76</v>
      </c>
      <c r="M28" s="5" t="s">
        <v>77</v>
      </c>
      <c r="N28" s="5" t="s">
        <v>36</v>
      </c>
      <c r="O28" s="5">
        <v>1</v>
      </c>
      <c r="P28" s="5" t="s">
        <v>43</v>
      </c>
      <c r="Q28" s="5">
        <v>12.99</v>
      </c>
      <c r="R28" s="5"/>
      <c r="S28" s="5"/>
      <c r="T28" s="5"/>
      <c r="U28" s="5"/>
      <c r="V28" s="5"/>
      <c r="W28" s="5"/>
      <c r="X28" s="5"/>
      <c r="Y28" s="5" t="s">
        <v>237</v>
      </c>
      <c r="Z28" s="5" t="s">
        <v>238</v>
      </c>
      <c r="AA28" s="5" t="s">
        <v>239</v>
      </c>
      <c r="AB28" s="5" t="s">
        <v>46</v>
      </c>
      <c r="AC28" s="5"/>
      <c r="AD28" s="5" t="b">
        <v>0</v>
      </c>
      <c r="AE28" s="5"/>
      <c r="AF28" s="5"/>
      <c r="AG28" s="9">
        <f t="shared" si="0"/>
        <v>43262</v>
      </c>
    </row>
    <row r="29" s="6" customFormat="1" spans="1:33">
      <c r="A29" s="5" t="s">
        <v>240</v>
      </c>
      <c r="B29" s="5" t="s">
        <v>240</v>
      </c>
      <c r="C29" s="5" t="s">
        <v>241</v>
      </c>
      <c r="D29" s="5" t="s">
        <v>242</v>
      </c>
      <c r="E29" s="5" t="s">
        <v>36</v>
      </c>
      <c r="F29" s="5" t="s">
        <v>37</v>
      </c>
      <c r="G29" s="5" t="s">
        <v>38</v>
      </c>
      <c r="H29" s="5"/>
      <c r="I29" s="5"/>
      <c r="J29" s="5" t="s">
        <v>39</v>
      </c>
      <c r="K29" s="5" t="s">
        <v>243</v>
      </c>
      <c r="L29" s="5" t="s">
        <v>244</v>
      </c>
      <c r="M29" s="5" t="s">
        <v>245</v>
      </c>
      <c r="N29" s="5" t="s">
        <v>36</v>
      </c>
      <c r="O29" s="5">
        <v>1</v>
      </c>
      <c r="P29" s="5" t="s">
        <v>43</v>
      </c>
      <c r="Q29" s="5">
        <v>18.99</v>
      </c>
      <c r="R29" s="5"/>
      <c r="S29" s="5"/>
      <c r="T29" s="5"/>
      <c r="U29" s="5"/>
      <c r="V29" s="5"/>
      <c r="W29" s="5"/>
      <c r="X29" s="5"/>
      <c r="Y29" s="5" t="s">
        <v>246</v>
      </c>
      <c r="Z29" s="5" t="s">
        <v>247</v>
      </c>
      <c r="AA29" s="5">
        <v>76002</v>
      </c>
      <c r="AB29" s="5" t="s">
        <v>46</v>
      </c>
      <c r="AC29" s="5"/>
      <c r="AD29" s="5" t="b">
        <v>0</v>
      </c>
      <c r="AE29" s="5"/>
      <c r="AF29" s="5"/>
      <c r="AG29" s="9">
        <f t="shared" si="0"/>
        <v>43262</v>
      </c>
    </row>
    <row r="30" s="6" customFormat="1" spans="1:33">
      <c r="A30" s="5" t="s">
        <v>248</v>
      </c>
      <c r="B30" s="5" t="s">
        <v>248</v>
      </c>
      <c r="C30" s="5" t="s">
        <v>249</v>
      </c>
      <c r="D30" s="5" t="s">
        <v>250</v>
      </c>
      <c r="E30" s="5" t="s">
        <v>36</v>
      </c>
      <c r="F30" s="5" t="s">
        <v>37</v>
      </c>
      <c r="G30" s="5" t="s">
        <v>38</v>
      </c>
      <c r="H30" s="5"/>
      <c r="I30" s="5"/>
      <c r="J30" s="5" t="s">
        <v>39</v>
      </c>
      <c r="K30" s="5" t="s">
        <v>251</v>
      </c>
      <c r="L30" s="5" t="s">
        <v>252</v>
      </c>
      <c r="M30" s="5" t="s">
        <v>253</v>
      </c>
      <c r="N30" s="5" t="s">
        <v>36</v>
      </c>
      <c r="O30" s="5">
        <v>1</v>
      </c>
      <c r="P30" s="5" t="s">
        <v>43</v>
      </c>
      <c r="Q30" s="5">
        <v>16.98</v>
      </c>
      <c r="R30" s="5"/>
      <c r="S30" s="5"/>
      <c r="T30" s="5"/>
      <c r="U30" s="5"/>
      <c r="V30" s="5"/>
      <c r="W30" s="5"/>
      <c r="X30" s="5"/>
      <c r="Y30" s="5" t="s">
        <v>254</v>
      </c>
      <c r="Z30" s="5" t="s">
        <v>255</v>
      </c>
      <c r="AA30" s="5" t="s">
        <v>256</v>
      </c>
      <c r="AB30" s="5" t="s">
        <v>46</v>
      </c>
      <c r="AC30" s="5"/>
      <c r="AD30" s="5" t="b">
        <v>0</v>
      </c>
      <c r="AE30" s="5"/>
      <c r="AF30" s="5"/>
      <c r="AG30" s="9">
        <f t="shared" si="0"/>
        <v>43262</v>
      </c>
    </row>
    <row r="31" s="6" customFormat="1" spans="1:33">
      <c r="A31" s="5" t="s">
        <v>257</v>
      </c>
      <c r="B31" s="5" t="s">
        <v>257</v>
      </c>
      <c r="C31" s="5" t="s">
        <v>258</v>
      </c>
      <c r="D31" s="5" t="s">
        <v>259</v>
      </c>
      <c r="E31" s="5" t="s">
        <v>36</v>
      </c>
      <c r="F31" s="5" t="s">
        <v>37</v>
      </c>
      <c r="G31" s="5" t="s">
        <v>38</v>
      </c>
      <c r="H31" s="5"/>
      <c r="I31" s="5"/>
      <c r="J31" s="5" t="s">
        <v>39</v>
      </c>
      <c r="K31" s="5" t="s">
        <v>260</v>
      </c>
      <c r="L31" s="5" t="s">
        <v>261</v>
      </c>
      <c r="M31" s="5" t="s">
        <v>262</v>
      </c>
      <c r="N31" s="5" t="s">
        <v>36</v>
      </c>
      <c r="O31" s="5">
        <v>1</v>
      </c>
      <c r="P31" s="5" t="s">
        <v>43</v>
      </c>
      <c r="Q31" s="5">
        <v>18.99</v>
      </c>
      <c r="R31" s="5"/>
      <c r="S31" s="5"/>
      <c r="T31" s="5"/>
      <c r="U31" s="5"/>
      <c r="V31" s="5"/>
      <c r="W31" s="5"/>
      <c r="X31" s="5"/>
      <c r="Y31" s="5" t="s">
        <v>263</v>
      </c>
      <c r="Z31" s="5" t="s">
        <v>264</v>
      </c>
      <c r="AA31" s="5" t="s">
        <v>265</v>
      </c>
      <c r="AB31" s="5" t="s">
        <v>46</v>
      </c>
      <c r="AC31" s="5"/>
      <c r="AD31" s="5" t="b">
        <v>0</v>
      </c>
      <c r="AE31" s="5"/>
      <c r="AF31" s="5"/>
      <c r="AG31" s="9">
        <f t="shared" si="0"/>
        <v>43262</v>
      </c>
    </row>
    <row r="32" s="6" customFormat="1" spans="1:33">
      <c r="A32" s="5" t="s">
        <v>266</v>
      </c>
      <c r="B32" s="5" t="s">
        <v>266</v>
      </c>
      <c r="C32" s="5" t="s">
        <v>267</v>
      </c>
      <c r="D32" s="5" t="s">
        <v>268</v>
      </c>
      <c r="E32" s="5" t="s">
        <v>36</v>
      </c>
      <c r="F32" s="5" t="s">
        <v>37</v>
      </c>
      <c r="G32" s="5" t="s">
        <v>38</v>
      </c>
      <c r="H32" s="5"/>
      <c r="I32" s="5"/>
      <c r="J32" s="5" t="s">
        <v>39</v>
      </c>
      <c r="K32" s="5" t="s">
        <v>269</v>
      </c>
      <c r="L32" s="5" t="s">
        <v>270</v>
      </c>
      <c r="M32" s="5" t="s">
        <v>271</v>
      </c>
      <c r="N32" s="5" t="s">
        <v>36</v>
      </c>
      <c r="O32" s="5">
        <v>1</v>
      </c>
      <c r="P32" s="5" t="s">
        <v>43</v>
      </c>
      <c r="Q32" s="5">
        <v>24.99</v>
      </c>
      <c r="R32" s="5"/>
      <c r="S32" s="5"/>
      <c r="T32" s="5"/>
      <c r="U32" s="5"/>
      <c r="V32" s="5"/>
      <c r="W32" s="5"/>
      <c r="X32" s="5"/>
      <c r="Y32" s="5" t="s">
        <v>272</v>
      </c>
      <c r="Z32" s="5" t="s">
        <v>273</v>
      </c>
      <c r="AA32" s="5" t="s">
        <v>274</v>
      </c>
      <c r="AB32" s="5" t="s">
        <v>46</v>
      </c>
      <c r="AC32" s="5"/>
      <c r="AD32" s="5" t="b">
        <v>0</v>
      </c>
      <c r="AE32" s="5"/>
      <c r="AF32" s="5"/>
      <c r="AG32" s="9">
        <f t="shared" si="0"/>
        <v>43262</v>
      </c>
    </row>
    <row r="33" s="6" customFormat="1" spans="1:33">
      <c r="A33" s="5" t="s">
        <v>275</v>
      </c>
      <c r="B33" s="5" t="s">
        <v>275</v>
      </c>
      <c r="C33" s="5" t="s">
        <v>276</v>
      </c>
      <c r="D33" s="5" t="s">
        <v>277</v>
      </c>
      <c r="E33" s="5" t="s">
        <v>36</v>
      </c>
      <c r="F33" s="5" t="s">
        <v>37</v>
      </c>
      <c r="G33" s="5" t="s">
        <v>38</v>
      </c>
      <c r="H33" s="5"/>
      <c r="I33" s="5"/>
      <c r="J33" s="5" t="s">
        <v>128</v>
      </c>
      <c r="K33" s="5" t="s">
        <v>278</v>
      </c>
      <c r="L33" s="5" t="s">
        <v>279</v>
      </c>
      <c r="M33" s="5" t="s">
        <v>280</v>
      </c>
      <c r="N33" s="5" t="s">
        <v>36</v>
      </c>
      <c r="O33" s="5">
        <v>2</v>
      </c>
      <c r="P33" s="5" t="s">
        <v>43</v>
      </c>
      <c r="Q33" s="5">
        <v>49.98</v>
      </c>
      <c r="R33" s="5"/>
      <c r="S33" s="5">
        <v>7.85</v>
      </c>
      <c r="T33" s="5"/>
      <c r="U33" s="5"/>
      <c r="V33" s="5"/>
      <c r="W33" s="5">
        <v>2.5</v>
      </c>
      <c r="X33" s="5"/>
      <c r="Y33" s="5" t="s">
        <v>281</v>
      </c>
      <c r="Z33" s="5" t="s">
        <v>282</v>
      </c>
      <c r="AA33" s="5" t="s">
        <v>283</v>
      </c>
      <c r="AB33" s="5" t="s">
        <v>46</v>
      </c>
      <c r="AC33" s="5" t="s">
        <v>115</v>
      </c>
      <c r="AD33" s="5" t="b">
        <v>0</v>
      </c>
      <c r="AE33" s="5"/>
      <c r="AF33" s="5"/>
      <c r="AG33" s="9">
        <f t="shared" si="0"/>
        <v>43262</v>
      </c>
    </row>
    <row r="34" s="6" customFormat="1" spans="1:33">
      <c r="A34" s="5" t="s">
        <v>284</v>
      </c>
      <c r="B34" s="5" t="s">
        <v>284</v>
      </c>
      <c r="C34" s="5" t="s">
        <v>285</v>
      </c>
      <c r="D34" s="5" t="s">
        <v>286</v>
      </c>
      <c r="E34" s="5" t="s">
        <v>36</v>
      </c>
      <c r="F34" s="5" t="s">
        <v>37</v>
      </c>
      <c r="G34" s="5" t="s">
        <v>38</v>
      </c>
      <c r="H34" s="5"/>
      <c r="I34" s="5"/>
      <c r="J34" s="5" t="s">
        <v>287</v>
      </c>
      <c r="K34" s="5" t="s">
        <v>119</v>
      </c>
      <c r="L34" s="5" t="s">
        <v>120</v>
      </c>
      <c r="M34" s="5" t="s">
        <v>121</v>
      </c>
      <c r="N34" s="5" t="s">
        <v>36</v>
      </c>
      <c r="O34" s="5">
        <v>1</v>
      </c>
      <c r="P34" s="5" t="s">
        <v>43</v>
      </c>
      <c r="Q34" s="5">
        <v>24.99</v>
      </c>
      <c r="R34" s="5">
        <v>1.5</v>
      </c>
      <c r="S34" s="5">
        <v>2.99</v>
      </c>
      <c r="T34" s="5"/>
      <c r="U34" s="5"/>
      <c r="V34" s="5"/>
      <c r="W34" s="5"/>
      <c r="X34" s="5">
        <v>2.99</v>
      </c>
      <c r="Y34" s="5" t="s">
        <v>288</v>
      </c>
      <c r="Z34" s="5" t="s">
        <v>255</v>
      </c>
      <c r="AA34" s="5" t="s">
        <v>289</v>
      </c>
      <c r="AB34" s="5" t="s">
        <v>46</v>
      </c>
      <c r="AC34" s="5"/>
      <c r="AD34" s="5" t="b">
        <v>0</v>
      </c>
      <c r="AE34" s="5"/>
      <c r="AF34" s="5"/>
      <c r="AG34" s="9">
        <f t="shared" si="0"/>
        <v>43262</v>
      </c>
    </row>
    <row r="35" s="6" customFormat="1" spans="1:33">
      <c r="A35" s="5" t="s">
        <v>290</v>
      </c>
      <c r="B35" s="5" t="s">
        <v>290</v>
      </c>
      <c r="C35" s="5" t="s">
        <v>291</v>
      </c>
      <c r="D35" s="5" t="s">
        <v>292</v>
      </c>
      <c r="E35" s="5" t="s">
        <v>36</v>
      </c>
      <c r="F35" s="5" t="s">
        <v>37</v>
      </c>
      <c r="G35" s="5" t="s">
        <v>38</v>
      </c>
      <c r="H35" s="5"/>
      <c r="I35" s="5"/>
      <c r="J35" s="5" t="s">
        <v>39</v>
      </c>
      <c r="K35" s="5" t="s">
        <v>293</v>
      </c>
      <c r="L35" s="5" t="s">
        <v>294</v>
      </c>
      <c r="M35" s="5" t="s">
        <v>295</v>
      </c>
      <c r="N35" s="5" t="s">
        <v>36</v>
      </c>
      <c r="O35" s="5">
        <v>1</v>
      </c>
      <c r="P35" s="5" t="s">
        <v>43</v>
      </c>
      <c r="Q35" s="5">
        <v>18.99</v>
      </c>
      <c r="R35" s="5"/>
      <c r="S35" s="5"/>
      <c r="T35" s="5"/>
      <c r="U35" s="5"/>
      <c r="V35" s="5"/>
      <c r="W35" s="5"/>
      <c r="X35" s="5"/>
      <c r="Y35" s="5" t="s">
        <v>296</v>
      </c>
      <c r="Z35" s="5" t="s">
        <v>54</v>
      </c>
      <c r="AA35" s="5" t="s">
        <v>297</v>
      </c>
      <c r="AB35" s="5" t="s">
        <v>46</v>
      </c>
      <c r="AC35" s="5"/>
      <c r="AD35" s="5" t="b">
        <v>0</v>
      </c>
      <c r="AE35" s="5"/>
      <c r="AF35" s="5"/>
      <c r="AG35" s="9">
        <f t="shared" si="0"/>
        <v>43262</v>
      </c>
    </row>
    <row r="36" s="6" customFormat="1" spans="1:33">
      <c r="A36" s="5" t="s">
        <v>298</v>
      </c>
      <c r="B36" s="5" t="s">
        <v>298</v>
      </c>
      <c r="C36" s="5" t="s">
        <v>299</v>
      </c>
      <c r="D36" s="5" t="s">
        <v>300</v>
      </c>
      <c r="E36" s="5" t="s">
        <v>36</v>
      </c>
      <c r="F36" s="5" t="s">
        <v>37</v>
      </c>
      <c r="G36" s="5" t="s">
        <v>38</v>
      </c>
      <c r="H36" s="5"/>
      <c r="I36" s="5"/>
      <c r="J36" s="5" t="s">
        <v>39</v>
      </c>
      <c r="K36" s="5" t="s">
        <v>243</v>
      </c>
      <c r="L36" s="5" t="s">
        <v>301</v>
      </c>
      <c r="M36" s="5" t="s">
        <v>245</v>
      </c>
      <c r="N36" s="5" t="s">
        <v>36</v>
      </c>
      <c r="O36" s="5">
        <v>1</v>
      </c>
      <c r="P36" s="5" t="s">
        <v>43</v>
      </c>
      <c r="Q36" s="5">
        <v>18.99</v>
      </c>
      <c r="R36" s="5"/>
      <c r="S36" s="5"/>
      <c r="T36" s="5"/>
      <c r="U36" s="5"/>
      <c r="V36" s="5"/>
      <c r="W36" s="5"/>
      <c r="X36" s="5"/>
      <c r="Y36" s="5" t="s">
        <v>254</v>
      </c>
      <c r="Z36" s="5" t="s">
        <v>151</v>
      </c>
      <c r="AA36" s="5" t="s">
        <v>302</v>
      </c>
      <c r="AB36" s="5" t="s">
        <v>46</v>
      </c>
      <c r="AC36" s="5"/>
      <c r="AD36" s="5" t="b">
        <v>0</v>
      </c>
      <c r="AE36" s="5"/>
      <c r="AF36" s="5"/>
      <c r="AG36" s="9">
        <f t="shared" si="0"/>
        <v>43263</v>
      </c>
    </row>
    <row r="37" s="6" customFormat="1" spans="1:33">
      <c r="A37" s="5" t="s">
        <v>303</v>
      </c>
      <c r="B37" s="5" t="s">
        <v>303</v>
      </c>
      <c r="C37" s="5" t="s">
        <v>304</v>
      </c>
      <c r="D37" s="5" t="s">
        <v>305</v>
      </c>
      <c r="E37" s="5" t="s">
        <v>36</v>
      </c>
      <c r="F37" s="5" t="s">
        <v>37</v>
      </c>
      <c r="G37" s="5" t="s">
        <v>38</v>
      </c>
      <c r="H37" s="5"/>
      <c r="I37" s="5"/>
      <c r="J37" s="5" t="s">
        <v>39</v>
      </c>
      <c r="K37" s="5" t="s">
        <v>119</v>
      </c>
      <c r="L37" s="5" t="s">
        <v>120</v>
      </c>
      <c r="M37" s="5" t="s">
        <v>121</v>
      </c>
      <c r="N37" s="5" t="s">
        <v>36</v>
      </c>
      <c r="O37" s="5">
        <v>1</v>
      </c>
      <c r="P37" s="5" t="s">
        <v>43</v>
      </c>
      <c r="Q37" s="5">
        <v>24.99</v>
      </c>
      <c r="R37" s="5"/>
      <c r="S37" s="5"/>
      <c r="T37" s="5"/>
      <c r="U37" s="5"/>
      <c r="V37" s="5"/>
      <c r="W37" s="5"/>
      <c r="X37" s="5"/>
      <c r="Y37" s="5" t="s">
        <v>306</v>
      </c>
      <c r="Z37" s="5" t="s">
        <v>307</v>
      </c>
      <c r="AA37" s="5" t="s">
        <v>308</v>
      </c>
      <c r="AB37" s="5" t="s">
        <v>46</v>
      </c>
      <c r="AC37" s="5"/>
      <c r="AD37" s="5" t="b">
        <v>0</v>
      </c>
      <c r="AE37" s="5"/>
      <c r="AF37" s="5"/>
      <c r="AG37" s="9">
        <f t="shared" si="0"/>
        <v>43263</v>
      </c>
    </row>
    <row r="38" s="6" customFormat="1" spans="1:33">
      <c r="A38" s="5" t="s">
        <v>309</v>
      </c>
      <c r="B38" s="5" t="s">
        <v>309</v>
      </c>
      <c r="C38" s="5" t="s">
        <v>310</v>
      </c>
      <c r="D38" s="5" t="s">
        <v>311</v>
      </c>
      <c r="E38" s="5" t="s">
        <v>36</v>
      </c>
      <c r="F38" s="5" t="s">
        <v>37</v>
      </c>
      <c r="G38" s="5" t="s">
        <v>38</v>
      </c>
      <c r="H38" s="5"/>
      <c r="I38" s="5"/>
      <c r="J38" s="5" t="s">
        <v>39</v>
      </c>
      <c r="K38" s="5" t="s">
        <v>312</v>
      </c>
      <c r="L38" s="5" t="s">
        <v>313</v>
      </c>
      <c r="M38" s="5" t="s">
        <v>314</v>
      </c>
      <c r="N38" s="5" t="s">
        <v>36</v>
      </c>
      <c r="O38" s="5">
        <v>1</v>
      </c>
      <c r="P38" s="5" t="s">
        <v>43</v>
      </c>
      <c r="Q38" s="5">
        <v>24.99</v>
      </c>
      <c r="R38" s="5"/>
      <c r="S38" s="5"/>
      <c r="T38" s="5"/>
      <c r="U38" s="5"/>
      <c r="V38" s="5"/>
      <c r="W38" s="5"/>
      <c r="X38" s="5"/>
      <c r="Y38" s="5" t="s">
        <v>315</v>
      </c>
      <c r="Z38" s="5" t="s">
        <v>87</v>
      </c>
      <c r="AA38" s="5" t="s">
        <v>316</v>
      </c>
      <c r="AB38" s="5" t="s">
        <v>46</v>
      </c>
      <c r="AC38" s="5"/>
      <c r="AD38" s="5" t="b">
        <v>0</v>
      </c>
      <c r="AE38" s="5"/>
      <c r="AF38" s="5"/>
      <c r="AG38" s="9">
        <f t="shared" si="0"/>
        <v>43263</v>
      </c>
    </row>
    <row r="39" s="6" customFormat="1" spans="1:33">
      <c r="A39" s="5" t="s">
        <v>317</v>
      </c>
      <c r="B39" s="5" t="s">
        <v>317</v>
      </c>
      <c r="C39" s="5" t="s">
        <v>318</v>
      </c>
      <c r="D39" s="5" t="s">
        <v>319</v>
      </c>
      <c r="E39" s="5" t="s">
        <v>36</v>
      </c>
      <c r="F39" s="5" t="s">
        <v>37</v>
      </c>
      <c r="G39" s="5" t="s">
        <v>38</v>
      </c>
      <c r="H39" s="5"/>
      <c r="I39" s="5"/>
      <c r="J39" s="5" t="s">
        <v>39</v>
      </c>
      <c r="K39" s="5" t="s">
        <v>278</v>
      </c>
      <c r="L39" s="5" t="s">
        <v>279</v>
      </c>
      <c r="M39" s="5" t="s">
        <v>280</v>
      </c>
      <c r="N39" s="5" t="s">
        <v>36</v>
      </c>
      <c r="O39" s="5">
        <v>1</v>
      </c>
      <c r="P39" s="5" t="s">
        <v>43</v>
      </c>
      <c r="Q39" s="5">
        <v>24.99</v>
      </c>
      <c r="R39" s="5"/>
      <c r="S39" s="5"/>
      <c r="T39" s="5"/>
      <c r="U39" s="5"/>
      <c r="V39" s="5"/>
      <c r="W39" s="5"/>
      <c r="X39" s="5"/>
      <c r="Y39" s="5" t="s">
        <v>320</v>
      </c>
      <c r="Z39" s="5" t="s">
        <v>321</v>
      </c>
      <c r="AA39" s="5">
        <v>58048</v>
      </c>
      <c r="AB39" s="5" t="s">
        <v>46</v>
      </c>
      <c r="AC39" s="5"/>
      <c r="AD39" s="5" t="b">
        <v>0</v>
      </c>
      <c r="AE39" s="5"/>
      <c r="AF39" s="5"/>
      <c r="AG39" s="9">
        <f t="shared" si="0"/>
        <v>43263</v>
      </c>
    </row>
    <row r="40" s="6" customFormat="1" spans="1:33">
      <c r="A40" s="5" t="s">
        <v>322</v>
      </c>
      <c r="B40" s="5" t="s">
        <v>322</v>
      </c>
      <c r="C40" s="5" t="s">
        <v>323</v>
      </c>
      <c r="D40" s="5" t="s">
        <v>324</v>
      </c>
      <c r="E40" s="5" t="s">
        <v>36</v>
      </c>
      <c r="F40" s="5" t="s">
        <v>37</v>
      </c>
      <c r="G40" s="5" t="s">
        <v>38</v>
      </c>
      <c r="H40" s="5"/>
      <c r="I40" s="5"/>
      <c r="J40" s="5" t="s">
        <v>39</v>
      </c>
      <c r="K40" s="5" t="s">
        <v>325</v>
      </c>
      <c r="L40" s="5" t="s">
        <v>326</v>
      </c>
      <c r="M40" s="5" t="s">
        <v>327</v>
      </c>
      <c r="N40" s="5" t="s">
        <v>36</v>
      </c>
      <c r="O40" s="5">
        <v>1</v>
      </c>
      <c r="P40" s="5" t="s">
        <v>43</v>
      </c>
      <c r="Q40" s="5">
        <v>10</v>
      </c>
      <c r="R40" s="5"/>
      <c r="S40" s="5"/>
      <c r="T40" s="5"/>
      <c r="U40" s="5"/>
      <c r="V40" s="5"/>
      <c r="W40" s="5"/>
      <c r="X40" s="5"/>
      <c r="Y40" s="5" t="s">
        <v>328</v>
      </c>
      <c r="Z40" s="5" t="s">
        <v>329</v>
      </c>
      <c r="AA40" s="5" t="s">
        <v>330</v>
      </c>
      <c r="AB40" s="5" t="s">
        <v>46</v>
      </c>
      <c r="AC40" s="5"/>
      <c r="AD40" s="5" t="b">
        <v>0</v>
      </c>
      <c r="AE40" s="5"/>
      <c r="AF40" s="5"/>
      <c r="AG40" s="9">
        <f t="shared" si="0"/>
        <v>43263</v>
      </c>
    </row>
    <row r="41" s="6" customFormat="1" spans="1:33">
      <c r="A41" s="5" t="s">
        <v>331</v>
      </c>
      <c r="B41" s="5" t="s">
        <v>331</v>
      </c>
      <c r="C41" s="5" t="s">
        <v>332</v>
      </c>
      <c r="D41" s="5" t="s">
        <v>333</v>
      </c>
      <c r="E41" s="5" t="s">
        <v>36</v>
      </c>
      <c r="F41" s="5" t="s">
        <v>37</v>
      </c>
      <c r="G41" s="5" t="s">
        <v>38</v>
      </c>
      <c r="H41" s="5"/>
      <c r="I41" s="5"/>
      <c r="J41" s="5" t="s">
        <v>39</v>
      </c>
      <c r="K41" s="5" t="s">
        <v>50</v>
      </c>
      <c r="L41" s="5" t="s">
        <v>51</v>
      </c>
      <c r="M41" s="5" t="s">
        <v>52</v>
      </c>
      <c r="N41" s="5" t="s">
        <v>36</v>
      </c>
      <c r="O41" s="5">
        <v>1</v>
      </c>
      <c r="P41" s="5" t="s">
        <v>43</v>
      </c>
      <c r="Q41" s="5">
        <v>18.99</v>
      </c>
      <c r="R41" s="5"/>
      <c r="S41" s="5"/>
      <c r="T41" s="5"/>
      <c r="U41" s="5"/>
      <c r="V41" s="5"/>
      <c r="W41" s="5"/>
      <c r="X41" s="5"/>
      <c r="Y41" s="5" t="s">
        <v>334</v>
      </c>
      <c r="Z41" s="5" t="s">
        <v>335</v>
      </c>
      <c r="AA41" s="5" t="s">
        <v>336</v>
      </c>
      <c r="AB41" s="5" t="s">
        <v>46</v>
      </c>
      <c r="AC41" s="5"/>
      <c r="AD41" s="5" t="b">
        <v>0</v>
      </c>
      <c r="AE41" s="5"/>
      <c r="AF41" s="5"/>
      <c r="AG41" s="9">
        <f t="shared" si="0"/>
        <v>43263</v>
      </c>
    </row>
    <row r="42" s="6" customFormat="1" spans="1:33">
      <c r="A42" s="5" t="s">
        <v>337</v>
      </c>
      <c r="B42" s="5" t="s">
        <v>337</v>
      </c>
      <c r="C42" s="5" t="s">
        <v>338</v>
      </c>
      <c r="D42" s="5" t="s">
        <v>339</v>
      </c>
      <c r="E42" s="5" t="s">
        <v>36</v>
      </c>
      <c r="F42" s="5" t="s">
        <v>37</v>
      </c>
      <c r="G42" s="5" t="s">
        <v>38</v>
      </c>
      <c r="H42" s="5"/>
      <c r="I42" s="5"/>
      <c r="J42" s="5" t="s">
        <v>39</v>
      </c>
      <c r="K42" s="5" t="s">
        <v>269</v>
      </c>
      <c r="L42" s="5" t="s">
        <v>270</v>
      </c>
      <c r="M42" s="5" t="s">
        <v>271</v>
      </c>
      <c r="N42" s="5" t="s">
        <v>36</v>
      </c>
      <c r="O42" s="5">
        <v>1</v>
      </c>
      <c r="P42" s="5" t="s">
        <v>43</v>
      </c>
      <c r="Q42" s="5">
        <v>24.99</v>
      </c>
      <c r="R42" s="5"/>
      <c r="S42" s="5"/>
      <c r="T42" s="5"/>
      <c r="U42" s="5"/>
      <c r="V42" s="5"/>
      <c r="W42" s="5"/>
      <c r="X42" s="5"/>
      <c r="Y42" s="5" t="s">
        <v>340</v>
      </c>
      <c r="Z42" s="5" t="s">
        <v>218</v>
      </c>
      <c r="AA42" s="5" t="s">
        <v>341</v>
      </c>
      <c r="AB42" s="5" t="s">
        <v>46</v>
      </c>
      <c r="AC42" s="5"/>
      <c r="AD42" s="5" t="b">
        <v>0</v>
      </c>
      <c r="AE42" s="5"/>
      <c r="AF42" s="5"/>
      <c r="AG42" s="9">
        <f t="shared" si="0"/>
        <v>43263</v>
      </c>
    </row>
    <row r="43" s="6" customFormat="1" spans="1:33">
      <c r="A43" s="5" t="s">
        <v>342</v>
      </c>
      <c r="B43" s="5" t="s">
        <v>342</v>
      </c>
      <c r="C43" s="5" t="s">
        <v>343</v>
      </c>
      <c r="D43" s="5" t="s">
        <v>344</v>
      </c>
      <c r="E43" s="5" t="s">
        <v>36</v>
      </c>
      <c r="F43" s="5" t="s">
        <v>37</v>
      </c>
      <c r="G43" s="5" t="s">
        <v>38</v>
      </c>
      <c r="H43" s="5"/>
      <c r="I43" s="5"/>
      <c r="J43" s="5" t="s">
        <v>39</v>
      </c>
      <c r="K43" s="5" t="s">
        <v>345</v>
      </c>
      <c r="L43" s="5" t="s">
        <v>346</v>
      </c>
      <c r="M43" s="5" t="s">
        <v>347</v>
      </c>
      <c r="N43" s="5" t="s">
        <v>36</v>
      </c>
      <c r="O43" s="5">
        <v>1</v>
      </c>
      <c r="P43" s="5" t="s">
        <v>43</v>
      </c>
      <c r="Q43" s="5">
        <v>17.98</v>
      </c>
      <c r="R43" s="5"/>
      <c r="S43" s="5"/>
      <c r="T43" s="5"/>
      <c r="U43" s="5"/>
      <c r="V43" s="5"/>
      <c r="W43" s="5"/>
      <c r="X43" s="5"/>
      <c r="Y43" s="5" t="s">
        <v>348</v>
      </c>
      <c r="Z43" s="5" t="s">
        <v>349</v>
      </c>
      <c r="AA43" s="5">
        <v>73036</v>
      </c>
      <c r="AB43" s="5" t="s">
        <v>46</v>
      </c>
      <c r="AC43" s="5"/>
      <c r="AD43" s="5" t="b">
        <v>0</v>
      </c>
      <c r="AE43" s="5"/>
      <c r="AF43" s="5"/>
      <c r="AG43" s="9">
        <f t="shared" si="0"/>
        <v>43263</v>
      </c>
    </row>
    <row r="44" s="6" customFormat="1" spans="1:33">
      <c r="A44" s="5" t="s">
        <v>350</v>
      </c>
      <c r="B44" s="5" t="s">
        <v>350</v>
      </c>
      <c r="C44" s="5" t="s">
        <v>351</v>
      </c>
      <c r="D44" s="5" t="s">
        <v>352</v>
      </c>
      <c r="E44" s="5" t="s">
        <v>36</v>
      </c>
      <c r="F44" s="5" t="s">
        <v>37</v>
      </c>
      <c r="G44" s="5" t="s">
        <v>38</v>
      </c>
      <c r="H44" s="5"/>
      <c r="I44" s="5"/>
      <c r="J44" s="5" t="s">
        <v>39</v>
      </c>
      <c r="K44" s="5" t="s">
        <v>101</v>
      </c>
      <c r="L44" s="5" t="s">
        <v>102</v>
      </c>
      <c r="M44" s="5" t="s">
        <v>103</v>
      </c>
      <c r="N44" s="5" t="s">
        <v>36</v>
      </c>
      <c r="O44" s="5">
        <v>1</v>
      </c>
      <c r="P44" s="5" t="s">
        <v>43</v>
      </c>
      <c r="Q44" s="5">
        <v>12.99</v>
      </c>
      <c r="R44" s="5"/>
      <c r="S44" s="5"/>
      <c r="T44" s="5"/>
      <c r="U44" s="5"/>
      <c r="V44" s="5"/>
      <c r="W44" s="5"/>
      <c r="X44" s="5"/>
      <c r="Y44" s="5" t="s">
        <v>212</v>
      </c>
      <c r="Z44" s="5" t="s">
        <v>96</v>
      </c>
      <c r="AA44" s="5" t="s">
        <v>353</v>
      </c>
      <c r="AB44" s="5" t="s">
        <v>46</v>
      </c>
      <c r="AC44" s="5"/>
      <c r="AD44" s="5" t="b">
        <v>0</v>
      </c>
      <c r="AE44" s="5"/>
      <c r="AF44" s="5"/>
      <c r="AG44" s="9">
        <f t="shared" si="0"/>
        <v>43263</v>
      </c>
    </row>
    <row r="45" s="6" customFormat="1" spans="1:33">
      <c r="A45" s="5" t="s">
        <v>354</v>
      </c>
      <c r="B45" s="5" t="s">
        <v>354</v>
      </c>
      <c r="C45" s="5" t="s">
        <v>355</v>
      </c>
      <c r="D45" s="5" t="s">
        <v>356</v>
      </c>
      <c r="E45" s="5" t="s">
        <v>36</v>
      </c>
      <c r="F45" s="5" t="s">
        <v>37</v>
      </c>
      <c r="G45" s="5" t="s">
        <v>38</v>
      </c>
      <c r="H45" s="5"/>
      <c r="I45" s="5"/>
      <c r="J45" s="5" t="s">
        <v>128</v>
      </c>
      <c r="K45" s="5" t="s">
        <v>201</v>
      </c>
      <c r="L45" s="5" t="s">
        <v>202</v>
      </c>
      <c r="M45" s="5" t="s">
        <v>203</v>
      </c>
      <c r="N45" s="5" t="s">
        <v>36</v>
      </c>
      <c r="O45" s="5">
        <v>1</v>
      </c>
      <c r="P45" s="5" t="s">
        <v>43</v>
      </c>
      <c r="Q45" s="5">
        <v>18.99</v>
      </c>
      <c r="R45" s="5"/>
      <c r="S45" s="5">
        <v>2.21</v>
      </c>
      <c r="T45" s="5"/>
      <c r="U45" s="5"/>
      <c r="V45" s="5"/>
      <c r="W45" s="5">
        <v>0.95</v>
      </c>
      <c r="X45" s="5">
        <v>2.21</v>
      </c>
      <c r="Y45" s="5" t="s">
        <v>357</v>
      </c>
      <c r="Z45" s="5" t="s">
        <v>238</v>
      </c>
      <c r="AA45" s="5">
        <v>30094</v>
      </c>
      <c r="AB45" s="5" t="s">
        <v>46</v>
      </c>
      <c r="AC45" s="5" t="s">
        <v>132</v>
      </c>
      <c r="AD45" s="5" t="b">
        <v>0</v>
      </c>
      <c r="AE45" s="5"/>
      <c r="AF45" s="5"/>
      <c r="AG45" s="9">
        <f t="shared" si="0"/>
        <v>43263</v>
      </c>
    </row>
    <row r="46" s="6" customFormat="1" spans="1:33">
      <c r="A46" s="5" t="s">
        <v>354</v>
      </c>
      <c r="B46" s="5" t="s">
        <v>354</v>
      </c>
      <c r="C46" s="5" t="s">
        <v>355</v>
      </c>
      <c r="D46" s="5" t="s">
        <v>356</v>
      </c>
      <c r="E46" s="5" t="s">
        <v>36</v>
      </c>
      <c r="F46" s="5" t="s">
        <v>37</v>
      </c>
      <c r="G46" s="5" t="s">
        <v>38</v>
      </c>
      <c r="H46" s="5"/>
      <c r="I46" s="5"/>
      <c r="J46" s="5" t="s">
        <v>128</v>
      </c>
      <c r="K46" s="5" t="s">
        <v>50</v>
      </c>
      <c r="L46" s="5" t="s">
        <v>51</v>
      </c>
      <c r="M46" s="5" t="s">
        <v>52</v>
      </c>
      <c r="N46" s="5" t="s">
        <v>36</v>
      </c>
      <c r="O46" s="5">
        <v>2</v>
      </c>
      <c r="P46" s="5" t="s">
        <v>43</v>
      </c>
      <c r="Q46" s="5">
        <v>37.98</v>
      </c>
      <c r="R46" s="5"/>
      <c r="S46" s="5">
        <v>4.38</v>
      </c>
      <c r="T46" s="5"/>
      <c r="U46" s="5"/>
      <c r="V46" s="5"/>
      <c r="W46" s="5">
        <v>1.9</v>
      </c>
      <c r="X46" s="5">
        <v>4.38</v>
      </c>
      <c r="Y46" s="5" t="s">
        <v>357</v>
      </c>
      <c r="Z46" s="5" t="s">
        <v>238</v>
      </c>
      <c r="AA46" s="5">
        <v>30094</v>
      </c>
      <c r="AB46" s="5" t="s">
        <v>46</v>
      </c>
      <c r="AC46" s="5" t="s">
        <v>132</v>
      </c>
      <c r="AD46" s="5" t="b">
        <v>0</v>
      </c>
      <c r="AE46" s="5"/>
      <c r="AF46" s="5"/>
      <c r="AG46" s="9">
        <f t="shared" si="0"/>
        <v>43263</v>
      </c>
    </row>
    <row r="47" s="6" customFormat="1" spans="1:33">
      <c r="A47" s="5" t="s">
        <v>358</v>
      </c>
      <c r="B47" s="5" t="s">
        <v>358</v>
      </c>
      <c r="C47" s="5" t="s">
        <v>359</v>
      </c>
      <c r="D47" s="5" t="s">
        <v>360</v>
      </c>
      <c r="E47" s="5" t="s">
        <v>36</v>
      </c>
      <c r="F47" s="5" t="s">
        <v>37</v>
      </c>
      <c r="G47" s="5" t="s">
        <v>38</v>
      </c>
      <c r="H47" s="5"/>
      <c r="I47" s="5"/>
      <c r="J47" s="5" t="s">
        <v>39</v>
      </c>
      <c r="K47" s="5" t="s">
        <v>75</v>
      </c>
      <c r="L47" s="5" t="s">
        <v>76</v>
      </c>
      <c r="M47" s="5" t="s">
        <v>77</v>
      </c>
      <c r="N47" s="5" t="s">
        <v>36</v>
      </c>
      <c r="O47" s="5">
        <v>1</v>
      </c>
      <c r="P47" s="5" t="s">
        <v>43</v>
      </c>
      <c r="Q47" s="5">
        <v>12.99</v>
      </c>
      <c r="R47" s="5"/>
      <c r="S47" s="5"/>
      <c r="T47" s="5"/>
      <c r="U47" s="5"/>
      <c r="V47" s="5"/>
      <c r="W47" s="5"/>
      <c r="X47" s="5"/>
      <c r="Y47" s="5" t="s">
        <v>361</v>
      </c>
      <c r="Z47" s="5" t="s">
        <v>105</v>
      </c>
      <c r="AA47" s="5">
        <v>8087</v>
      </c>
      <c r="AB47" s="5" t="s">
        <v>46</v>
      </c>
      <c r="AC47" s="5"/>
      <c r="AD47" s="5" t="b">
        <v>0</v>
      </c>
      <c r="AE47" s="5"/>
      <c r="AF47" s="5"/>
      <c r="AG47" s="9">
        <f t="shared" si="0"/>
        <v>43263</v>
      </c>
    </row>
    <row r="48" s="6" customFormat="1" spans="1:33">
      <c r="A48" s="5" t="s">
        <v>362</v>
      </c>
      <c r="B48" s="5" t="s">
        <v>362</v>
      </c>
      <c r="C48" s="5" t="s">
        <v>363</v>
      </c>
      <c r="D48" s="5" t="s">
        <v>364</v>
      </c>
      <c r="E48" s="5" t="s">
        <v>36</v>
      </c>
      <c r="F48" s="5" t="s">
        <v>37</v>
      </c>
      <c r="G48" s="5" t="s">
        <v>38</v>
      </c>
      <c r="H48" s="5"/>
      <c r="I48" s="5"/>
      <c r="J48" s="5" t="s">
        <v>39</v>
      </c>
      <c r="K48" s="5" t="s">
        <v>365</v>
      </c>
      <c r="L48" s="5" t="s">
        <v>366</v>
      </c>
      <c r="M48" s="5" t="s">
        <v>367</v>
      </c>
      <c r="N48" s="5" t="s">
        <v>36</v>
      </c>
      <c r="O48" s="5">
        <v>2</v>
      </c>
      <c r="P48" s="5" t="s">
        <v>43</v>
      </c>
      <c r="Q48" s="5">
        <v>37.98</v>
      </c>
      <c r="R48" s="5"/>
      <c r="S48" s="5"/>
      <c r="T48" s="5"/>
      <c r="U48" s="5"/>
      <c r="V48" s="5"/>
      <c r="W48" s="5">
        <v>1.9</v>
      </c>
      <c r="X48" s="5"/>
      <c r="Y48" s="5" t="s">
        <v>368</v>
      </c>
      <c r="Z48" s="5" t="s">
        <v>282</v>
      </c>
      <c r="AA48" s="5" t="s">
        <v>369</v>
      </c>
      <c r="AB48" s="5" t="s">
        <v>46</v>
      </c>
      <c r="AC48" s="5" t="s">
        <v>115</v>
      </c>
      <c r="AD48" s="5" t="b">
        <v>0</v>
      </c>
      <c r="AE48" s="5"/>
      <c r="AF48" s="5"/>
      <c r="AG48" s="9">
        <f t="shared" si="0"/>
        <v>43263</v>
      </c>
    </row>
    <row r="49" s="6" customFormat="1" spans="1:33">
      <c r="A49" s="5" t="s">
        <v>370</v>
      </c>
      <c r="B49" s="5" t="s">
        <v>370</v>
      </c>
      <c r="C49" s="5" t="s">
        <v>371</v>
      </c>
      <c r="D49" s="5" t="s">
        <v>372</v>
      </c>
      <c r="E49" s="5" t="s">
        <v>36</v>
      </c>
      <c r="F49" s="5" t="s">
        <v>37</v>
      </c>
      <c r="G49" s="5" t="s">
        <v>38</v>
      </c>
      <c r="H49" s="5"/>
      <c r="I49" s="5"/>
      <c r="J49" s="5" t="s">
        <v>39</v>
      </c>
      <c r="K49" s="5" t="s">
        <v>373</v>
      </c>
      <c r="L49" s="5" t="s">
        <v>374</v>
      </c>
      <c r="M49" s="5" t="s">
        <v>375</v>
      </c>
      <c r="N49" s="5" t="s">
        <v>36</v>
      </c>
      <c r="O49" s="5">
        <v>1</v>
      </c>
      <c r="P49" s="5" t="s">
        <v>43</v>
      </c>
      <c r="Q49" s="5">
        <v>9.9</v>
      </c>
      <c r="R49" s="5"/>
      <c r="S49" s="5"/>
      <c r="T49" s="5"/>
      <c r="U49" s="5"/>
      <c r="V49" s="5"/>
      <c r="W49" s="5"/>
      <c r="X49" s="5"/>
      <c r="Y49" s="5" t="s">
        <v>376</v>
      </c>
      <c r="Z49" s="5" t="s">
        <v>377</v>
      </c>
      <c r="AA49" s="5">
        <v>1960</v>
      </c>
      <c r="AB49" s="5" t="s">
        <v>46</v>
      </c>
      <c r="AC49" s="5"/>
      <c r="AD49" s="5" t="b">
        <v>0</v>
      </c>
      <c r="AE49" s="5"/>
      <c r="AF49" s="5"/>
      <c r="AG49" s="9">
        <f t="shared" si="0"/>
        <v>43263</v>
      </c>
    </row>
    <row r="50" s="6" customFormat="1" spans="1:33">
      <c r="A50" s="5" t="s">
        <v>378</v>
      </c>
      <c r="B50" s="5" t="s">
        <v>378</v>
      </c>
      <c r="C50" s="5" t="s">
        <v>379</v>
      </c>
      <c r="D50" s="5" t="s">
        <v>380</v>
      </c>
      <c r="E50" s="5" t="s">
        <v>36</v>
      </c>
      <c r="F50" s="5" t="s">
        <v>37</v>
      </c>
      <c r="G50" s="5" t="s">
        <v>38</v>
      </c>
      <c r="H50" s="5"/>
      <c r="I50" s="5"/>
      <c r="J50" s="5" t="s">
        <v>39</v>
      </c>
      <c r="K50" s="5" t="s">
        <v>83</v>
      </c>
      <c r="L50" s="5" t="s">
        <v>84</v>
      </c>
      <c r="M50" s="5" t="s">
        <v>85</v>
      </c>
      <c r="N50" s="5" t="s">
        <v>36</v>
      </c>
      <c r="O50" s="5">
        <v>1</v>
      </c>
      <c r="P50" s="5" t="s">
        <v>43</v>
      </c>
      <c r="Q50" s="5">
        <v>12.99</v>
      </c>
      <c r="R50" s="5"/>
      <c r="S50" s="5"/>
      <c r="T50" s="5"/>
      <c r="U50" s="5"/>
      <c r="V50" s="5"/>
      <c r="W50" s="5"/>
      <c r="X50" s="5"/>
      <c r="Y50" s="5" t="s">
        <v>381</v>
      </c>
      <c r="Z50" s="5" t="s">
        <v>382</v>
      </c>
      <c r="AA50" s="5" t="s">
        <v>383</v>
      </c>
      <c r="AB50" s="5" t="s">
        <v>46</v>
      </c>
      <c r="AC50" s="5"/>
      <c r="AD50" s="5" t="b">
        <v>0</v>
      </c>
      <c r="AE50" s="5"/>
      <c r="AF50" s="5"/>
      <c r="AG50" s="9">
        <f t="shared" si="0"/>
        <v>43263</v>
      </c>
    </row>
    <row r="51" s="6" customFormat="1" spans="1:33">
      <c r="A51" s="5" t="s">
        <v>384</v>
      </c>
      <c r="B51" s="5" t="s">
        <v>384</v>
      </c>
      <c r="C51" s="5" t="s">
        <v>385</v>
      </c>
      <c r="D51" s="5" t="s">
        <v>386</v>
      </c>
      <c r="E51" s="5" t="s">
        <v>36</v>
      </c>
      <c r="F51" s="5" t="s">
        <v>37</v>
      </c>
      <c r="G51" s="5" t="s">
        <v>38</v>
      </c>
      <c r="H51" s="5"/>
      <c r="I51" s="5"/>
      <c r="J51" s="5" t="s">
        <v>39</v>
      </c>
      <c r="K51" s="5" t="s">
        <v>387</v>
      </c>
      <c r="L51" s="5" t="s">
        <v>388</v>
      </c>
      <c r="M51" s="5" t="s">
        <v>389</v>
      </c>
      <c r="N51" s="5" t="s">
        <v>36</v>
      </c>
      <c r="O51" s="5">
        <v>1</v>
      </c>
      <c r="P51" s="5" t="s">
        <v>43</v>
      </c>
      <c r="Q51" s="5">
        <v>18.99</v>
      </c>
      <c r="R51" s="5"/>
      <c r="S51" s="5"/>
      <c r="T51" s="5"/>
      <c r="U51" s="5"/>
      <c r="V51" s="5"/>
      <c r="W51" s="5"/>
      <c r="X51" s="5"/>
      <c r="Y51" s="5" t="s">
        <v>390</v>
      </c>
      <c r="Z51" s="5" t="s">
        <v>391</v>
      </c>
      <c r="AA51" s="5" t="s">
        <v>392</v>
      </c>
      <c r="AB51" s="5" t="s">
        <v>46</v>
      </c>
      <c r="AC51" s="5"/>
      <c r="AD51" s="5" t="b">
        <v>0</v>
      </c>
      <c r="AE51" s="5"/>
      <c r="AF51" s="5"/>
      <c r="AG51" s="9">
        <f t="shared" si="0"/>
        <v>43263</v>
      </c>
    </row>
    <row r="52" s="6" customFormat="1" spans="1:33">
      <c r="A52" s="5" t="s">
        <v>393</v>
      </c>
      <c r="B52" s="5" t="s">
        <v>393</v>
      </c>
      <c r="C52" s="5" t="s">
        <v>394</v>
      </c>
      <c r="D52" s="5" t="s">
        <v>395</v>
      </c>
      <c r="E52" s="5" t="s">
        <v>36</v>
      </c>
      <c r="F52" s="5" t="s">
        <v>37</v>
      </c>
      <c r="G52" s="5" t="s">
        <v>38</v>
      </c>
      <c r="H52" s="5"/>
      <c r="I52" s="5"/>
      <c r="J52" s="5" t="s">
        <v>39</v>
      </c>
      <c r="K52" s="5" t="s">
        <v>396</v>
      </c>
      <c r="L52" s="5" t="s">
        <v>397</v>
      </c>
      <c r="M52" s="5" t="s">
        <v>398</v>
      </c>
      <c r="N52" s="5" t="s">
        <v>36</v>
      </c>
      <c r="O52" s="5">
        <v>1</v>
      </c>
      <c r="P52" s="5" t="s">
        <v>43</v>
      </c>
      <c r="Q52" s="5">
        <v>14.98</v>
      </c>
      <c r="R52" s="5"/>
      <c r="S52" s="5"/>
      <c r="T52" s="5"/>
      <c r="U52" s="5"/>
      <c r="V52" s="5"/>
      <c r="W52" s="5"/>
      <c r="X52" s="5"/>
      <c r="Y52" s="5" t="s">
        <v>399</v>
      </c>
      <c r="Z52" s="5" t="s">
        <v>255</v>
      </c>
      <c r="AA52" s="5" t="s">
        <v>400</v>
      </c>
      <c r="AB52" s="5" t="s">
        <v>46</v>
      </c>
      <c r="AC52" s="5"/>
      <c r="AD52" s="5" t="b">
        <v>0</v>
      </c>
      <c r="AE52" s="5"/>
      <c r="AF52" s="5"/>
      <c r="AG52" s="9">
        <f t="shared" si="0"/>
        <v>43263</v>
      </c>
    </row>
    <row r="53" s="6" customFormat="1" spans="1:33">
      <c r="A53" s="5" t="s">
        <v>401</v>
      </c>
      <c r="B53" s="5" t="s">
        <v>401</v>
      </c>
      <c r="C53" s="5" t="s">
        <v>402</v>
      </c>
      <c r="D53" s="5" t="s">
        <v>403</v>
      </c>
      <c r="E53" s="5" t="s">
        <v>36</v>
      </c>
      <c r="F53" s="5" t="s">
        <v>37</v>
      </c>
      <c r="G53" s="5" t="s">
        <v>38</v>
      </c>
      <c r="H53" s="5"/>
      <c r="I53" s="5"/>
      <c r="J53" s="5" t="s">
        <v>39</v>
      </c>
      <c r="K53" s="5" t="s">
        <v>147</v>
      </c>
      <c r="L53" s="5" t="s">
        <v>148</v>
      </c>
      <c r="M53" s="5" t="s">
        <v>149</v>
      </c>
      <c r="N53" s="5" t="s">
        <v>36</v>
      </c>
      <c r="O53" s="5">
        <v>1</v>
      </c>
      <c r="P53" s="5" t="s">
        <v>43</v>
      </c>
      <c r="Q53" s="5">
        <v>12.98</v>
      </c>
      <c r="R53" s="5"/>
      <c r="S53" s="5"/>
      <c r="T53" s="5"/>
      <c r="U53" s="5"/>
      <c r="V53" s="5"/>
      <c r="W53" s="5"/>
      <c r="X53" s="5"/>
      <c r="Y53" s="5" t="s">
        <v>404</v>
      </c>
      <c r="Z53" s="5" t="s">
        <v>238</v>
      </c>
      <c r="AA53" s="5" t="s">
        <v>405</v>
      </c>
      <c r="AB53" s="5" t="s">
        <v>46</v>
      </c>
      <c r="AC53" s="5"/>
      <c r="AD53" s="5" t="b">
        <v>0</v>
      </c>
      <c r="AE53" s="5"/>
      <c r="AF53" s="5"/>
      <c r="AG53" s="9">
        <f t="shared" si="0"/>
        <v>43263</v>
      </c>
    </row>
    <row r="54" s="6" customFormat="1" spans="1:33">
      <c r="A54" s="5" t="s">
        <v>406</v>
      </c>
      <c r="B54" s="5" t="s">
        <v>406</v>
      </c>
      <c r="C54" s="5" t="s">
        <v>407</v>
      </c>
      <c r="D54" s="5" t="s">
        <v>408</v>
      </c>
      <c r="E54" s="5" t="s">
        <v>36</v>
      </c>
      <c r="F54" s="5" t="s">
        <v>37</v>
      </c>
      <c r="G54" s="5" t="s">
        <v>38</v>
      </c>
      <c r="H54" s="5"/>
      <c r="I54" s="5"/>
      <c r="J54" s="5" t="s">
        <v>39</v>
      </c>
      <c r="K54" s="5" t="s">
        <v>409</v>
      </c>
      <c r="L54" s="5" t="s">
        <v>410</v>
      </c>
      <c r="M54" s="5" t="s">
        <v>411</v>
      </c>
      <c r="N54" s="5" t="s">
        <v>36</v>
      </c>
      <c r="O54" s="5">
        <v>1</v>
      </c>
      <c r="P54" s="5" t="s">
        <v>43</v>
      </c>
      <c r="Q54" s="5">
        <v>9.9</v>
      </c>
      <c r="R54" s="5"/>
      <c r="S54" s="5"/>
      <c r="T54" s="5"/>
      <c r="U54" s="5"/>
      <c r="V54" s="5"/>
      <c r="W54" s="5"/>
      <c r="X54" s="5"/>
      <c r="Y54" s="5" t="s">
        <v>412</v>
      </c>
      <c r="Z54" s="5" t="s">
        <v>382</v>
      </c>
      <c r="AA54" s="5" t="s">
        <v>413</v>
      </c>
      <c r="AB54" s="5" t="s">
        <v>46</v>
      </c>
      <c r="AC54" s="5"/>
      <c r="AD54" s="5" t="b">
        <v>0</v>
      </c>
      <c r="AE54" s="5"/>
      <c r="AF54" s="5"/>
      <c r="AG54" s="9">
        <f t="shared" si="0"/>
        <v>43263</v>
      </c>
    </row>
    <row r="55" s="6" customFormat="1" spans="1:33">
      <c r="A55" s="5" t="s">
        <v>414</v>
      </c>
      <c r="B55" s="5" t="s">
        <v>414</v>
      </c>
      <c r="C55" s="5" t="s">
        <v>415</v>
      </c>
      <c r="D55" s="5" t="s">
        <v>416</v>
      </c>
      <c r="E55" s="5" t="s">
        <v>36</v>
      </c>
      <c r="F55" s="5" t="s">
        <v>37</v>
      </c>
      <c r="G55" s="5" t="s">
        <v>38</v>
      </c>
      <c r="H55" s="5"/>
      <c r="I55" s="5"/>
      <c r="J55" s="5" t="s">
        <v>39</v>
      </c>
      <c r="K55" s="5" t="s">
        <v>387</v>
      </c>
      <c r="L55" s="5" t="s">
        <v>388</v>
      </c>
      <c r="M55" s="5" t="s">
        <v>389</v>
      </c>
      <c r="N55" s="5" t="s">
        <v>36</v>
      </c>
      <c r="O55" s="5">
        <v>1</v>
      </c>
      <c r="P55" s="5" t="s">
        <v>43</v>
      </c>
      <c r="Q55" s="5">
        <v>18.99</v>
      </c>
      <c r="R55" s="5"/>
      <c r="S55" s="5"/>
      <c r="T55" s="5"/>
      <c r="U55" s="5"/>
      <c r="V55" s="5"/>
      <c r="W55" s="5">
        <v>0.95</v>
      </c>
      <c r="X55" s="5"/>
      <c r="Y55" s="5" t="s">
        <v>417</v>
      </c>
      <c r="Z55" s="5" t="s">
        <v>282</v>
      </c>
      <c r="AA55" s="5" t="s">
        <v>418</v>
      </c>
      <c r="AB55" s="5" t="s">
        <v>46</v>
      </c>
      <c r="AC55" s="5" t="s">
        <v>115</v>
      </c>
      <c r="AD55" s="5" t="b">
        <v>0</v>
      </c>
      <c r="AE55" s="5"/>
      <c r="AF55" s="5"/>
      <c r="AG55" s="9">
        <f t="shared" si="0"/>
        <v>43263</v>
      </c>
    </row>
    <row r="56" s="6" customFormat="1" spans="1:33">
      <c r="A56" s="5" t="s">
        <v>414</v>
      </c>
      <c r="B56" s="5" t="s">
        <v>414</v>
      </c>
      <c r="C56" s="5" t="s">
        <v>415</v>
      </c>
      <c r="D56" s="5" t="s">
        <v>416</v>
      </c>
      <c r="E56" s="5" t="s">
        <v>36</v>
      </c>
      <c r="F56" s="5" t="s">
        <v>37</v>
      </c>
      <c r="G56" s="5" t="s">
        <v>38</v>
      </c>
      <c r="H56" s="5"/>
      <c r="I56" s="5"/>
      <c r="J56" s="5" t="s">
        <v>39</v>
      </c>
      <c r="K56" s="5" t="s">
        <v>365</v>
      </c>
      <c r="L56" s="5" t="s">
        <v>419</v>
      </c>
      <c r="M56" s="5" t="s">
        <v>367</v>
      </c>
      <c r="N56" s="5" t="s">
        <v>36</v>
      </c>
      <c r="O56" s="5">
        <v>1</v>
      </c>
      <c r="P56" s="5" t="s">
        <v>43</v>
      </c>
      <c r="Q56" s="5">
        <v>18.99</v>
      </c>
      <c r="R56" s="5"/>
      <c r="S56" s="5"/>
      <c r="T56" s="5"/>
      <c r="U56" s="5"/>
      <c r="V56" s="5"/>
      <c r="W56" s="5">
        <v>0.95</v>
      </c>
      <c r="X56" s="5"/>
      <c r="Y56" s="5" t="s">
        <v>417</v>
      </c>
      <c r="Z56" s="5" t="s">
        <v>282</v>
      </c>
      <c r="AA56" s="5" t="s">
        <v>418</v>
      </c>
      <c r="AB56" s="5" t="s">
        <v>46</v>
      </c>
      <c r="AC56" s="5" t="s">
        <v>115</v>
      </c>
      <c r="AD56" s="5" t="b">
        <v>0</v>
      </c>
      <c r="AE56" s="5"/>
      <c r="AF56" s="5"/>
      <c r="AG56" s="9">
        <f t="shared" si="0"/>
        <v>43263</v>
      </c>
    </row>
    <row r="57" s="6" customFormat="1" spans="1:33">
      <c r="A57" s="5" t="s">
        <v>420</v>
      </c>
      <c r="B57" s="5" t="s">
        <v>420</v>
      </c>
      <c r="C57" s="5" t="s">
        <v>421</v>
      </c>
      <c r="D57" s="5" t="s">
        <v>422</v>
      </c>
      <c r="E57" s="5" t="s">
        <v>36</v>
      </c>
      <c r="F57" s="5" t="s">
        <v>37</v>
      </c>
      <c r="G57" s="5" t="s">
        <v>38</v>
      </c>
      <c r="H57" s="5"/>
      <c r="I57" s="5"/>
      <c r="J57" s="5" t="s">
        <v>39</v>
      </c>
      <c r="K57" s="5" t="s">
        <v>409</v>
      </c>
      <c r="L57" s="5" t="s">
        <v>423</v>
      </c>
      <c r="M57" s="5" t="s">
        <v>424</v>
      </c>
      <c r="N57" s="5" t="s">
        <v>36</v>
      </c>
      <c r="O57" s="5">
        <v>1</v>
      </c>
      <c r="P57" s="5" t="s">
        <v>43</v>
      </c>
      <c r="Q57" s="5">
        <v>9.9</v>
      </c>
      <c r="R57" s="5"/>
      <c r="S57" s="5"/>
      <c r="T57" s="5"/>
      <c r="U57" s="5"/>
      <c r="V57" s="5"/>
      <c r="W57" s="5"/>
      <c r="X57" s="5"/>
      <c r="Y57" s="5" t="s">
        <v>425</v>
      </c>
      <c r="Z57" s="5" t="s">
        <v>105</v>
      </c>
      <c r="AA57" s="5">
        <v>7079</v>
      </c>
      <c r="AB57" s="5" t="s">
        <v>46</v>
      </c>
      <c r="AC57" s="5"/>
      <c r="AD57" s="5" t="b">
        <v>0</v>
      </c>
      <c r="AE57" s="5"/>
      <c r="AF57" s="5"/>
      <c r="AG57" s="9">
        <f t="shared" si="0"/>
        <v>43263</v>
      </c>
    </row>
    <row r="58" s="6" customFormat="1" spans="1:33">
      <c r="A58" s="5" t="s">
        <v>426</v>
      </c>
      <c r="B58" s="5" t="s">
        <v>426</v>
      </c>
      <c r="C58" s="5" t="s">
        <v>427</v>
      </c>
      <c r="D58" s="5" t="s">
        <v>428</v>
      </c>
      <c r="E58" s="5" t="s">
        <v>36</v>
      </c>
      <c r="F58" s="5" t="s">
        <v>37</v>
      </c>
      <c r="G58" s="5" t="s">
        <v>38</v>
      </c>
      <c r="H58" s="5"/>
      <c r="I58" s="5"/>
      <c r="J58" s="5" t="s">
        <v>39</v>
      </c>
      <c r="K58" s="5" t="s">
        <v>75</v>
      </c>
      <c r="L58" s="5" t="s">
        <v>76</v>
      </c>
      <c r="M58" s="5" t="s">
        <v>77</v>
      </c>
      <c r="N58" s="5" t="s">
        <v>36</v>
      </c>
      <c r="O58" s="5">
        <v>1</v>
      </c>
      <c r="P58" s="5" t="s">
        <v>43</v>
      </c>
      <c r="Q58" s="5">
        <v>12.99</v>
      </c>
      <c r="R58" s="5"/>
      <c r="S58" s="5"/>
      <c r="T58" s="5"/>
      <c r="U58" s="5"/>
      <c r="V58" s="5"/>
      <c r="W58" s="5"/>
      <c r="X58" s="5"/>
      <c r="Y58" s="5" t="s">
        <v>429</v>
      </c>
      <c r="Z58" s="5" t="s">
        <v>105</v>
      </c>
      <c r="AA58" s="5" t="s">
        <v>430</v>
      </c>
      <c r="AB58" s="5" t="s">
        <v>46</v>
      </c>
      <c r="AC58" s="5"/>
      <c r="AD58" s="5" t="b">
        <v>0</v>
      </c>
      <c r="AE58" s="5"/>
      <c r="AF58" s="5"/>
      <c r="AG58" s="9">
        <f t="shared" si="0"/>
        <v>43263</v>
      </c>
    </row>
    <row r="59" s="6" customFormat="1" spans="1:33">
      <c r="A59" s="5" t="s">
        <v>431</v>
      </c>
      <c r="B59" s="5" t="s">
        <v>431</v>
      </c>
      <c r="C59" s="5" t="s">
        <v>432</v>
      </c>
      <c r="D59" s="5" t="s">
        <v>433</v>
      </c>
      <c r="E59" s="5" t="s">
        <v>36</v>
      </c>
      <c r="F59" s="5" t="s">
        <v>37</v>
      </c>
      <c r="G59" s="5" t="s">
        <v>38</v>
      </c>
      <c r="H59" s="5"/>
      <c r="I59" s="5"/>
      <c r="J59" s="5" t="s">
        <v>39</v>
      </c>
      <c r="K59" s="5" t="s">
        <v>434</v>
      </c>
      <c r="L59" s="5" t="s">
        <v>435</v>
      </c>
      <c r="M59" s="5" t="s">
        <v>436</v>
      </c>
      <c r="N59" s="5" t="s">
        <v>36</v>
      </c>
      <c r="O59" s="5">
        <v>1</v>
      </c>
      <c r="P59" s="5" t="s">
        <v>43</v>
      </c>
      <c r="Q59" s="5">
        <v>13.99</v>
      </c>
      <c r="R59" s="5"/>
      <c r="S59" s="5"/>
      <c r="T59" s="5"/>
      <c r="U59" s="5"/>
      <c r="V59" s="5"/>
      <c r="W59" s="5"/>
      <c r="X59" s="5"/>
      <c r="Y59" s="5" t="s">
        <v>437</v>
      </c>
      <c r="Z59" s="5" t="s">
        <v>151</v>
      </c>
      <c r="AA59" s="5" t="s">
        <v>438</v>
      </c>
      <c r="AB59" s="5" t="s">
        <v>46</v>
      </c>
      <c r="AC59" s="5"/>
      <c r="AD59" s="5" t="b">
        <v>0</v>
      </c>
      <c r="AE59" s="5"/>
      <c r="AF59" s="5"/>
      <c r="AG59" s="9">
        <f t="shared" si="0"/>
        <v>43263</v>
      </c>
    </row>
    <row r="60" s="6" customFormat="1" spans="1:33">
      <c r="A60" s="5" t="s">
        <v>439</v>
      </c>
      <c r="B60" s="5" t="s">
        <v>439</v>
      </c>
      <c r="C60" s="5" t="s">
        <v>440</v>
      </c>
      <c r="D60" s="5" t="s">
        <v>441</v>
      </c>
      <c r="E60" s="5" t="s">
        <v>36</v>
      </c>
      <c r="F60" s="5" t="s">
        <v>37</v>
      </c>
      <c r="G60" s="5" t="s">
        <v>38</v>
      </c>
      <c r="H60" s="5"/>
      <c r="I60" s="5"/>
      <c r="J60" s="5" t="s">
        <v>39</v>
      </c>
      <c r="K60" s="5" t="s">
        <v>101</v>
      </c>
      <c r="L60" s="5" t="s">
        <v>102</v>
      </c>
      <c r="M60" s="5" t="s">
        <v>103</v>
      </c>
      <c r="N60" s="5" t="s">
        <v>36</v>
      </c>
      <c r="O60" s="5">
        <v>1</v>
      </c>
      <c r="P60" s="5" t="s">
        <v>43</v>
      </c>
      <c r="Q60" s="5">
        <v>12.99</v>
      </c>
      <c r="R60" s="5"/>
      <c r="S60" s="5"/>
      <c r="T60" s="5"/>
      <c r="U60" s="5"/>
      <c r="V60" s="5"/>
      <c r="W60" s="5"/>
      <c r="X60" s="5"/>
      <c r="Y60" s="5" t="s">
        <v>442</v>
      </c>
      <c r="Z60" s="5" t="s">
        <v>96</v>
      </c>
      <c r="AA60" s="5" t="s">
        <v>443</v>
      </c>
      <c r="AB60" s="5" t="s">
        <v>46</v>
      </c>
      <c r="AC60" s="5"/>
      <c r="AD60" s="5" t="b">
        <v>0</v>
      </c>
      <c r="AE60" s="5"/>
      <c r="AF60" s="5"/>
      <c r="AG60" s="9">
        <f t="shared" si="0"/>
        <v>43263</v>
      </c>
    </row>
    <row r="61" s="6" customFormat="1" spans="1:33">
      <c r="A61" s="5" t="s">
        <v>444</v>
      </c>
      <c r="B61" s="5" t="s">
        <v>444</v>
      </c>
      <c r="C61" s="5" t="s">
        <v>445</v>
      </c>
      <c r="D61" s="5" t="s">
        <v>446</v>
      </c>
      <c r="E61" s="5" t="s">
        <v>36</v>
      </c>
      <c r="F61" s="5" t="s">
        <v>37</v>
      </c>
      <c r="G61" s="5" t="s">
        <v>38</v>
      </c>
      <c r="H61" s="5"/>
      <c r="I61" s="5"/>
      <c r="J61" s="5" t="s">
        <v>39</v>
      </c>
      <c r="K61" s="5" t="s">
        <v>147</v>
      </c>
      <c r="L61" s="5" t="s">
        <v>148</v>
      </c>
      <c r="M61" s="5" t="s">
        <v>149</v>
      </c>
      <c r="N61" s="5" t="s">
        <v>36</v>
      </c>
      <c r="O61" s="5">
        <v>1</v>
      </c>
      <c r="P61" s="5" t="s">
        <v>43</v>
      </c>
      <c r="Q61" s="5">
        <v>12.98</v>
      </c>
      <c r="R61" s="5"/>
      <c r="S61" s="5"/>
      <c r="T61" s="5"/>
      <c r="U61" s="5"/>
      <c r="V61" s="5"/>
      <c r="W61" s="5"/>
      <c r="X61" s="5"/>
      <c r="Y61" s="5" t="s">
        <v>447</v>
      </c>
      <c r="Z61" s="5" t="s">
        <v>151</v>
      </c>
      <c r="AA61" s="5" t="s">
        <v>448</v>
      </c>
      <c r="AB61" s="5" t="s">
        <v>46</v>
      </c>
      <c r="AC61" s="5"/>
      <c r="AD61" s="5" t="b">
        <v>0</v>
      </c>
      <c r="AE61" s="5"/>
      <c r="AF61" s="5"/>
      <c r="AG61" s="9">
        <f t="shared" si="0"/>
        <v>43263</v>
      </c>
    </row>
    <row r="62" s="6" customFormat="1" spans="1:33">
      <c r="A62" s="5" t="s">
        <v>449</v>
      </c>
      <c r="B62" s="5" t="s">
        <v>449</v>
      </c>
      <c r="C62" s="5" t="s">
        <v>450</v>
      </c>
      <c r="D62" s="5" t="s">
        <v>451</v>
      </c>
      <c r="E62" s="5" t="s">
        <v>36</v>
      </c>
      <c r="F62" s="5" t="s">
        <v>37</v>
      </c>
      <c r="G62" s="5" t="s">
        <v>38</v>
      </c>
      <c r="H62" s="5"/>
      <c r="I62" s="5"/>
      <c r="J62" s="5" t="s">
        <v>39</v>
      </c>
      <c r="K62" s="5" t="s">
        <v>409</v>
      </c>
      <c r="L62" s="5" t="s">
        <v>452</v>
      </c>
      <c r="M62" s="5" t="s">
        <v>453</v>
      </c>
      <c r="N62" s="5" t="s">
        <v>36</v>
      </c>
      <c r="O62" s="5">
        <v>1</v>
      </c>
      <c r="P62" s="5" t="s">
        <v>43</v>
      </c>
      <c r="Q62" s="5">
        <v>9.9</v>
      </c>
      <c r="R62" s="5"/>
      <c r="S62" s="5"/>
      <c r="T62" s="5"/>
      <c r="U62" s="5"/>
      <c r="V62" s="5"/>
      <c r="W62" s="5"/>
      <c r="X62" s="5"/>
      <c r="Y62" s="5" t="s">
        <v>454</v>
      </c>
      <c r="Z62" s="5" t="s">
        <v>142</v>
      </c>
      <c r="AA62" s="5" t="s">
        <v>455</v>
      </c>
      <c r="AB62" s="5" t="s">
        <v>46</v>
      </c>
      <c r="AC62" s="5"/>
      <c r="AD62" s="5" t="b">
        <v>0</v>
      </c>
      <c r="AE62" s="5"/>
      <c r="AF62" s="5"/>
      <c r="AG62" s="9">
        <f t="shared" si="0"/>
        <v>43263</v>
      </c>
    </row>
    <row r="63" s="6" customFormat="1" spans="1:33">
      <c r="A63" s="5" t="s">
        <v>456</v>
      </c>
      <c r="B63" s="5" t="s">
        <v>456</v>
      </c>
      <c r="C63" s="5" t="s">
        <v>457</v>
      </c>
      <c r="D63" s="5" t="s">
        <v>458</v>
      </c>
      <c r="E63" s="5" t="s">
        <v>36</v>
      </c>
      <c r="F63" s="5" t="s">
        <v>37</v>
      </c>
      <c r="G63" s="5" t="s">
        <v>38</v>
      </c>
      <c r="H63" s="5"/>
      <c r="I63" s="5"/>
      <c r="J63" s="5" t="s">
        <v>128</v>
      </c>
      <c r="K63" s="5" t="s">
        <v>459</v>
      </c>
      <c r="L63" s="5" t="s">
        <v>460</v>
      </c>
      <c r="M63" s="5" t="s">
        <v>461</v>
      </c>
      <c r="N63" s="5" t="s">
        <v>36</v>
      </c>
      <c r="O63" s="5">
        <v>1</v>
      </c>
      <c r="P63" s="5" t="s">
        <v>43</v>
      </c>
      <c r="Q63" s="5">
        <v>15.98</v>
      </c>
      <c r="R63" s="5"/>
      <c r="S63" s="5">
        <v>5.99</v>
      </c>
      <c r="T63" s="5"/>
      <c r="U63" s="5"/>
      <c r="V63" s="5"/>
      <c r="W63" s="5"/>
      <c r="X63" s="5"/>
      <c r="Y63" s="5" t="s">
        <v>462</v>
      </c>
      <c r="Z63" s="5" t="s">
        <v>463</v>
      </c>
      <c r="AA63" s="5" t="s">
        <v>464</v>
      </c>
      <c r="AB63" s="5" t="s">
        <v>46</v>
      </c>
      <c r="AC63" s="5"/>
      <c r="AD63" s="5" t="b">
        <v>0</v>
      </c>
      <c r="AE63" s="5"/>
      <c r="AF63" s="5"/>
      <c r="AG63" s="9">
        <f t="shared" si="0"/>
        <v>43263</v>
      </c>
    </row>
    <row r="64" s="6" customFormat="1" spans="1:33">
      <c r="A64" s="5" t="s">
        <v>465</v>
      </c>
      <c r="B64" s="5" t="s">
        <v>465</v>
      </c>
      <c r="C64" s="5" t="s">
        <v>466</v>
      </c>
      <c r="D64" s="5" t="s">
        <v>467</v>
      </c>
      <c r="E64" s="5" t="s">
        <v>36</v>
      </c>
      <c r="F64" s="5" t="s">
        <v>37</v>
      </c>
      <c r="G64" s="5" t="s">
        <v>38</v>
      </c>
      <c r="H64" s="5"/>
      <c r="I64" s="5"/>
      <c r="J64" s="5" t="s">
        <v>39</v>
      </c>
      <c r="K64" s="5" t="s">
        <v>50</v>
      </c>
      <c r="L64" s="5" t="s">
        <v>51</v>
      </c>
      <c r="M64" s="5" t="s">
        <v>52</v>
      </c>
      <c r="N64" s="5" t="s">
        <v>36</v>
      </c>
      <c r="O64" s="5">
        <v>1</v>
      </c>
      <c r="P64" s="5" t="s">
        <v>43</v>
      </c>
      <c r="Q64" s="5">
        <v>18.99</v>
      </c>
      <c r="R64" s="5"/>
      <c r="S64" s="5"/>
      <c r="T64" s="5"/>
      <c r="U64" s="5"/>
      <c r="V64" s="5"/>
      <c r="W64" s="5"/>
      <c r="X64" s="5"/>
      <c r="Y64" s="5" t="s">
        <v>468</v>
      </c>
      <c r="Z64" s="5" t="s">
        <v>170</v>
      </c>
      <c r="AA64" s="5" t="s">
        <v>469</v>
      </c>
      <c r="AB64" s="5" t="s">
        <v>46</v>
      </c>
      <c r="AC64" s="5"/>
      <c r="AD64" s="5" t="b">
        <v>0</v>
      </c>
      <c r="AE64" s="5"/>
      <c r="AF64" s="5"/>
      <c r="AG64" s="9">
        <f t="shared" si="0"/>
        <v>43263</v>
      </c>
    </row>
    <row r="65" s="6" customFormat="1" spans="1:33">
      <c r="A65" s="5" t="s">
        <v>470</v>
      </c>
      <c r="B65" s="5" t="s">
        <v>470</v>
      </c>
      <c r="C65" s="5" t="s">
        <v>471</v>
      </c>
      <c r="D65" s="5" t="s">
        <v>472</v>
      </c>
      <c r="E65" s="5" t="s">
        <v>36</v>
      </c>
      <c r="F65" s="5" t="s">
        <v>37</v>
      </c>
      <c r="G65" s="5" t="s">
        <v>38</v>
      </c>
      <c r="H65" s="5"/>
      <c r="I65" s="5"/>
      <c r="J65" s="5" t="s">
        <v>39</v>
      </c>
      <c r="K65" s="5" t="s">
        <v>101</v>
      </c>
      <c r="L65" s="5" t="s">
        <v>102</v>
      </c>
      <c r="M65" s="5" t="s">
        <v>103</v>
      </c>
      <c r="N65" s="5" t="s">
        <v>36</v>
      </c>
      <c r="O65" s="5">
        <v>1</v>
      </c>
      <c r="P65" s="5" t="s">
        <v>43</v>
      </c>
      <c r="Q65" s="5">
        <v>12.99</v>
      </c>
      <c r="R65" s="5">
        <v>1.3</v>
      </c>
      <c r="S65" s="5"/>
      <c r="T65" s="5"/>
      <c r="U65" s="5"/>
      <c r="V65" s="5"/>
      <c r="W65" s="5"/>
      <c r="X65" s="5"/>
      <c r="Y65" s="5" t="s">
        <v>473</v>
      </c>
      <c r="Z65" s="5" t="s">
        <v>474</v>
      </c>
      <c r="AA65" s="5" t="s">
        <v>475</v>
      </c>
      <c r="AB65" s="5" t="s">
        <v>46</v>
      </c>
      <c r="AC65" s="5"/>
      <c r="AD65" s="5" t="b">
        <v>0</v>
      </c>
      <c r="AE65" s="5"/>
      <c r="AF65" s="5"/>
      <c r="AG65" s="9">
        <f t="shared" si="0"/>
        <v>43263</v>
      </c>
    </row>
    <row r="66" s="6" customFormat="1" spans="1:33">
      <c r="A66" s="5" t="s">
        <v>476</v>
      </c>
      <c r="B66" s="5" t="s">
        <v>476</v>
      </c>
      <c r="C66" s="5" t="s">
        <v>477</v>
      </c>
      <c r="D66" s="5" t="s">
        <v>478</v>
      </c>
      <c r="E66" s="5" t="s">
        <v>36</v>
      </c>
      <c r="F66" s="5" t="s">
        <v>37</v>
      </c>
      <c r="G66" s="5" t="s">
        <v>38</v>
      </c>
      <c r="H66" s="5"/>
      <c r="I66" s="5"/>
      <c r="J66" s="5" t="s">
        <v>39</v>
      </c>
      <c r="K66" s="5" t="s">
        <v>75</v>
      </c>
      <c r="L66" s="5" t="s">
        <v>479</v>
      </c>
      <c r="M66" s="5" t="s">
        <v>77</v>
      </c>
      <c r="N66" s="5" t="s">
        <v>36</v>
      </c>
      <c r="O66" s="5">
        <v>1</v>
      </c>
      <c r="P66" s="5" t="s">
        <v>43</v>
      </c>
      <c r="Q66" s="5">
        <v>12.99</v>
      </c>
      <c r="R66" s="5"/>
      <c r="S66" s="5"/>
      <c r="T66" s="5"/>
      <c r="U66" s="5"/>
      <c r="V66" s="5"/>
      <c r="W66" s="5"/>
      <c r="X66" s="5"/>
      <c r="Y66" s="5" t="s">
        <v>480</v>
      </c>
      <c r="Z66" s="5" t="s">
        <v>391</v>
      </c>
      <c r="AA66" s="5" t="s">
        <v>481</v>
      </c>
      <c r="AB66" s="5" t="s">
        <v>46</v>
      </c>
      <c r="AC66" s="5"/>
      <c r="AD66" s="5" t="b">
        <v>0</v>
      </c>
      <c r="AE66" s="5"/>
      <c r="AF66" s="5"/>
      <c r="AG66" s="9">
        <f t="shared" ref="AG66:AG129" si="1">DATEVALUE(LEFT(C66,10))</f>
        <v>43263</v>
      </c>
    </row>
    <row r="67" s="6" customFormat="1" spans="1:33">
      <c r="A67" s="5" t="s">
        <v>482</v>
      </c>
      <c r="B67" s="5" t="s">
        <v>482</v>
      </c>
      <c r="C67" s="5" t="s">
        <v>483</v>
      </c>
      <c r="D67" s="5" t="s">
        <v>484</v>
      </c>
      <c r="E67" s="5" t="s">
        <v>36</v>
      </c>
      <c r="F67" s="5" t="s">
        <v>37</v>
      </c>
      <c r="G67" s="5" t="s">
        <v>38</v>
      </c>
      <c r="H67" s="5"/>
      <c r="I67" s="5"/>
      <c r="J67" s="5" t="s">
        <v>39</v>
      </c>
      <c r="K67" s="5" t="s">
        <v>110</v>
      </c>
      <c r="L67" s="5" t="s">
        <v>111</v>
      </c>
      <c r="M67" s="5" t="s">
        <v>112</v>
      </c>
      <c r="N67" s="5" t="s">
        <v>36</v>
      </c>
      <c r="O67" s="5">
        <v>1</v>
      </c>
      <c r="P67" s="5" t="s">
        <v>43</v>
      </c>
      <c r="Q67" s="5">
        <v>12.99</v>
      </c>
      <c r="R67" s="5">
        <v>1.3</v>
      </c>
      <c r="S67" s="5"/>
      <c r="T67" s="5"/>
      <c r="U67" s="5"/>
      <c r="V67" s="5"/>
      <c r="W67" s="5"/>
      <c r="X67" s="5"/>
      <c r="Y67" s="5" t="s">
        <v>485</v>
      </c>
      <c r="Z67" s="5" t="s">
        <v>474</v>
      </c>
      <c r="AA67" s="5">
        <v>98029</v>
      </c>
      <c r="AB67" s="5" t="s">
        <v>46</v>
      </c>
      <c r="AC67" s="5"/>
      <c r="AD67" s="5" t="b">
        <v>0</v>
      </c>
      <c r="AE67" s="5"/>
      <c r="AF67" s="5"/>
      <c r="AG67" s="9">
        <f t="shared" si="1"/>
        <v>43263</v>
      </c>
    </row>
    <row r="68" s="6" customFormat="1" spans="1:33">
      <c r="A68" s="5" t="s">
        <v>486</v>
      </c>
      <c r="B68" s="5" t="s">
        <v>486</v>
      </c>
      <c r="C68" s="5" t="s">
        <v>487</v>
      </c>
      <c r="D68" s="5" t="s">
        <v>488</v>
      </c>
      <c r="E68" s="5" t="s">
        <v>36</v>
      </c>
      <c r="F68" s="5" t="s">
        <v>37</v>
      </c>
      <c r="G68" s="5" t="s">
        <v>38</v>
      </c>
      <c r="H68" s="5"/>
      <c r="I68" s="5"/>
      <c r="J68" s="5" t="s">
        <v>39</v>
      </c>
      <c r="K68" s="5" t="s">
        <v>110</v>
      </c>
      <c r="L68" s="5" t="s">
        <v>111</v>
      </c>
      <c r="M68" s="5" t="s">
        <v>112</v>
      </c>
      <c r="N68" s="5" t="s">
        <v>36</v>
      </c>
      <c r="O68" s="5">
        <v>1</v>
      </c>
      <c r="P68" s="5" t="s">
        <v>43</v>
      </c>
      <c r="Q68" s="5">
        <v>12.99</v>
      </c>
      <c r="R68" s="5"/>
      <c r="S68" s="5"/>
      <c r="T68" s="5"/>
      <c r="U68" s="5"/>
      <c r="V68" s="5"/>
      <c r="W68" s="5"/>
      <c r="X68" s="5"/>
      <c r="Y68" s="5" t="s">
        <v>489</v>
      </c>
      <c r="Z68" s="5" t="s">
        <v>142</v>
      </c>
      <c r="AA68" s="5" t="s">
        <v>490</v>
      </c>
      <c r="AB68" s="5" t="s">
        <v>46</v>
      </c>
      <c r="AC68" s="5"/>
      <c r="AD68" s="5" t="b">
        <v>0</v>
      </c>
      <c r="AE68" s="5"/>
      <c r="AF68" s="5"/>
      <c r="AG68" s="9">
        <f t="shared" si="1"/>
        <v>43263</v>
      </c>
    </row>
    <row r="69" s="6" customFormat="1" spans="1:33">
      <c r="A69" s="5" t="s">
        <v>491</v>
      </c>
      <c r="B69" s="5" t="s">
        <v>491</v>
      </c>
      <c r="C69" s="5" t="s">
        <v>492</v>
      </c>
      <c r="D69" s="5" t="s">
        <v>493</v>
      </c>
      <c r="E69" s="5" t="s">
        <v>36</v>
      </c>
      <c r="F69" s="5" t="s">
        <v>37</v>
      </c>
      <c r="G69" s="5" t="s">
        <v>38</v>
      </c>
      <c r="H69" s="5"/>
      <c r="I69" s="5"/>
      <c r="J69" s="5" t="s">
        <v>39</v>
      </c>
      <c r="K69" s="5" t="s">
        <v>119</v>
      </c>
      <c r="L69" s="5" t="s">
        <v>120</v>
      </c>
      <c r="M69" s="5" t="s">
        <v>121</v>
      </c>
      <c r="N69" s="5" t="s">
        <v>36</v>
      </c>
      <c r="O69" s="5">
        <v>1</v>
      </c>
      <c r="P69" s="5" t="s">
        <v>43</v>
      </c>
      <c r="Q69" s="5">
        <v>24.99</v>
      </c>
      <c r="R69" s="5">
        <v>2.17</v>
      </c>
      <c r="S69" s="5"/>
      <c r="T69" s="5"/>
      <c r="U69" s="5"/>
      <c r="V69" s="5"/>
      <c r="W69" s="5"/>
      <c r="X69" s="5"/>
      <c r="Y69" s="5" t="s">
        <v>494</v>
      </c>
      <c r="Z69" s="5" t="s">
        <v>474</v>
      </c>
      <c r="AA69" s="5" t="s">
        <v>495</v>
      </c>
      <c r="AB69" s="5" t="s">
        <v>46</v>
      </c>
      <c r="AC69" s="5"/>
      <c r="AD69" s="5" t="b">
        <v>0</v>
      </c>
      <c r="AE69" s="5"/>
      <c r="AF69" s="5"/>
      <c r="AG69" s="9">
        <f t="shared" si="1"/>
        <v>43263</v>
      </c>
    </row>
    <row r="70" s="6" customFormat="1" spans="1:33">
      <c r="A70" s="5" t="s">
        <v>496</v>
      </c>
      <c r="B70" s="5" t="s">
        <v>496</v>
      </c>
      <c r="C70" s="5" t="s">
        <v>497</v>
      </c>
      <c r="D70" s="5" t="s">
        <v>498</v>
      </c>
      <c r="E70" s="5" t="s">
        <v>36</v>
      </c>
      <c r="F70" s="5" t="s">
        <v>37</v>
      </c>
      <c r="G70" s="5" t="s">
        <v>38</v>
      </c>
      <c r="H70" s="5"/>
      <c r="I70" s="5"/>
      <c r="J70" s="5" t="s">
        <v>39</v>
      </c>
      <c r="K70" s="5" t="s">
        <v>434</v>
      </c>
      <c r="L70" s="5" t="s">
        <v>435</v>
      </c>
      <c r="M70" s="5" t="s">
        <v>436</v>
      </c>
      <c r="N70" s="5" t="s">
        <v>36</v>
      </c>
      <c r="O70" s="5">
        <v>1</v>
      </c>
      <c r="P70" s="5" t="s">
        <v>43</v>
      </c>
      <c r="Q70" s="5">
        <v>13.99</v>
      </c>
      <c r="R70" s="5"/>
      <c r="S70" s="5"/>
      <c r="T70" s="5"/>
      <c r="U70" s="5"/>
      <c r="V70" s="5"/>
      <c r="W70" s="5"/>
      <c r="X70" s="5"/>
      <c r="Y70" s="5" t="s">
        <v>499</v>
      </c>
      <c r="Z70" s="5" t="s">
        <v>500</v>
      </c>
      <c r="AA70" s="5">
        <v>85206</v>
      </c>
      <c r="AB70" s="5" t="s">
        <v>46</v>
      </c>
      <c r="AC70" s="5"/>
      <c r="AD70" s="5" t="b">
        <v>0</v>
      </c>
      <c r="AE70" s="5"/>
      <c r="AF70" s="5"/>
      <c r="AG70" s="9">
        <f t="shared" si="1"/>
        <v>43263</v>
      </c>
    </row>
    <row r="71" s="6" customFormat="1" spans="1:33">
      <c r="A71" s="5" t="s">
        <v>501</v>
      </c>
      <c r="B71" s="5" t="s">
        <v>501</v>
      </c>
      <c r="C71" s="5" t="s">
        <v>502</v>
      </c>
      <c r="D71" s="5" t="s">
        <v>503</v>
      </c>
      <c r="E71" s="5" t="s">
        <v>36</v>
      </c>
      <c r="F71" s="5" t="s">
        <v>37</v>
      </c>
      <c r="G71" s="5" t="s">
        <v>38</v>
      </c>
      <c r="H71" s="5"/>
      <c r="I71" s="5"/>
      <c r="J71" s="5" t="s">
        <v>39</v>
      </c>
      <c r="K71" s="5" t="s">
        <v>459</v>
      </c>
      <c r="L71" s="5" t="s">
        <v>460</v>
      </c>
      <c r="M71" s="5" t="s">
        <v>461</v>
      </c>
      <c r="N71" s="5" t="s">
        <v>36</v>
      </c>
      <c r="O71" s="5">
        <v>1</v>
      </c>
      <c r="P71" s="5" t="s">
        <v>43</v>
      </c>
      <c r="Q71" s="5">
        <v>15.98</v>
      </c>
      <c r="R71" s="5"/>
      <c r="S71" s="5"/>
      <c r="T71" s="5"/>
      <c r="U71" s="5"/>
      <c r="V71" s="5"/>
      <c r="W71" s="5"/>
      <c r="X71" s="5"/>
      <c r="Y71" s="5" t="s">
        <v>504</v>
      </c>
      <c r="Z71" s="5" t="s">
        <v>505</v>
      </c>
      <c r="AA71" s="5">
        <v>55406</v>
      </c>
      <c r="AB71" s="5" t="s">
        <v>46</v>
      </c>
      <c r="AC71" s="5"/>
      <c r="AD71" s="5" t="b">
        <v>0</v>
      </c>
      <c r="AE71" s="5"/>
      <c r="AF71" s="5"/>
      <c r="AG71" s="9">
        <f t="shared" si="1"/>
        <v>43263</v>
      </c>
    </row>
    <row r="72" s="6" customFormat="1" spans="1:33">
      <c r="A72" s="5" t="s">
        <v>506</v>
      </c>
      <c r="B72" s="5" t="s">
        <v>506</v>
      </c>
      <c r="C72" s="5" t="s">
        <v>507</v>
      </c>
      <c r="D72" s="5" t="s">
        <v>508</v>
      </c>
      <c r="E72" s="5" t="s">
        <v>36</v>
      </c>
      <c r="F72" s="5" t="s">
        <v>37</v>
      </c>
      <c r="G72" s="5" t="s">
        <v>38</v>
      </c>
      <c r="H72" s="5"/>
      <c r="I72" s="5"/>
      <c r="J72" s="5" t="s">
        <v>39</v>
      </c>
      <c r="K72" s="5" t="s">
        <v>101</v>
      </c>
      <c r="L72" s="5" t="s">
        <v>102</v>
      </c>
      <c r="M72" s="5" t="s">
        <v>103</v>
      </c>
      <c r="N72" s="5" t="s">
        <v>36</v>
      </c>
      <c r="O72" s="5">
        <v>1</v>
      </c>
      <c r="P72" s="5" t="s">
        <v>43</v>
      </c>
      <c r="Q72" s="5">
        <v>12.99</v>
      </c>
      <c r="R72" s="5"/>
      <c r="S72" s="5"/>
      <c r="T72" s="5"/>
      <c r="U72" s="5"/>
      <c r="V72" s="5"/>
      <c r="W72" s="5"/>
      <c r="X72" s="5"/>
      <c r="Y72" s="5" t="s">
        <v>509</v>
      </c>
      <c r="Z72" s="5" t="s">
        <v>54</v>
      </c>
      <c r="AA72" s="5" t="s">
        <v>510</v>
      </c>
      <c r="AB72" s="5" t="s">
        <v>46</v>
      </c>
      <c r="AC72" s="5"/>
      <c r="AD72" s="5" t="b">
        <v>0</v>
      </c>
      <c r="AE72" s="5"/>
      <c r="AF72" s="5"/>
      <c r="AG72" s="9">
        <f t="shared" si="1"/>
        <v>43263</v>
      </c>
    </row>
    <row r="73" s="6" customFormat="1" spans="1:33">
      <c r="A73" s="5" t="s">
        <v>511</v>
      </c>
      <c r="B73" s="5" t="s">
        <v>511</v>
      </c>
      <c r="C73" s="5" t="s">
        <v>512</v>
      </c>
      <c r="D73" s="5" t="s">
        <v>513</v>
      </c>
      <c r="E73" s="5" t="s">
        <v>36</v>
      </c>
      <c r="F73" s="5" t="s">
        <v>37</v>
      </c>
      <c r="G73" s="5" t="s">
        <v>38</v>
      </c>
      <c r="H73" s="5"/>
      <c r="I73" s="5"/>
      <c r="J73" s="5" t="s">
        <v>39</v>
      </c>
      <c r="K73" s="5" t="s">
        <v>514</v>
      </c>
      <c r="L73" s="5" t="s">
        <v>515</v>
      </c>
      <c r="M73" s="5" t="s">
        <v>516</v>
      </c>
      <c r="N73" s="5" t="s">
        <v>36</v>
      </c>
      <c r="O73" s="5">
        <v>1</v>
      </c>
      <c r="P73" s="5" t="s">
        <v>43</v>
      </c>
      <c r="Q73" s="5">
        <v>14.98</v>
      </c>
      <c r="R73" s="5"/>
      <c r="S73" s="5"/>
      <c r="T73" s="5"/>
      <c r="U73" s="5"/>
      <c r="V73" s="5"/>
      <c r="W73" s="5"/>
      <c r="X73" s="5"/>
      <c r="Y73" s="5" t="s">
        <v>517</v>
      </c>
      <c r="Z73" s="5" t="s">
        <v>282</v>
      </c>
      <c r="AA73" s="5" t="s">
        <v>518</v>
      </c>
      <c r="AB73" s="5" t="s">
        <v>46</v>
      </c>
      <c r="AC73" s="5"/>
      <c r="AD73" s="5" t="b">
        <v>0</v>
      </c>
      <c r="AE73" s="5"/>
      <c r="AF73" s="5"/>
      <c r="AG73" s="9">
        <f t="shared" si="1"/>
        <v>43263</v>
      </c>
    </row>
    <row r="74" s="6" customFormat="1" spans="1:33">
      <c r="A74" s="5" t="s">
        <v>519</v>
      </c>
      <c r="B74" s="5" t="s">
        <v>519</v>
      </c>
      <c r="C74" s="5" t="s">
        <v>520</v>
      </c>
      <c r="D74" s="5" t="s">
        <v>521</v>
      </c>
      <c r="E74" s="5" t="s">
        <v>36</v>
      </c>
      <c r="F74" s="5" t="s">
        <v>37</v>
      </c>
      <c r="G74" s="5" t="s">
        <v>38</v>
      </c>
      <c r="H74" s="5"/>
      <c r="I74" s="5"/>
      <c r="J74" s="5" t="s">
        <v>39</v>
      </c>
      <c r="K74" s="5" t="s">
        <v>50</v>
      </c>
      <c r="L74" s="5" t="s">
        <v>51</v>
      </c>
      <c r="M74" s="5" t="s">
        <v>52</v>
      </c>
      <c r="N74" s="5" t="s">
        <v>36</v>
      </c>
      <c r="O74" s="5">
        <v>1</v>
      </c>
      <c r="P74" s="5" t="s">
        <v>43</v>
      </c>
      <c r="Q74" s="5">
        <v>18.99</v>
      </c>
      <c r="R74" s="5">
        <v>1.14</v>
      </c>
      <c r="S74" s="5"/>
      <c r="T74" s="5"/>
      <c r="U74" s="5"/>
      <c r="V74" s="5"/>
      <c r="W74" s="5"/>
      <c r="X74" s="5"/>
      <c r="Y74" s="5" t="s">
        <v>522</v>
      </c>
      <c r="Z74" s="5" t="s">
        <v>255</v>
      </c>
      <c r="AA74" s="5" t="s">
        <v>523</v>
      </c>
      <c r="AB74" s="5" t="s">
        <v>46</v>
      </c>
      <c r="AC74" s="5"/>
      <c r="AD74" s="5" t="b">
        <v>0</v>
      </c>
      <c r="AE74" s="5"/>
      <c r="AF74" s="5"/>
      <c r="AG74" s="9">
        <f t="shared" si="1"/>
        <v>43263</v>
      </c>
    </row>
    <row r="75" s="6" customFormat="1" spans="1:33">
      <c r="A75" s="5" t="s">
        <v>524</v>
      </c>
      <c r="B75" s="5" t="s">
        <v>524</v>
      </c>
      <c r="C75" s="5" t="s">
        <v>525</v>
      </c>
      <c r="D75" s="5" t="s">
        <v>526</v>
      </c>
      <c r="E75" s="5" t="s">
        <v>36</v>
      </c>
      <c r="F75" s="5" t="s">
        <v>37</v>
      </c>
      <c r="G75" s="5" t="s">
        <v>38</v>
      </c>
      <c r="H75" s="5"/>
      <c r="I75" s="5"/>
      <c r="J75" s="5" t="s">
        <v>39</v>
      </c>
      <c r="K75" s="5" t="s">
        <v>110</v>
      </c>
      <c r="L75" s="5" t="s">
        <v>111</v>
      </c>
      <c r="M75" s="5" t="s">
        <v>112</v>
      </c>
      <c r="N75" s="5" t="s">
        <v>36</v>
      </c>
      <c r="O75" s="5">
        <v>1</v>
      </c>
      <c r="P75" s="5" t="s">
        <v>43</v>
      </c>
      <c r="Q75" s="5">
        <v>12.99</v>
      </c>
      <c r="R75" s="5"/>
      <c r="S75" s="5"/>
      <c r="T75" s="5"/>
      <c r="U75" s="5"/>
      <c r="V75" s="5"/>
      <c r="W75" s="5"/>
      <c r="X75" s="5"/>
      <c r="Y75" s="5" t="s">
        <v>527</v>
      </c>
      <c r="Z75" s="5" t="s">
        <v>528</v>
      </c>
      <c r="AA75" s="5" t="s">
        <v>529</v>
      </c>
      <c r="AB75" s="5" t="s">
        <v>46</v>
      </c>
      <c r="AC75" s="5"/>
      <c r="AD75" s="5" t="b">
        <v>0</v>
      </c>
      <c r="AE75" s="5"/>
      <c r="AF75" s="5"/>
      <c r="AG75" s="9">
        <f t="shared" si="1"/>
        <v>43263</v>
      </c>
    </row>
    <row r="76" s="6" customFormat="1" spans="1:33">
      <c r="A76" s="5" t="s">
        <v>530</v>
      </c>
      <c r="B76" s="5" t="s">
        <v>530</v>
      </c>
      <c r="C76" s="5" t="s">
        <v>531</v>
      </c>
      <c r="D76" s="5" t="s">
        <v>532</v>
      </c>
      <c r="E76" s="5" t="s">
        <v>36</v>
      </c>
      <c r="F76" s="5" t="s">
        <v>37</v>
      </c>
      <c r="G76" s="5" t="s">
        <v>38</v>
      </c>
      <c r="H76" s="5"/>
      <c r="I76" s="5"/>
      <c r="J76" s="5" t="s">
        <v>39</v>
      </c>
      <c r="K76" s="5" t="s">
        <v>533</v>
      </c>
      <c r="L76" s="5" t="s">
        <v>534</v>
      </c>
      <c r="M76" s="5" t="s">
        <v>535</v>
      </c>
      <c r="N76" s="5" t="s">
        <v>36</v>
      </c>
      <c r="O76" s="5">
        <v>1</v>
      </c>
      <c r="P76" s="5" t="s">
        <v>43</v>
      </c>
      <c r="Q76" s="5">
        <v>24.99</v>
      </c>
      <c r="R76" s="5"/>
      <c r="S76" s="5"/>
      <c r="T76" s="5"/>
      <c r="U76" s="5"/>
      <c r="V76" s="5"/>
      <c r="W76" s="5"/>
      <c r="X76" s="5"/>
      <c r="Y76" s="5" t="s">
        <v>536</v>
      </c>
      <c r="Z76" s="5" t="s">
        <v>247</v>
      </c>
      <c r="AA76" s="5" t="s">
        <v>537</v>
      </c>
      <c r="AB76" s="5" t="s">
        <v>46</v>
      </c>
      <c r="AC76" s="5"/>
      <c r="AD76" s="5" t="b">
        <v>0</v>
      </c>
      <c r="AE76" s="5"/>
      <c r="AF76" s="5"/>
      <c r="AG76" s="9">
        <f t="shared" si="1"/>
        <v>43263</v>
      </c>
    </row>
    <row r="77" s="6" customFormat="1" spans="1:33">
      <c r="A77" s="5" t="s">
        <v>538</v>
      </c>
      <c r="B77" s="5" t="s">
        <v>538</v>
      </c>
      <c r="C77" s="5" t="s">
        <v>539</v>
      </c>
      <c r="D77" s="5" t="s">
        <v>540</v>
      </c>
      <c r="E77" s="5" t="s">
        <v>36</v>
      </c>
      <c r="F77" s="5" t="s">
        <v>37</v>
      </c>
      <c r="G77" s="5" t="s">
        <v>38</v>
      </c>
      <c r="H77" s="5"/>
      <c r="I77" s="5"/>
      <c r="J77" s="5" t="s">
        <v>39</v>
      </c>
      <c r="K77" s="5" t="s">
        <v>541</v>
      </c>
      <c r="L77" s="5" t="s">
        <v>542</v>
      </c>
      <c r="M77" s="5" t="s">
        <v>543</v>
      </c>
      <c r="N77" s="5" t="s">
        <v>36</v>
      </c>
      <c r="O77" s="5">
        <v>1</v>
      </c>
      <c r="P77" s="5" t="s">
        <v>43</v>
      </c>
      <c r="Q77" s="5">
        <v>10.98</v>
      </c>
      <c r="R77" s="5"/>
      <c r="S77" s="5"/>
      <c r="T77" s="5"/>
      <c r="U77" s="5"/>
      <c r="V77" s="5"/>
      <c r="W77" s="5"/>
      <c r="X77" s="5"/>
      <c r="Y77" s="5" t="s">
        <v>544</v>
      </c>
      <c r="Z77" s="5" t="s">
        <v>151</v>
      </c>
      <c r="AA77" s="5">
        <v>11215</v>
      </c>
      <c r="AB77" s="5" t="s">
        <v>46</v>
      </c>
      <c r="AC77" s="5"/>
      <c r="AD77" s="5" t="b">
        <v>0</v>
      </c>
      <c r="AE77" s="5"/>
      <c r="AF77" s="5"/>
      <c r="AG77" s="9">
        <f t="shared" si="1"/>
        <v>43263</v>
      </c>
    </row>
    <row r="78" s="6" customFormat="1" spans="1:33">
      <c r="A78" s="5" t="s">
        <v>545</v>
      </c>
      <c r="B78" s="5" t="s">
        <v>545</v>
      </c>
      <c r="C78" s="5" t="s">
        <v>546</v>
      </c>
      <c r="D78" s="5" t="s">
        <v>547</v>
      </c>
      <c r="E78" s="5" t="s">
        <v>36</v>
      </c>
      <c r="F78" s="5" t="s">
        <v>37</v>
      </c>
      <c r="G78" s="5" t="s">
        <v>38</v>
      </c>
      <c r="H78" s="5"/>
      <c r="I78" s="5"/>
      <c r="J78" s="5" t="s">
        <v>39</v>
      </c>
      <c r="K78" s="5" t="s">
        <v>548</v>
      </c>
      <c r="L78" s="5" t="s">
        <v>549</v>
      </c>
      <c r="M78" s="5" t="s">
        <v>550</v>
      </c>
      <c r="N78" s="5" t="s">
        <v>36</v>
      </c>
      <c r="O78" s="5">
        <v>1</v>
      </c>
      <c r="P78" s="5" t="s">
        <v>43</v>
      </c>
      <c r="Q78" s="5">
        <v>19.98</v>
      </c>
      <c r="R78" s="5"/>
      <c r="S78" s="5"/>
      <c r="T78" s="5"/>
      <c r="U78" s="5"/>
      <c r="V78" s="5"/>
      <c r="W78" s="5">
        <v>2</v>
      </c>
      <c r="X78" s="5"/>
      <c r="Y78" s="5" t="s">
        <v>551</v>
      </c>
      <c r="Z78" s="5" t="s">
        <v>96</v>
      </c>
      <c r="AA78" s="5" t="s">
        <v>552</v>
      </c>
      <c r="AB78" s="5" t="s">
        <v>46</v>
      </c>
      <c r="AC78" s="5" t="s">
        <v>553</v>
      </c>
      <c r="AD78" s="5" t="b">
        <v>0</v>
      </c>
      <c r="AE78" s="5"/>
      <c r="AF78" s="5"/>
      <c r="AG78" s="9">
        <f t="shared" si="1"/>
        <v>43263</v>
      </c>
    </row>
    <row r="79" s="6" customFormat="1" spans="1:33">
      <c r="A79" s="5" t="s">
        <v>545</v>
      </c>
      <c r="B79" s="5" t="s">
        <v>545</v>
      </c>
      <c r="C79" s="5" t="s">
        <v>546</v>
      </c>
      <c r="D79" s="5" t="s">
        <v>547</v>
      </c>
      <c r="E79" s="5" t="s">
        <v>36</v>
      </c>
      <c r="F79" s="5" t="s">
        <v>37</v>
      </c>
      <c r="G79" s="5" t="s">
        <v>38</v>
      </c>
      <c r="H79" s="5"/>
      <c r="I79" s="5"/>
      <c r="J79" s="5" t="s">
        <v>39</v>
      </c>
      <c r="K79" s="5" t="s">
        <v>554</v>
      </c>
      <c r="L79" s="5" t="s">
        <v>555</v>
      </c>
      <c r="M79" s="5" t="s">
        <v>556</v>
      </c>
      <c r="N79" s="5" t="s">
        <v>36</v>
      </c>
      <c r="O79" s="5">
        <v>1</v>
      </c>
      <c r="P79" s="5" t="s">
        <v>43</v>
      </c>
      <c r="Q79" s="5">
        <v>10</v>
      </c>
      <c r="R79" s="5"/>
      <c r="S79" s="5"/>
      <c r="T79" s="5"/>
      <c r="U79" s="5"/>
      <c r="V79" s="5"/>
      <c r="W79" s="5">
        <v>1</v>
      </c>
      <c r="X79" s="5"/>
      <c r="Y79" s="5" t="s">
        <v>551</v>
      </c>
      <c r="Z79" s="5" t="s">
        <v>96</v>
      </c>
      <c r="AA79" s="5" t="s">
        <v>552</v>
      </c>
      <c r="AB79" s="5" t="s">
        <v>46</v>
      </c>
      <c r="AC79" s="5" t="s">
        <v>553</v>
      </c>
      <c r="AD79" s="5" t="b">
        <v>0</v>
      </c>
      <c r="AE79" s="5"/>
      <c r="AF79" s="5"/>
      <c r="AG79" s="9">
        <f t="shared" si="1"/>
        <v>43263</v>
      </c>
    </row>
    <row r="80" s="6" customFormat="1" spans="1:33">
      <c r="A80" s="5" t="s">
        <v>557</v>
      </c>
      <c r="B80" s="5" t="s">
        <v>557</v>
      </c>
      <c r="C80" s="5" t="s">
        <v>558</v>
      </c>
      <c r="D80" s="5" t="s">
        <v>559</v>
      </c>
      <c r="E80" s="5" t="s">
        <v>36</v>
      </c>
      <c r="F80" s="5" t="s">
        <v>37</v>
      </c>
      <c r="G80" s="5" t="s">
        <v>38</v>
      </c>
      <c r="H80" s="5"/>
      <c r="I80" s="5"/>
      <c r="J80" s="5" t="s">
        <v>39</v>
      </c>
      <c r="K80" s="5" t="s">
        <v>269</v>
      </c>
      <c r="L80" s="5" t="s">
        <v>270</v>
      </c>
      <c r="M80" s="5" t="s">
        <v>271</v>
      </c>
      <c r="N80" s="5" t="s">
        <v>36</v>
      </c>
      <c r="O80" s="5">
        <v>2</v>
      </c>
      <c r="P80" s="5" t="s">
        <v>43</v>
      </c>
      <c r="Q80" s="5">
        <v>49.98</v>
      </c>
      <c r="R80" s="5"/>
      <c r="S80" s="5"/>
      <c r="T80" s="5"/>
      <c r="U80" s="5"/>
      <c r="V80" s="5"/>
      <c r="W80" s="5">
        <v>2.5</v>
      </c>
      <c r="X80" s="5"/>
      <c r="Y80" s="5" t="s">
        <v>560</v>
      </c>
      <c r="Z80" s="5" t="s">
        <v>54</v>
      </c>
      <c r="AA80" s="5">
        <v>95948</v>
      </c>
      <c r="AB80" s="5" t="s">
        <v>46</v>
      </c>
      <c r="AC80" s="5" t="s">
        <v>115</v>
      </c>
      <c r="AD80" s="5" t="b">
        <v>0</v>
      </c>
      <c r="AE80" s="5"/>
      <c r="AF80" s="5"/>
      <c r="AG80" s="9">
        <f t="shared" si="1"/>
        <v>43263</v>
      </c>
    </row>
    <row r="81" s="6" customFormat="1" spans="1:33">
      <c r="A81" s="5" t="s">
        <v>561</v>
      </c>
      <c r="B81" s="5" t="s">
        <v>561</v>
      </c>
      <c r="C81" s="5" t="s">
        <v>562</v>
      </c>
      <c r="D81" s="5" t="s">
        <v>563</v>
      </c>
      <c r="E81" s="5" t="s">
        <v>36</v>
      </c>
      <c r="F81" s="5" t="s">
        <v>37</v>
      </c>
      <c r="G81" s="5" t="s">
        <v>38</v>
      </c>
      <c r="H81" s="5"/>
      <c r="I81" s="5"/>
      <c r="J81" s="5" t="s">
        <v>39</v>
      </c>
      <c r="K81" s="5" t="s">
        <v>50</v>
      </c>
      <c r="L81" s="5" t="s">
        <v>51</v>
      </c>
      <c r="M81" s="5" t="s">
        <v>52</v>
      </c>
      <c r="N81" s="5" t="s">
        <v>36</v>
      </c>
      <c r="O81" s="5">
        <v>1</v>
      </c>
      <c r="P81" s="5" t="s">
        <v>43</v>
      </c>
      <c r="Q81" s="5">
        <v>18.99</v>
      </c>
      <c r="R81" s="5"/>
      <c r="S81" s="5"/>
      <c r="T81" s="5"/>
      <c r="U81" s="5"/>
      <c r="V81" s="5"/>
      <c r="W81" s="5"/>
      <c r="X81" s="5"/>
      <c r="Y81" s="5" t="s">
        <v>564</v>
      </c>
      <c r="Z81" s="5" t="s">
        <v>565</v>
      </c>
      <c r="AA81" s="5" t="s">
        <v>566</v>
      </c>
      <c r="AB81" s="5" t="s">
        <v>46</v>
      </c>
      <c r="AC81" s="5"/>
      <c r="AD81" s="5" t="b">
        <v>0</v>
      </c>
      <c r="AE81" s="5"/>
      <c r="AF81" s="5"/>
      <c r="AG81" s="9">
        <f t="shared" si="1"/>
        <v>43263</v>
      </c>
    </row>
    <row r="82" s="6" customFormat="1" spans="1:33">
      <c r="A82" s="5" t="s">
        <v>567</v>
      </c>
      <c r="B82" s="5" t="s">
        <v>567</v>
      </c>
      <c r="C82" s="5" t="s">
        <v>568</v>
      </c>
      <c r="D82" s="5" t="s">
        <v>569</v>
      </c>
      <c r="E82" s="5" t="s">
        <v>36</v>
      </c>
      <c r="F82" s="5" t="s">
        <v>37</v>
      </c>
      <c r="G82" s="5" t="s">
        <v>38</v>
      </c>
      <c r="H82" s="5"/>
      <c r="I82" s="5"/>
      <c r="J82" s="5" t="s">
        <v>39</v>
      </c>
      <c r="K82" s="5" t="s">
        <v>570</v>
      </c>
      <c r="L82" s="5" t="s">
        <v>571</v>
      </c>
      <c r="M82" s="5" t="s">
        <v>572</v>
      </c>
      <c r="N82" s="5" t="s">
        <v>36</v>
      </c>
      <c r="O82" s="5">
        <v>1</v>
      </c>
      <c r="P82" s="5" t="s">
        <v>43</v>
      </c>
      <c r="Q82" s="5">
        <v>25.99</v>
      </c>
      <c r="R82" s="5"/>
      <c r="S82" s="5"/>
      <c r="T82" s="5"/>
      <c r="U82" s="5"/>
      <c r="V82" s="5"/>
      <c r="W82" s="5"/>
      <c r="X82" s="5"/>
      <c r="Y82" s="5" t="s">
        <v>573</v>
      </c>
      <c r="Z82" s="5" t="s">
        <v>105</v>
      </c>
      <c r="AA82" s="5" t="s">
        <v>574</v>
      </c>
      <c r="AB82" s="5" t="s">
        <v>46</v>
      </c>
      <c r="AC82" s="5"/>
      <c r="AD82" s="5" t="b">
        <v>0</v>
      </c>
      <c r="AE82" s="5"/>
      <c r="AF82" s="5"/>
      <c r="AG82" s="9">
        <f t="shared" si="1"/>
        <v>43263</v>
      </c>
    </row>
    <row r="83" s="6" customFormat="1" spans="1:33">
      <c r="A83" s="5" t="s">
        <v>575</v>
      </c>
      <c r="B83" s="5" t="s">
        <v>575</v>
      </c>
      <c r="C83" s="5" t="s">
        <v>576</v>
      </c>
      <c r="D83" s="5" t="s">
        <v>577</v>
      </c>
      <c r="E83" s="5" t="s">
        <v>36</v>
      </c>
      <c r="F83" s="5" t="s">
        <v>37</v>
      </c>
      <c r="G83" s="5" t="s">
        <v>38</v>
      </c>
      <c r="H83" s="5"/>
      <c r="I83" s="5"/>
      <c r="J83" s="5" t="s">
        <v>39</v>
      </c>
      <c r="K83" s="5" t="s">
        <v>570</v>
      </c>
      <c r="L83" s="5" t="s">
        <v>578</v>
      </c>
      <c r="M83" s="5" t="s">
        <v>572</v>
      </c>
      <c r="N83" s="5" t="s">
        <v>36</v>
      </c>
      <c r="O83" s="5">
        <v>1</v>
      </c>
      <c r="P83" s="5" t="s">
        <v>43</v>
      </c>
      <c r="Q83" s="5">
        <v>24.99</v>
      </c>
      <c r="R83" s="5">
        <v>1.5</v>
      </c>
      <c r="S83" s="5"/>
      <c r="T83" s="5"/>
      <c r="U83" s="5"/>
      <c r="V83" s="5"/>
      <c r="W83" s="5"/>
      <c r="X83" s="5"/>
      <c r="Y83" s="5" t="s">
        <v>254</v>
      </c>
      <c r="Z83" s="5" t="s">
        <v>255</v>
      </c>
      <c r="AA83" s="5" t="s">
        <v>579</v>
      </c>
      <c r="AB83" s="5" t="s">
        <v>46</v>
      </c>
      <c r="AC83" s="5"/>
      <c r="AD83" s="5" t="b">
        <v>0</v>
      </c>
      <c r="AE83" s="5"/>
      <c r="AF83" s="5"/>
      <c r="AG83" s="9">
        <f t="shared" si="1"/>
        <v>43263</v>
      </c>
    </row>
    <row r="84" s="6" customFormat="1" spans="1:33">
      <c r="A84" s="5" t="s">
        <v>580</v>
      </c>
      <c r="B84" s="5" t="s">
        <v>580</v>
      </c>
      <c r="C84" s="5" t="s">
        <v>581</v>
      </c>
      <c r="D84" s="5" t="s">
        <v>582</v>
      </c>
      <c r="E84" s="5" t="s">
        <v>36</v>
      </c>
      <c r="F84" s="5" t="s">
        <v>37</v>
      </c>
      <c r="G84" s="5" t="s">
        <v>38</v>
      </c>
      <c r="H84" s="5"/>
      <c r="I84" s="5"/>
      <c r="J84" s="5" t="s">
        <v>39</v>
      </c>
      <c r="K84" s="5" t="s">
        <v>147</v>
      </c>
      <c r="L84" s="5" t="s">
        <v>148</v>
      </c>
      <c r="M84" s="5" t="s">
        <v>149</v>
      </c>
      <c r="N84" s="5" t="s">
        <v>36</v>
      </c>
      <c r="O84" s="5">
        <v>1</v>
      </c>
      <c r="P84" s="5" t="s">
        <v>43</v>
      </c>
      <c r="Q84" s="5">
        <v>12.98</v>
      </c>
      <c r="R84" s="5"/>
      <c r="S84" s="5"/>
      <c r="T84" s="5"/>
      <c r="U84" s="5"/>
      <c r="V84" s="5"/>
      <c r="W84" s="5"/>
      <c r="X84" s="5"/>
      <c r="Y84" s="5" t="s">
        <v>489</v>
      </c>
      <c r="Z84" s="5" t="s">
        <v>142</v>
      </c>
      <c r="AA84" s="5" t="s">
        <v>583</v>
      </c>
      <c r="AB84" s="5" t="s">
        <v>46</v>
      </c>
      <c r="AC84" s="5"/>
      <c r="AD84" s="5" t="b">
        <v>0</v>
      </c>
      <c r="AE84" s="5"/>
      <c r="AF84" s="5"/>
      <c r="AG84" s="9">
        <f t="shared" si="1"/>
        <v>43263</v>
      </c>
    </row>
    <row r="85" s="6" customFormat="1" spans="1:33">
      <c r="A85" s="5" t="s">
        <v>584</v>
      </c>
      <c r="B85" s="5" t="s">
        <v>584</v>
      </c>
      <c r="C85" s="5" t="s">
        <v>585</v>
      </c>
      <c r="D85" s="5" t="s">
        <v>586</v>
      </c>
      <c r="E85" s="5" t="s">
        <v>36</v>
      </c>
      <c r="F85" s="5" t="s">
        <v>37</v>
      </c>
      <c r="G85" s="5" t="s">
        <v>38</v>
      </c>
      <c r="H85" s="5"/>
      <c r="I85" s="5"/>
      <c r="J85" s="5" t="s">
        <v>39</v>
      </c>
      <c r="K85" s="5" t="s">
        <v>587</v>
      </c>
      <c r="L85" s="5" t="s">
        <v>588</v>
      </c>
      <c r="M85" s="5" t="s">
        <v>589</v>
      </c>
      <c r="N85" s="5" t="s">
        <v>36</v>
      </c>
      <c r="O85" s="5">
        <v>1</v>
      </c>
      <c r="P85" s="5" t="s">
        <v>43</v>
      </c>
      <c r="Q85" s="5">
        <v>18.99</v>
      </c>
      <c r="R85" s="5"/>
      <c r="S85" s="5"/>
      <c r="T85" s="5"/>
      <c r="U85" s="5"/>
      <c r="V85" s="5"/>
      <c r="W85" s="5"/>
      <c r="X85" s="5"/>
      <c r="Y85" s="5" t="s">
        <v>590</v>
      </c>
      <c r="Z85" s="5" t="s">
        <v>142</v>
      </c>
      <c r="AA85" s="5" t="s">
        <v>591</v>
      </c>
      <c r="AB85" s="5" t="s">
        <v>46</v>
      </c>
      <c r="AC85" s="5"/>
      <c r="AD85" s="5" t="b">
        <v>0</v>
      </c>
      <c r="AE85" s="5"/>
      <c r="AF85" s="5"/>
      <c r="AG85" s="9">
        <f t="shared" si="1"/>
        <v>43264</v>
      </c>
    </row>
    <row r="86" s="6" customFormat="1" spans="1:33">
      <c r="A86" s="5" t="s">
        <v>592</v>
      </c>
      <c r="B86" s="5" t="s">
        <v>592</v>
      </c>
      <c r="C86" s="5" t="s">
        <v>593</v>
      </c>
      <c r="D86" s="5" t="s">
        <v>594</v>
      </c>
      <c r="E86" s="5" t="s">
        <v>36</v>
      </c>
      <c r="F86" s="5" t="s">
        <v>37</v>
      </c>
      <c r="G86" s="5" t="s">
        <v>38</v>
      </c>
      <c r="H86" s="5"/>
      <c r="I86" s="5"/>
      <c r="J86" s="5" t="s">
        <v>39</v>
      </c>
      <c r="K86" s="5" t="s">
        <v>251</v>
      </c>
      <c r="L86" s="5" t="s">
        <v>252</v>
      </c>
      <c r="M86" s="5" t="s">
        <v>253</v>
      </c>
      <c r="N86" s="5" t="s">
        <v>36</v>
      </c>
      <c r="O86" s="5">
        <v>1</v>
      </c>
      <c r="P86" s="5" t="s">
        <v>43</v>
      </c>
      <c r="Q86" s="5">
        <v>16.98</v>
      </c>
      <c r="R86" s="5"/>
      <c r="S86" s="5"/>
      <c r="T86" s="5"/>
      <c r="U86" s="5"/>
      <c r="V86" s="5"/>
      <c r="W86" s="5"/>
      <c r="X86" s="5"/>
      <c r="Y86" s="5" t="s">
        <v>595</v>
      </c>
      <c r="Z86" s="5" t="s">
        <v>596</v>
      </c>
      <c r="AA86" s="5" t="s">
        <v>597</v>
      </c>
      <c r="AB86" s="5" t="s">
        <v>46</v>
      </c>
      <c r="AC86" s="5"/>
      <c r="AD86" s="5" t="b">
        <v>0</v>
      </c>
      <c r="AE86" s="5"/>
      <c r="AF86" s="5"/>
      <c r="AG86" s="9">
        <f t="shared" si="1"/>
        <v>43264</v>
      </c>
    </row>
    <row r="87" s="6" customFormat="1" spans="1:33">
      <c r="A87" s="5" t="s">
        <v>598</v>
      </c>
      <c r="B87" s="5" t="s">
        <v>598</v>
      </c>
      <c r="C87" s="5" t="s">
        <v>599</v>
      </c>
      <c r="D87" s="5" t="s">
        <v>600</v>
      </c>
      <c r="E87" s="5" t="s">
        <v>36</v>
      </c>
      <c r="F87" s="5" t="s">
        <v>37</v>
      </c>
      <c r="G87" s="5" t="s">
        <v>38</v>
      </c>
      <c r="H87" s="5"/>
      <c r="I87" s="5"/>
      <c r="J87" s="5" t="s">
        <v>39</v>
      </c>
      <c r="K87" s="5" t="s">
        <v>345</v>
      </c>
      <c r="L87" s="5" t="s">
        <v>346</v>
      </c>
      <c r="M87" s="5" t="s">
        <v>347</v>
      </c>
      <c r="N87" s="5" t="s">
        <v>36</v>
      </c>
      <c r="O87" s="5">
        <v>1</v>
      </c>
      <c r="P87" s="5" t="s">
        <v>43</v>
      </c>
      <c r="Q87" s="5">
        <v>17.98</v>
      </c>
      <c r="R87" s="5"/>
      <c r="S87" s="5"/>
      <c r="T87" s="5"/>
      <c r="U87" s="5"/>
      <c r="V87" s="5"/>
      <c r="W87" s="5"/>
      <c r="X87" s="5"/>
      <c r="Y87" s="5" t="s">
        <v>601</v>
      </c>
      <c r="Z87" s="5" t="s">
        <v>505</v>
      </c>
      <c r="AA87" s="5">
        <v>55901</v>
      </c>
      <c r="AB87" s="5" t="s">
        <v>46</v>
      </c>
      <c r="AC87" s="5"/>
      <c r="AD87" s="5" t="b">
        <v>0</v>
      </c>
      <c r="AE87" s="5"/>
      <c r="AF87" s="5"/>
      <c r="AG87" s="9">
        <f t="shared" si="1"/>
        <v>43264</v>
      </c>
    </row>
    <row r="88" s="6" customFormat="1" spans="1:33">
      <c r="A88" s="5" t="s">
        <v>602</v>
      </c>
      <c r="B88" s="5" t="s">
        <v>602</v>
      </c>
      <c r="C88" s="5" t="s">
        <v>603</v>
      </c>
      <c r="D88" s="5" t="s">
        <v>604</v>
      </c>
      <c r="E88" s="5" t="s">
        <v>36</v>
      </c>
      <c r="F88" s="5" t="s">
        <v>37</v>
      </c>
      <c r="G88" s="5" t="s">
        <v>38</v>
      </c>
      <c r="H88" s="5"/>
      <c r="I88" s="5"/>
      <c r="J88" s="5" t="s">
        <v>39</v>
      </c>
      <c r="K88" s="5" t="s">
        <v>75</v>
      </c>
      <c r="L88" s="5" t="s">
        <v>76</v>
      </c>
      <c r="M88" s="5" t="s">
        <v>77</v>
      </c>
      <c r="N88" s="5" t="s">
        <v>36</v>
      </c>
      <c r="O88" s="5">
        <v>1</v>
      </c>
      <c r="P88" s="5" t="s">
        <v>43</v>
      </c>
      <c r="Q88" s="5">
        <v>12.99</v>
      </c>
      <c r="R88" s="5"/>
      <c r="S88" s="5"/>
      <c r="T88" s="5"/>
      <c r="U88" s="5"/>
      <c r="V88" s="5"/>
      <c r="W88" s="5"/>
      <c r="X88" s="5"/>
      <c r="Y88" s="5" t="s">
        <v>605</v>
      </c>
      <c r="Z88" s="5" t="s">
        <v>606</v>
      </c>
      <c r="AA88" s="5">
        <v>29926</v>
      </c>
      <c r="AB88" s="5" t="s">
        <v>46</v>
      </c>
      <c r="AC88" s="5"/>
      <c r="AD88" s="5" t="b">
        <v>0</v>
      </c>
      <c r="AE88" s="5"/>
      <c r="AF88" s="5"/>
      <c r="AG88" s="9">
        <f t="shared" si="1"/>
        <v>43264</v>
      </c>
    </row>
    <row r="89" s="6" customFormat="1" spans="1:33">
      <c r="A89" s="5" t="s">
        <v>607</v>
      </c>
      <c r="B89" s="5" t="s">
        <v>607</v>
      </c>
      <c r="C89" s="5" t="s">
        <v>608</v>
      </c>
      <c r="D89" s="5" t="s">
        <v>609</v>
      </c>
      <c r="E89" s="5" t="s">
        <v>36</v>
      </c>
      <c r="F89" s="5" t="s">
        <v>37</v>
      </c>
      <c r="G89" s="5" t="s">
        <v>38</v>
      </c>
      <c r="H89" s="5"/>
      <c r="I89" s="5"/>
      <c r="J89" s="5" t="s">
        <v>128</v>
      </c>
      <c r="K89" s="5" t="s">
        <v>278</v>
      </c>
      <c r="L89" s="5" t="s">
        <v>279</v>
      </c>
      <c r="M89" s="5" t="s">
        <v>280</v>
      </c>
      <c r="N89" s="5" t="s">
        <v>36</v>
      </c>
      <c r="O89" s="5">
        <v>1</v>
      </c>
      <c r="P89" s="5" t="s">
        <v>43</v>
      </c>
      <c r="Q89" s="5">
        <v>24.99</v>
      </c>
      <c r="R89" s="5"/>
      <c r="S89" s="5"/>
      <c r="T89" s="5"/>
      <c r="U89" s="5"/>
      <c r="V89" s="5"/>
      <c r="W89" s="5"/>
      <c r="X89" s="5"/>
      <c r="Y89" s="5" t="s">
        <v>610</v>
      </c>
      <c r="Z89" s="5" t="s">
        <v>223</v>
      </c>
      <c r="AA89" s="5">
        <v>46240</v>
      </c>
      <c r="AB89" s="5" t="s">
        <v>46</v>
      </c>
      <c r="AC89" s="5"/>
      <c r="AD89" s="5" t="b">
        <v>0</v>
      </c>
      <c r="AE89" s="5"/>
      <c r="AF89" s="5"/>
      <c r="AG89" s="9">
        <f t="shared" si="1"/>
        <v>43264</v>
      </c>
    </row>
    <row r="90" s="6" customFormat="1" spans="1:33">
      <c r="A90" s="5" t="s">
        <v>611</v>
      </c>
      <c r="B90" s="5" t="s">
        <v>611</v>
      </c>
      <c r="C90" s="5" t="s">
        <v>612</v>
      </c>
      <c r="D90" s="5" t="s">
        <v>613</v>
      </c>
      <c r="E90" s="5" t="s">
        <v>614</v>
      </c>
      <c r="F90" s="5" t="s">
        <v>37</v>
      </c>
      <c r="G90" s="5" t="s">
        <v>38</v>
      </c>
      <c r="H90" s="5"/>
      <c r="I90" s="5"/>
      <c r="J90" s="5" t="s">
        <v>39</v>
      </c>
      <c r="K90" s="5" t="s">
        <v>75</v>
      </c>
      <c r="L90" s="5" t="s">
        <v>76</v>
      </c>
      <c r="M90" s="5" t="s">
        <v>77</v>
      </c>
      <c r="N90" s="5" t="s">
        <v>614</v>
      </c>
      <c r="O90" s="5">
        <v>0</v>
      </c>
      <c r="P90" s="5"/>
      <c r="Q90" s="5"/>
      <c r="R90" s="5"/>
      <c r="S90" s="5"/>
      <c r="T90" s="5"/>
      <c r="U90" s="5"/>
      <c r="V90" s="5"/>
      <c r="W90" s="5"/>
      <c r="X90" s="5"/>
      <c r="Y90" s="5" t="s">
        <v>605</v>
      </c>
      <c r="Z90" s="5" t="s">
        <v>606</v>
      </c>
      <c r="AA90" s="5">
        <v>29926</v>
      </c>
      <c r="AB90" s="5" t="s">
        <v>46</v>
      </c>
      <c r="AC90" s="5"/>
      <c r="AD90" s="5" t="b">
        <v>0</v>
      </c>
      <c r="AE90" s="5"/>
      <c r="AF90" s="5"/>
      <c r="AG90" s="9">
        <f t="shared" si="1"/>
        <v>43264</v>
      </c>
    </row>
    <row r="91" s="6" customFormat="1" spans="1:33">
      <c r="A91" s="5" t="s">
        <v>615</v>
      </c>
      <c r="B91" s="5" t="s">
        <v>615</v>
      </c>
      <c r="C91" s="5" t="s">
        <v>616</v>
      </c>
      <c r="D91" s="5" t="s">
        <v>617</v>
      </c>
      <c r="E91" s="5" t="s">
        <v>36</v>
      </c>
      <c r="F91" s="5" t="s">
        <v>37</v>
      </c>
      <c r="G91" s="5" t="s">
        <v>38</v>
      </c>
      <c r="H91" s="5"/>
      <c r="I91" s="5"/>
      <c r="J91" s="5" t="s">
        <v>39</v>
      </c>
      <c r="K91" s="5" t="s">
        <v>201</v>
      </c>
      <c r="L91" s="5" t="s">
        <v>202</v>
      </c>
      <c r="M91" s="5" t="s">
        <v>203</v>
      </c>
      <c r="N91" s="5" t="s">
        <v>36</v>
      </c>
      <c r="O91" s="5">
        <v>1</v>
      </c>
      <c r="P91" s="5" t="s">
        <v>43</v>
      </c>
      <c r="Q91" s="5">
        <v>18.99</v>
      </c>
      <c r="R91" s="5"/>
      <c r="S91" s="5"/>
      <c r="T91" s="5"/>
      <c r="U91" s="5"/>
      <c r="V91" s="5"/>
      <c r="W91" s="5"/>
      <c r="X91" s="5"/>
      <c r="Y91" s="5" t="s">
        <v>618</v>
      </c>
      <c r="Z91" s="5" t="s">
        <v>321</v>
      </c>
      <c r="AA91" s="5">
        <v>58259</v>
      </c>
      <c r="AB91" s="5" t="s">
        <v>46</v>
      </c>
      <c r="AC91" s="5"/>
      <c r="AD91" s="5" t="b">
        <v>0</v>
      </c>
      <c r="AE91" s="5"/>
      <c r="AF91" s="5"/>
      <c r="AG91" s="9">
        <f t="shared" si="1"/>
        <v>43264</v>
      </c>
    </row>
    <row r="92" s="6" customFormat="1" spans="1:33">
      <c r="A92" s="5" t="s">
        <v>619</v>
      </c>
      <c r="B92" s="5" t="s">
        <v>619</v>
      </c>
      <c r="C92" s="5" t="s">
        <v>620</v>
      </c>
      <c r="D92" s="5" t="s">
        <v>621</v>
      </c>
      <c r="E92" s="5" t="s">
        <v>36</v>
      </c>
      <c r="F92" s="5" t="s">
        <v>37</v>
      </c>
      <c r="G92" s="5" t="s">
        <v>38</v>
      </c>
      <c r="H92" s="5"/>
      <c r="I92" s="5"/>
      <c r="J92" s="5" t="s">
        <v>39</v>
      </c>
      <c r="K92" s="5" t="s">
        <v>622</v>
      </c>
      <c r="L92" s="5" t="s">
        <v>623</v>
      </c>
      <c r="M92" s="5" t="s">
        <v>624</v>
      </c>
      <c r="N92" s="5" t="s">
        <v>36</v>
      </c>
      <c r="O92" s="5">
        <v>1</v>
      </c>
      <c r="P92" s="5" t="s">
        <v>43</v>
      </c>
      <c r="Q92" s="5">
        <v>12</v>
      </c>
      <c r="R92" s="5"/>
      <c r="S92" s="5"/>
      <c r="T92" s="5"/>
      <c r="U92" s="5"/>
      <c r="V92" s="5"/>
      <c r="W92" s="5"/>
      <c r="X92" s="5"/>
      <c r="Y92" s="5" t="s">
        <v>625</v>
      </c>
      <c r="Z92" s="5" t="s">
        <v>335</v>
      </c>
      <c r="AA92" s="5" t="s">
        <v>626</v>
      </c>
      <c r="AB92" s="5" t="s">
        <v>46</v>
      </c>
      <c r="AC92" s="5"/>
      <c r="AD92" s="5" t="b">
        <v>0</v>
      </c>
      <c r="AE92" s="5"/>
      <c r="AF92" s="5"/>
      <c r="AG92" s="9">
        <f t="shared" si="1"/>
        <v>43264</v>
      </c>
    </row>
    <row r="93" s="6" customFormat="1" spans="1:33">
      <c r="A93" s="5" t="s">
        <v>627</v>
      </c>
      <c r="B93" s="5" t="s">
        <v>627</v>
      </c>
      <c r="C93" s="5" t="s">
        <v>628</v>
      </c>
      <c r="D93" s="5" t="s">
        <v>629</v>
      </c>
      <c r="E93" s="5" t="s">
        <v>36</v>
      </c>
      <c r="F93" s="5" t="s">
        <v>37</v>
      </c>
      <c r="G93" s="5" t="s">
        <v>38</v>
      </c>
      <c r="H93" s="5"/>
      <c r="I93" s="5"/>
      <c r="J93" s="5" t="s">
        <v>39</v>
      </c>
      <c r="K93" s="5" t="s">
        <v>50</v>
      </c>
      <c r="L93" s="5" t="s">
        <v>51</v>
      </c>
      <c r="M93" s="5" t="s">
        <v>52</v>
      </c>
      <c r="N93" s="5" t="s">
        <v>36</v>
      </c>
      <c r="O93" s="5">
        <v>1</v>
      </c>
      <c r="P93" s="5" t="s">
        <v>43</v>
      </c>
      <c r="Q93" s="5">
        <v>18.99</v>
      </c>
      <c r="R93" s="5"/>
      <c r="S93" s="5"/>
      <c r="T93" s="5"/>
      <c r="U93" s="5"/>
      <c r="V93" s="5"/>
      <c r="W93" s="5"/>
      <c r="X93" s="5"/>
      <c r="Y93" s="5" t="s">
        <v>630</v>
      </c>
      <c r="Z93" s="5" t="s">
        <v>631</v>
      </c>
      <c r="AA93" s="5" t="s">
        <v>632</v>
      </c>
      <c r="AB93" s="5" t="s">
        <v>46</v>
      </c>
      <c r="AC93" s="5"/>
      <c r="AD93" s="5" t="b">
        <v>0</v>
      </c>
      <c r="AE93" s="5"/>
      <c r="AF93" s="5"/>
      <c r="AG93" s="9">
        <f t="shared" si="1"/>
        <v>43264</v>
      </c>
    </row>
    <row r="94" s="6" customFormat="1" spans="1:33">
      <c r="A94" s="5" t="s">
        <v>633</v>
      </c>
      <c r="B94" s="5" t="s">
        <v>633</v>
      </c>
      <c r="C94" s="5" t="s">
        <v>634</v>
      </c>
      <c r="D94" s="5" t="s">
        <v>635</v>
      </c>
      <c r="E94" s="5" t="s">
        <v>36</v>
      </c>
      <c r="F94" s="5" t="s">
        <v>37</v>
      </c>
      <c r="G94" s="5" t="s">
        <v>38</v>
      </c>
      <c r="H94" s="5"/>
      <c r="I94" s="5"/>
      <c r="J94" s="5" t="s">
        <v>39</v>
      </c>
      <c r="K94" s="5" t="s">
        <v>365</v>
      </c>
      <c r="L94" s="5" t="s">
        <v>366</v>
      </c>
      <c r="M94" s="5" t="s">
        <v>367</v>
      </c>
      <c r="N94" s="5" t="s">
        <v>36</v>
      </c>
      <c r="O94" s="5">
        <v>1</v>
      </c>
      <c r="P94" s="5" t="s">
        <v>43</v>
      </c>
      <c r="Q94" s="5">
        <v>18.99</v>
      </c>
      <c r="R94" s="5"/>
      <c r="S94" s="5"/>
      <c r="T94" s="5"/>
      <c r="U94" s="5"/>
      <c r="V94" s="5"/>
      <c r="W94" s="5"/>
      <c r="X94" s="5"/>
      <c r="Y94" s="5" t="s">
        <v>636</v>
      </c>
      <c r="Z94" s="5" t="s">
        <v>105</v>
      </c>
      <c r="AA94" s="5" t="s">
        <v>637</v>
      </c>
      <c r="AB94" s="5" t="s">
        <v>46</v>
      </c>
      <c r="AC94" s="5"/>
      <c r="AD94" s="5" t="b">
        <v>0</v>
      </c>
      <c r="AE94" s="5"/>
      <c r="AF94" s="5"/>
      <c r="AG94" s="9">
        <f t="shared" si="1"/>
        <v>43264</v>
      </c>
    </row>
    <row r="95" s="6" customFormat="1" spans="1:33">
      <c r="A95" s="5" t="s">
        <v>638</v>
      </c>
      <c r="B95" s="5" t="s">
        <v>638</v>
      </c>
      <c r="C95" s="5" t="s">
        <v>639</v>
      </c>
      <c r="D95" s="5" t="s">
        <v>640</v>
      </c>
      <c r="E95" s="5" t="s">
        <v>36</v>
      </c>
      <c r="F95" s="5" t="s">
        <v>37</v>
      </c>
      <c r="G95" s="5" t="s">
        <v>38</v>
      </c>
      <c r="H95" s="5"/>
      <c r="I95" s="5"/>
      <c r="J95" s="5" t="s">
        <v>39</v>
      </c>
      <c r="K95" s="5" t="s">
        <v>641</v>
      </c>
      <c r="L95" s="5" t="s">
        <v>642</v>
      </c>
      <c r="M95" s="5" t="s">
        <v>643</v>
      </c>
      <c r="N95" s="5" t="s">
        <v>36</v>
      </c>
      <c r="O95" s="5">
        <v>1</v>
      </c>
      <c r="P95" s="5" t="s">
        <v>43</v>
      </c>
      <c r="Q95" s="5">
        <v>20</v>
      </c>
      <c r="R95" s="5"/>
      <c r="S95" s="5"/>
      <c r="T95" s="5"/>
      <c r="U95" s="5"/>
      <c r="V95" s="5"/>
      <c r="W95" s="5">
        <v>4</v>
      </c>
      <c r="X95" s="5"/>
      <c r="Y95" s="5" t="s">
        <v>644</v>
      </c>
      <c r="Z95" s="5" t="s">
        <v>54</v>
      </c>
      <c r="AA95" s="5">
        <v>94707</v>
      </c>
      <c r="AB95" s="5" t="s">
        <v>46</v>
      </c>
      <c r="AC95" s="5" t="s">
        <v>172</v>
      </c>
      <c r="AD95" s="5" t="b">
        <v>0</v>
      </c>
      <c r="AE95" s="5"/>
      <c r="AF95" s="5"/>
      <c r="AG95" s="9">
        <f t="shared" si="1"/>
        <v>43264</v>
      </c>
    </row>
    <row r="96" s="6" customFormat="1" spans="1:33">
      <c r="A96" s="5" t="s">
        <v>645</v>
      </c>
      <c r="B96" s="5" t="s">
        <v>645</v>
      </c>
      <c r="C96" s="5" t="s">
        <v>646</v>
      </c>
      <c r="D96" s="5" t="s">
        <v>647</v>
      </c>
      <c r="E96" s="5" t="s">
        <v>36</v>
      </c>
      <c r="F96" s="5" t="s">
        <v>37</v>
      </c>
      <c r="G96" s="5" t="s">
        <v>38</v>
      </c>
      <c r="H96" s="5"/>
      <c r="I96" s="5"/>
      <c r="J96" s="5" t="s">
        <v>39</v>
      </c>
      <c r="K96" s="5" t="s">
        <v>243</v>
      </c>
      <c r="L96" s="5" t="s">
        <v>244</v>
      </c>
      <c r="M96" s="5" t="s">
        <v>245</v>
      </c>
      <c r="N96" s="5" t="s">
        <v>36</v>
      </c>
      <c r="O96" s="5">
        <v>1</v>
      </c>
      <c r="P96" s="5" t="s">
        <v>43</v>
      </c>
      <c r="Q96" s="5">
        <v>18.99</v>
      </c>
      <c r="R96" s="5"/>
      <c r="S96" s="5"/>
      <c r="T96" s="5"/>
      <c r="U96" s="5"/>
      <c r="V96" s="5"/>
      <c r="W96" s="5"/>
      <c r="X96" s="5"/>
      <c r="Y96" s="5" t="s">
        <v>648</v>
      </c>
      <c r="Z96" s="5" t="s">
        <v>649</v>
      </c>
      <c r="AA96" s="5" t="s">
        <v>650</v>
      </c>
      <c r="AB96" s="5" t="s">
        <v>46</v>
      </c>
      <c r="AC96" s="5"/>
      <c r="AD96" s="5" t="b">
        <v>0</v>
      </c>
      <c r="AE96" s="5"/>
      <c r="AF96" s="5"/>
      <c r="AG96" s="9">
        <f t="shared" si="1"/>
        <v>43264</v>
      </c>
    </row>
    <row r="97" s="6" customFormat="1" spans="1:33">
      <c r="A97" s="5" t="s">
        <v>651</v>
      </c>
      <c r="B97" s="5" t="s">
        <v>651</v>
      </c>
      <c r="C97" s="5" t="s">
        <v>652</v>
      </c>
      <c r="D97" s="5" t="s">
        <v>653</v>
      </c>
      <c r="E97" s="5" t="s">
        <v>36</v>
      </c>
      <c r="F97" s="5" t="s">
        <v>37</v>
      </c>
      <c r="G97" s="5" t="s">
        <v>38</v>
      </c>
      <c r="H97" s="5"/>
      <c r="I97" s="5"/>
      <c r="J97" s="5" t="s">
        <v>39</v>
      </c>
      <c r="K97" s="5" t="s">
        <v>50</v>
      </c>
      <c r="L97" s="5" t="s">
        <v>51</v>
      </c>
      <c r="M97" s="5" t="s">
        <v>52</v>
      </c>
      <c r="N97" s="5" t="s">
        <v>36</v>
      </c>
      <c r="O97" s="5">
        <v>1</v>
      </c>
      <c r="P97" s="5" t="s">
        <v>43</v>
      </c>
      <c r="Q97" s="5">
        <v>18.99</v>
      </c>
      <c r="R97" s="5">
        <v>1.56</v>
      </c>
      <c r="S97" s="5"/>
      <c r="T97" s="5"/>
      <c r="U97" s="5"/>
      <c r="V97" s="5"/>
      <c r="W97" s="5"/>
      <c r="X97" s="5"/>
      <c r="Y97" s="5" t="s">
        <v>654</v>
      </c>
      <c r="Z97" s="5" t="s">
        <v>474</v>
      </c>
      <c r="AA97" s="5" t="s">
        <v>655</v>
      </c>
      <c r="AB97" s="5" t="s">
        <v>46</v>
      </c>
      <c r="AC97" s="5"/>
      <c r="AD97" s="5" t="b">
        <v>0</v>
      </c>
      <c r="AE97" s="5"/>
      <c r="AF97" s="5"/>
      <c r="AG97" s="9">
        <f t="shared" si="1"/>
        <v>43264</v>
      </c>
    </row>
    <row r="98" s="6" customFormat="1" spans="1:33">
      <c r="A98" s="5" t="s">
        <v>656</v>
      </c>
      <c r="B98" s="5" t="s">
        <v>656</v>
      </c>
      <c r="C98" s="5" t="s">
        <v>657</v>
      </c>
      <c r="D98" s="5" t="s">
        <v>658</v>
      </c>
      <c r="E98" s="5" t="s">
        <v>36</v>
      </c>
      <c r="F98" s="5" t="s">
        <v>37</v>
      </c>
      <c r="G98" s="5" t="s">
        <v>38</v>
      </c>
      <c r="H98" s="5"/>
      <c r="I98" s="5"/>
      <c r="J98" s="5" t="s">
        <v>39</v>
      </c>
      <c r="K98" s="5" t="s">
        <v>387</v>
      </c>
      <c r="L98" s="5" t="s">
        <v>388</v>
      </c>
      <c r="M98" s="5" t="s">
        <v>389</v>
      </c>
      <c r="N98" s="5" t="s">
        <v>36</v>
      </c>
      <c r="O98" s="5">
        <v>1</v>
      </c>
      <c r="P98" s="5" t="s">
        <v>43</v>
      </c>
      <c r="Q98" s="5">
        <v>18.99</v>
      </c>
      <c r="R98" s="5"/>
      <c r="S98" s="5"/>
      <c r="T98" s="5"/>
      <c r="U98" s="5"/>
      <c r="V98" s="5"/>
      <c r="W98" s="5"/>
      <c r="X98" s="5"/>
      <c r="Y98" s="5" t="s">
        <v>659</v>
      </c>
      <c r="Z98" s="5" t="s">
        <v>382</v>
      </c>
      <c r="AA98" s="5" t="s">
        <v>660</v>
      </c>
      <c r="AB98" s="5" t="s">
        <v>46</v>
      </c>
      <c r="AC98" s="5"/>
      <c r="AD98" s="5" t="b">
        <v>0</v>
      </c>
      <c r="AE98" s="5"/>
      <c r="AF98" s="5"/>
      <c r="AG98" s="9">
        <f t="shared" si="1"/>
        <v>43264</v>
      </c>
    </row>
    <row r="99" s="6" customFormat="1" spans="1:33">
      <c r="A99" s="5" t="s">
        <v>661</v>
      </c>
      <c r="B99" s="5" t="s">
        <v>661</v>
      </c>
      <c r="C99" s="5" t="s">
        <v>662</v>
      </c>
      <c r="D99" s="5" t="s">
        <v>663</v>
      </c>
      <c r="E99" s="5" t="s">
        <v>36</v>
      </c>
      <c r="F99" s="5" t="s">
        <v>37</v>
      </c>
      <c r="G99" s="5" t="s">
        <v>38</v>
      </c>
      <c r="H99" s="5"/>
      <c r="I99" s="5"/>
      <c r="J99" s="5" t="s">
        <v>287</v>
      </c>
      <c r="K99" s="5" t="s">
        <v>147</v>
      </c>
      <c r="L99" s="5" t="s">
        <v>148</v>
      </c>
      <c r="M99" s="5" t="s">
        <v>149</v>
      </c>
      <c r="N99" s="5" t="s">
        <v>36</v>
      </c>
      <c r="O99" s="5">
        <v>1</v>
      </c>
      <c r="P99" s="5" t="s">
        <v>43</v>
      </c>
      <c r="Q99" s="5">
        <v>12.98</v>
      </c>
      <c r="R99" s="5"/>
      <c r="S99" s="5">
        <v>3.99</v>
      </c>
      <c r="T99" s="5"/>
      <c r="U99" s="5"/>
      <c r="V99" s="5"/>
      <c r="W99" s="5"/>
      <c r="X99" s="5">
        <v>3.99</v>
      </c>
      <c r="Y99" s="5" t="s">
        <v>664</v>
      </c>
      <c r="Z99" s="5" t="s">
        <v>87</v>
      </c>
      <c r="AA99" s="5" t="s">
        <v>665</v>
      </c>
      <c r="AB99" s="5" t="s">
        <v>46</v>
      </c>
      <c r="AC99" s="5"/>
      <c r="AD99" s="5" t="b">
        <v>0</v>
      </c>
      <c r="AE99" s="5"/>
      <c r="AF99" s="5"/>
      <c r="AG99" s="9">
        <f t="shared" si="1"/>
        <v>43264</v>
      </c>
    </row>
    <row r="100" s="6" customFormat="1" spans="1:33">
      <c r="A100" s="5" t="s">
        <v>666</v>
      </c>
      <c r="B100" s="5" t="s">
        <v>666</v>
      </c>
      <c r="C100" s="5" t="s">
        <v>667</v>
      </c>
      <c r="D100" s="5" t="s">
        <v>668</v>
      </c>
      <c r="E100" s="5" t="s">
        <v>36</v>
      </c>
      <c r="F100" s="5" t="s">
        <v>37</v>
      </c>
      <c r="G100" s="5" t="s">
        <v>38</v>
      </c>
      <c r="H100" s="5"/>
      <c r="I100" s="5"/>
      <c r="J100" s="5" t="s">
        <v>39</v>
      </c>
      <c r="K100" s="5" t="s">
        <v>119</v>
      </c>
      <c r="L100" s="5" t="s">
        <v>120</v>
      </c>
      <c r="M100" s="5" t="s">
        <v>121</v>
      </c>
      <c r="N100" s="5" t="s">
        <v>36</v>
      </c>
      <c r="O100" s="5">
        <v>1</v>
      </c>
      <c r="P100" s="5" t="s">
        <v>43</v>
      </c>
      <c r="Q100" s="5">
        <v>24.99</v>
      </c>
      <c r="R100" s="5"/>
      <c r="S100" s="5"/>
      <c r="T100" s="5"/>
      <c r="U100" s="5"/>
      <c r="V100" s="5"/>
      <c r="W100" s="5"/>
      <c r="X100" s="5"/>
      <c r="Y100" s="5" t="s">
        <v>669</v>
      </c>
      <c r="Z100" s="5" t="s">
        <v>54</v>
      </c>
      <c r="AA100" s="5" t="s">
        <v>670</v>
      </c>
      <c r="AB100" s="5" t="s">
        <v>46</v>
      </c>
      <c r="AC100" s="5"/>
      <c r="AD100" s="5" t="b">
        <v>0</v>
      </c>
      <c r="AE100" s="5"/>
      <c r="AF100" s="5"/>
      <c r="AG100" s="9">
        <f t="shared" si="1"/>
        <v>43264</v>
      </c>
    </row>
    <row r="101" s="6" customFormat="1" spans="1:33">
      <c r="A101" s="5" t="s">
        <v>671</v>
      </c>
      <c r="B101" s="5" t="s">
        <v>671</v>
      </c>
      <c r="C101" s="5" t="s">
        <v>672</v>
      </c>
      <c r="D101" s="5" t="s">
        <v>673</v>
      </c>
      <c r="E101" s="5" t="s">
        <v>36</v>
      </c>
      <c r="F101" s="5" t="s">
        <v>37</v>
      </c>
      <c r="G101" s="5" t="s">
        <v>38</v>
      </c>
      <c r="H101" s="5"/>
      <c r="I101" s="5"/>
      <c r="J101" s="5" t="s">
        <v>39</v>
      </c>
      <c r="K101" s="5" t="s">
        <v>147</v>
      </c>
      <c r="L101" s="5" t="s">
        <v>148</v>
      </c>
      <c r="M101" s="5" t="s">
        <v>149</v>
      </c>
      <c r="N101" s="5" t="s">
        <v>36</v>
      </c>
      <c r="O101" s="5">
        <v>1</v>
      </c>
      <c r="P101" s="5" t="s">
        <v>43</v>
      </c>
      <c r="Q101" s="5">
        <v>12.98</v>
      </c>
      <c r="R101" s="5"/>
      <c r="S101" s="5"/>
      <c r="T101" s="5"/>
      <c r="U101" s="5"/>
      <c r="V101" s="5"/>
      <c r="W101" s="5"/>
      <c r="X101" s="5"/>
      <c r="Y101" s="5" t="s">
        <v>674</v>
      </c>
      <c r="Z101" s="5" t="s">
        <v>247</v>
      </c>
      <c r="AA101" s="5" t="s">
        <v>675</v>
      </c>
      <c r="AB101" s="5" t="s">
        <v>46</v>
      </c>
      <c r="AC101" s="5"/>
      <c r="AD101" s="5" t="b">
        <v>0</v>
      </c>
      <c r="AE101" s="5"/>
      <c r="AF101" s="5"/>
      <c r="AG101" s="9">
        <f t="shared" si="1"/>
        <v>43264</v>
      </c>
    </row>
    <row r="102" s="6" customFormat="1" spans="1:33">
      <c r="A102" s="5" t="s">
        <v>676</v>
      </c>
      <c r="B102" s="5" t="s">
        <v>676</v>
      </c>
      <c r="C102" s="5" t="s">
        <v>677</v>
      </c>
      <c r="D102" s="5" t="s">
        <v>678</v>
      </c>
      <c r="E102" s="5" t="s">
        <v>36</v>
      </c>
      <c r="F102" s="5" t="s">
        <v>37</v>
      </c>
      <c r="G102" s="5" t="s">
        <v>38</v>
      </c>
      <c r="H102" s="5"/>
      <c r="I102" s="5"/>
      <c r="J102" s="5" t="s">
        <v>128</v>
      </c>
      <c r="K102" s="5" t="s">
        <v>533</v>
      </c>
      <c r="L102" s="5" t="s">
        <v>534</v>
      </c>
      <c r="M102" s="5" t="s">
        <v>535</v>
      </c>
      <c r="N102" s="5" t="s">
        <v>36</v>
      </c>
      <c r="O102" s="5">
        <v>1</v>
      </c>
      <c r="P102" s="5" t="s">
        <v>43</v>
      </c>
      <c r="Q102" s="5">
        <v>24.99</v>
      </c>
      <c r="R102" s="5"/>
      <c r="S102" s="5">
        <v>1.79</v>
      </c>
      <c r="T102" s="5"/>
      <c r="U102" s="5"/>
      <c r="V102" s="5"/>
      <c r="W102" s="5"/>
      <c r="X102" s="5">
        <v>1.79</v>
      </c>
      <c r="Y102" s="5" t="s">
        <v>679</v>
      </c>
      <c r="Z102" s="5" t="s">
        <v>680</v>
      </c>
      <c r="AA102" s="5">
        <v>59442</v>
      </c>
      <c r="AB102" s="5" t="s">
        <v>46</v>
      </c>
      <c r="AC102" s="5" t="s">
        <v>225</v>
      </c>
      <c r="AD102" s="5" t="b">
        <v>0</v>
      </c>
      <c r="AE102" s="5"/>
      <c r="AF102" s="5"/>
      <c r="AG102" s="9">
        <f t="shared" si="1"/>
        <v>43264</v>
      </c>
    </row>
    <row r="103" s="6" customFormat="1" spans="1:33">
      <c r="A103" s="5" t="s">
        <v>681</v>
      </c>
      <c r="B103" s="5" t="s">
        <v>681</v>
      </c>
      <c r="C103" s="5" t="s">
        <v>682</v>
      </c>
      <c r="D103" s="5" t="s">
        <v>683</v>
      </c>
      <c r="E103" s="5" t="s">
        <v>36</v>
      </c>
      <c r="F103" s="5" t="s">
        <v>37</v>
      </c>
      <c r="G103" s="5" t="s">
        <v>38</v>
      </c>
      <c r="H103" s="5"/>
      <c r="I103" s="5"/>
      <c r="J103" s="5" t="s">
        <v>39</v>
      </c>
      <c r="K103" s="5" t="s">
        <v>75</v>
      </c>
      <c r="L103" s="5" t="s">
        <v>76</v>
      </c>
      <c r="M103" s="5" t="s">
        <v>77</v>
      </c>
      <c r="N103" s="5" t="s">
        <v>36</v>
      </c>
      <c r="O103" s="5">
        <v>1</v>
      </c>
      <c r="P103" s="5" t="s">
        <v>43</v>
      </c>
      <c r="Q103" s="5">
        <v>12.99</v>
      </c>
      <c r="R103" s="5"/>
      <c r="S103" s="5"/>
      <c r="T103" s="5"/>
      <c r="U103" s="5"/>
      <c r="V103" s="5"/>
      <c r="W103" s="5"/>
      <c r="X103" s="5"/>
      <c r="Y103" s="5" t="s">
        <v>684</v>
      </c>
      <c r="Z103" s="5" t="s">
        <v>335</v>
      </c>
      <c r="AA103" s="5" t="s">
        <v>685</v>
      </c>
      <c r="AB103" s="5" t="s">
        <v>46</v>
      </c>
      <c r="AC103" s="5"/>
      <c r="AD103" s="5" t="b">
        <v>0</v>
      </c>
      <c r="AE103" s="5"/>
      <c r="AF103" s="5"/>
      <c r="AG103" s="9">
        <f t="shared" si="1"/>
        <v>43264</v>
      </c>
    </row>
    <row r="104" s="6" customFormat="1" spans="1:33">
      <c r="A104" s="5" t="s">
        <v>686</v>
      </c>
      <c r="B104" s="5" t="s">
        <v>686</v>
      </c>
      <c r="C104" s="5" t="s">
        <v>687</v>
      </c>
      <c r="D104" s="5" t="s">
        <v>688</v>
      </c>
      <c r="E104" s="5" t="s">
        <v>36</v>
      </c>
      <c r="F104" s="5" t="s">
        <v>37</v>
      </c>
      <c r="G104" s="5" t="s">
        <v>38</v>
      </c>
      <c r="H104" s="5"/>
      <c r="I104" s="5"/>
      <c r="J104" s="5" t="s">
        <v>39</v>
      </c>
      <c r="K104" s="5" t="s">
        <v>533</v>
      </c>
      <c r="L104" s="5" t="s">
        <v>534</v>
      </c>
      <c r="M104" s="5" t="s">
        <v>535</v>
      </c>
      <c r="N104" s="5" t="s">
        <v>36</v>
      </c>
      <c r="O104" s="5">
        <v>1</v>
      </c>
      <c r="P104" s="5" t="s">
        <v>43</v>
      </c>
      <c r="Q104" s="5">
        <v>24.99</v>
      </c>
      <c r="R104" s="5"/>
      <c r="S104" s="5"/>
      <c r="T104" s="5"/>
      <c r="U104" s="5"/>
      <c r="V104" s="5"/>
      <c r="W104" s="5"/>
      <c r="X104" s="5"/>
      <c r="Y104" s="5" t="s">
        <v>689</v>
      </c>
      <c r="Z104" s="5" t="s">
        <v>54</v>
      </c>
      <c r="AA104" s="5" t="s">
        <v>690</v>
      </c>
      <c r="AB104" s="5" t="s">
        <v>46</v>
      </c>
      <c r="AC104" s="5"/>
      <c r="AD104" s="5" t="b">
        <v>0</v>
      </c>
      <c r="AE104" s="5"/>
      <c r="AF104" s="5"/>
      <c r="AG104" s="9">
        <f t="shared" si="1"/>
        <v>43264</v>
      </c>
    </row>
    <row r="105" s="6" customFormat="1" spans="1:33">
      <c r="A105" s="5" t="s">
        <v>691</v>
      </c>
      <c r="B105" s="5" t="s">
        <v>691</v>
      </c>
      <c r="C105" s="5" t="s">
        <v>692</v>
      </c>
      <c r="D105" s="5" t="s">
        <v>693</v>
      </c>
      <c r="E105" s="5" t="s">
        <v>36</v>
      </c>
      <c r="F105" s="5" t="s">
        <v>37</v>
      </c>
      <c r="G105" s="5" t="s">
        <v>38</v>
      </c>
      <c r="H105" s="5"/>
      <c r="I105" s="5"/>
      <c r="J105" s="5" t="s">
        <v>156</v>
      </c>
      <c r="K105" s="5" t="s">
        <v>554</v>
      </c>
      <c r="L105" s="5" t="s">
        <v>555</v>
      </c>
      <c r="M105" s="5" t="s">
        <v>556</v>
      </c>
      <c r="N105" s="5" t="s">
        <v>36</v>
      </c>
      <c r="O105" s="5">
        <v>1</v>
      </c>
      <c r="P105" s="5" t="s">
        <v>43</v>
      </c>
      <c r="Q105" s="5">
        <v>10</v>
      </c>
      <c r="R105" s="5"/>
      <c r="S105" s="5">
        <v>3.99</v>
      </c>
      <c r="T105" s="5"/>
      <c r="U105" s="5"/>
      <c r="V105" s="5"/>
      <c r="W105" s="5"/>
      <c r="X105" s="5"/>
      <c r="Y105" s="5" t="s">
        <v>694</v>
      </c>
      <c r="Z105" s="5" t="s">
        <v>282</v>
      </c>
      <c r="AA105" s="5" t="s">
        <v>695</v>
      </c>
      <c r="AB105" s="5" t="s">
        <v>46</v>
      </c>
      <c r="AC105" s="5"/>
      <c r="AD105" s="5" t="b">
        <v>0</v>
      </c>
      <c r="AE105" s="5"/>
      <c r="AF105" s="5"/>
      <c r="AG105" s="9">
        <f t="shared" si="1"/>
        <v>43264</v>
      </c>
    </row>
    <row r="106" s="6" customFormat="1" spans="1:33">
      <c r="A106" s="5" t="s">
        <v>696</v>
      </c>
      <c r="B106" s="5" t="s">
        <v>696</v>
      </c>
      <c r="C106" s="5" t="s">
        <v>697</v>
      </c>
      <c r="D106" s="5" t="s">
        <v>698</v>
      </c>
      <c r="E106" s="5" t="s">
        <v>36</v>
      </c>
      <c r="F106" s="5" t="s">
        <v>37</v>
      </c>
      <c r="G106" s="5" t="s">
        <v>38</v>
      </c>
      <c r="H106" s="5"/>
      <c r="I106" s="5"/>
      <c r="J106" s="5" t="s">
        <v>39</v>
      </c>
      <c r="K106" s="5" t="s">
        <v>50</v>
      </c>
      <c r="L106" s="5" t="s">
        <v>51</v>
      </c>
      <c r="M106" s="5" t="s">
        <v>52</v>
      </c>
      <c r="N106" s="5" t="s">
        <v>36</v>
      </c>
      <c r="O106" s="5">
        <v>1</v>
      </c>
      <c r="P106" s="5" t="s">
        <v>43</v>
      </c>
      <c r="Q106" s="5">
        <v>18.99</v>
      </c>
      <c r="R106" s="5"/>
      <c r="S106" s="5"/>
      <c r="T106" s="5"/>
      <c r="U106" s="5"/>
      <c r="V106" s="5"/>
      <c r="W106" s="5"/>
      <c r="X106" s="5"/>
      <c r="Y106" s="5" t="s">
        <v>462</v>
      </c>
      <c r="Z106" s="5" t="s">
        <v>377</v>
      </c>
      <c r="AA106" s="5">
        <v>2135</v>
      </c>
      <c r="AB106" s="5" t="s">
        <v>46</v>
      </c>
      <c r="AC106" s="5"/>
      <c r="AD106" s="5" t="b">
        <v>0</v>
      </c>
      <c r="AE106" s="5"/>
      <c r="AF106" s="5"/>
      <c r="AG106" s="9">
        <f t="shared" si="1"/>
        <v>43264</v>
      </c>
    </row>
    <row r="107" s="6" customFormat="1" spans="1:33">
      <c r="A107" s="5" t="s">
        <v>699</v>
      </c>
      <c r="B107" s="5" t="s">
        <v>699</v>
      </c>
      <c r="C107" s="5" t="s">
        <v>700</v>
      </c>
      <c r="D107" s="5" t="s">
        <v>701</v>
      </c>
      <c r="E107" s="5" t="s">
        <v>36</v>
      </c>
      <c r="F107" s="5" t="s">
        <v>37</v>
      </c>
      <c r="G107" s="5" t="s">
        <v>38</v>
      </c>
      <c r="H107" s="5"/>
      <c r="I107" s="5"/>
      <c r="J107" s="5" t="s">
        <v>39</v>
      </c>
      <c r="K107" s="5" t="s">
        <v>243</v>
      </c>
      <c r="L107" s="5" t="s">
        <v>301</v>
      </c>
      <c r="M107" s="5" t="s">
        <v>245</v>
      </c>
      <c r="N107" s="5" t="s">
        <v>36</v>
      </c>
      <c r="O107" s="5">
        <v>1</v>
      </c>
      <c r="P107" s="5" t="s">
        <v>43</v>
      </c>
      <c r="Q107" s="5">
        <v>18.99</v>
      </c>
      <c r="R107" s="5"/>
      <c r="S107" s="5"/>
      <c r="T107" s="5"/>
      <c r="U107" s="5"/>
      <c r="V107" s="5"/>
      <c r="W107" s="5"/>
      <c r="X107" s="5"/>
      <c r="Y107" s="5" t="s">
        <v>702</v>
      </c>
      <c r="Z107" s="5" t="s">
        <v>703</v>
      </c>
      <c r="AA107" s="5">
        <v>75254</v>
      </c>
      <c r="AB107" s="5" t="s">
        <v>46</v>
      </c>
      <c r="AC107" s="5"/>
      <c r="AD107" s="5" t="b">
        <v>0</v>
      </c>
      <c r="AE107" s="5"/>
      <c r="AF107" s="5"/>
      <c r="AG107" s="9">
        <f t="shared" si="1"/>
        <v>43264</v>
      </c>
    </row>
    <row r="108" s="6" customFormat="1" spans="1:33">
      <c r="A108" s="5" t="s">
        <v>704</v>
      </c>
      <c r="B108" s="5" t="s">
        <v>704</v>
      </c>
      <c r="C108" s="5" t="s">
        <v>705</v>
      </c>
      <c r="D108" s="5" t="s">
        <v>706</v>
      </c>
      <c r="E108" s="5" t="s">
        <v>36</v>
      </c>
      <c r="F108" s="5" t="s">
        <v>37</v>
      </c>
      <c r="G108" s="5" t="s">
        <v>38</v>
      </c>
      <c r="H108" s="5"/>
      <c r="I108" s="5"/>
      <c r="J108" s="5" t="s">
        <v>39</v>
      </c>
      <c r="K108" s="5" t="s">
        <v>110</v>
      </c>
      <c r="L108" s="5" t="s">
        <v>111</v>
      </c>
      <c r="M108" s="5" t="s">
        <v>112</v>
      </c>
      <c r="N108" s="5" t="s">
        <v>36</v>
      </c>
      <c r="O108" s="5">
        <v>1</v>
      </c>
      <c r="P108" s="5" t="s">
        <v>43</v>
      </c>
      <c r="Q108" s="5">
        <v>12.99</v>
      </c>
      <c r="R108" s="5"/>
      <c r="S108" s="5"/>
      <c r="T108" s="5"/>
      <c r="U108" s="5"/>
      <c r="V108" s="5"/>
      <c r="W108" s="5"/>
      <c r="X108" s="5"/>
      <c r="Y108" s="5" t="s">
        <v>707</v>
      </c>
      <c r="Z108" s="5" t="s">
        <v>247</v>
      </c>
      <c r="AA108" s="5">
        <v>78253</v>
      </c>
      <c r="AB108" s="5" t="s">
        <v>46</v>
      </c>
      <c r="AC108" s="5"/>
      <c r="AD108" s="5" t="b">
        <v>0</v>
      </c>
      <c r="AE108" s="5"/>
      <c r="AF108" s="5"/>
      <c r="AG108" s="9">
        <f t="shared" si="1"/>
        <v>43264</v>
      </c>
    </row>
    <row r="109" s="6" customFormat="1" spans="1:33">
      <c r="A109" s="5" t="s">
        <v>708</v>
      </c>
      <c r="B109" s="5" t="s">
        <v>708</v>
      </c>
      <c r="C109" s="5" t="s">
        <v>709</v>
      </c>
      <c r="D109" s="5" t="s">
        <v>710</v>
      </c>
      <c r="E109" s="5" t="s">
        <v>36</v>
      </c>
      <c r="F109" s="5" t="s">
        <v>37</v>
      </c>
      <c r="G109" s="5" t="s">
        <v>38</v>
      </c>
      <c r="H109" s="5"/>
      <c r="I109" s="5"/>
      <c r="J109" s="5" t="s">
        <v>39</v>
      </c>
      <c r="K109" s="5" t="s">
        <v>711</v>
      </c>
      <c r="L109" s="5" t="s">
        <v>712</v>
      </c>
      <c r="M109" s="5" t="s">
        <v>713</v>
      </c>
      <c r="N109" s="5" t="s">
        <v>36</v>
      </c>
      <c r="O109" s="5">
        <v>1</v>
      </c>
      <c r="P109" s="5" t="s">
        <v>43</v>
      </c>
      <c r="Q109" s="5">
        <v>16.98</v>
      </c>
      <c r="R109" s="5"/>
      <c r="S109" s="5"/>
      <c r="T109" s="5"/>
      <c r="U109" s="5"/>
      <c r="V109" s="5"/>
      <c r="W109" s="5"/>
      <c r="X109" s="5"/>
      <c r="Y109" s="5" t="s">
        <v>714</v>
      </c>
      <c r="Z109" s="5" t="s">
        <v>715</v>
      </c>
      <c r="AA109" s="5">
        <v>1129</v>
      </c>
      <c r="AB109" s="5" t="s">
        <v>46</v>
      </c>
      <c r="AC109" s="5"/>
      <c r="AD109" s="5" t="b">
        <v>0</v>
      </c>
      <c r="AE109" s="5"/>
      <c r="AF109" s="5"/>
      <c r="AG109" s="9">
        <f t="shared" si="1"/>
        <v>43264</v>
      </c>
    </row>
    <row r="110" s="6" customFormat="1" spans="1:33">
      <c r="A110" s="5" t="s">
        <v>716</v>
      </c>
      <c r="B110" s="5" t="s">
        <v>716</v>
      </c>
      <c r="C110" s="5" t="s">
        <v>717</v>
      </c>
      <c r="D110" s="5" t="s">
        <v>718</v>
      </c>
      <c r="E110" s="5" t="s">
        <v>36</v>
      </c>
      <c r="F110" s="5" t="s">
        <v>37</v>
      </c>
      <c r="G110" s="5" t="s">
        <v>38</v>
      </c>
      <c r="H110" s="5"/>
      <c r="I110" s="5"/>
      <c r="J110" s="5" t="s">
        <v>39</v>
      </c>
      <c r="K110" s="5" t="s">
        <v>75</v>
      </c>
      <c r="L110" s="5" t="s">
        <v>76</v>
      </c>
      <c r="M110" s="5" t="s">
        <v>77</v>
      </c>
      <c r="N110" s="5" t="s">
        <v>36</v>
      </c>
      <c r="O110" s="5">
        <v>1</v>
      </c>
      <c r="P110" s="5" t="s">
        <v>43</v>
      </c>
      <c r="Q110" s="5">
        <v>12.99</v>
      </c>
      <c r="R110" s="5"/>
      <c r="S110" s="5"/>
      <c r="T110" s="5"/>
      <c r="U110" s="5"/>
      <c r="V110" s="5"/>
      <c r="W110" s="5"/>
      <c r="X110" s="5"/>
      <c r="Y110" s="5" t="s">
        <v>719</v>
      </c>
      <c r="Z110" s="5" t="s">
        <v>505</v>
      </c>
      <c r="AA110" s="5" t="s">
        <v>720</v>
      </c>
      <c r="AB110" s="5" t="s">
        <v>46</v>
      </c>
      <c r="AC110" s="5"/>
      <c r="AD110" s="5" t="b">
        <v>0</v>
      </c>
      <c r="AE110" s="5"/>
      <c r="AF110" s="5"/>
      <c r="AG110" s="9">
        <f t="shared" si="1"/>
        <v>43264</v>
      </c>
    </row>
    <row r="111" s="6" customFormat="1" spans="1:33">
      <c r="A111" s="5" t="s">
        <v>721</v>
      </c>
      <c r="B111" s="5" t="s">
        <v>721</v>
      </c>
      <c r="C111" s="5" t="s">
        <v>722</v>
      </c>
      <c r="D111" s="5" t="s">
        <v>723</v>
      </c>
      <c r="E111" s="5" t="s">
        <v>36</v>
      </c>
      <c r="F111" s="5" t="s">
        <v>37</v>
      </c>
      <c r="G111" s="5" t="s">
        <v>38</v>
      </c>
      <c r="H111" s="5"/>
      <c r="I111" s="5"/>
      <c r="J111" s="5" t="s">
        <v>39</v>
      </c>
      <c r="K111" s="5" t="s">
        <v>409</v>
      </c>
      <c r="L111" s="5" t="s">
        <v>724</v>
      </c>
      <c r="M111" s="5" t="s">
        <v>725</v>
      </c>
      <c r="N111" s="5" t="s">
        <v>36</v>
      </c>
      <c r="O111" s="5">
        <v>1</v>
      </c>
      <c r="P111" s="5" t="s">
        <v>43</v>
      </c>
      <c r="Q111" s="5">
        <v>9.9</v>
      </c>
      <c r="R111" s="5"/>
      <c r="S111" s="5"/>
      <c r="T111" s="5"/>
      <c r="U111" s="5"/>
      <c r="V111" s="5"/>
      <c r="W111" s="5"/>
      <c r="X111" s="5"/>
      <c r="Y111" s="5" t="s">
        <v>726</v>
      </c>
      <c r="Z111" s="5" t="s">
        <v>727</v>
      </c>
      <c r="AA111" s="5">
        <v>70517</v>
      </c>
      <c r="AB111" s="5" t="s">
        <v>46</v>
      </c>
      <c r="AC111" s="5"/>
      <c r="AD111" s="5" t="b">
        <v>0</v>
      </c>
      <c r="AE111" s="5"/>
      <c r="AF111" s="5"/>
      <c r="AG111" s="9">
        <f t="shared" si="1"/>
        <v>43264</v>
      </c>
    </row>
    <row r="112" s="6" customFormat="1" spans="1:33">
      <c r="A112" s="5" t="s">
        <v>728</v>
      </c>
      <c r="B112" s="5" t="s">
        <v>728</v>
      </c>
      <c r="C112" s="5" t="s">
        <v>729</v>
      </c>
      <c r="D112" s="5" t="s">
        <v>730</v>
      </c>
      <c r="E112" s="5" t="s">
        <v>36</v>
      </c>
      <c r="F112" s="5" t="s">
        <v>37</v>
      </c>
      <c r="G112" s="5" t="s">
        <v>38</v>
      </c>
      <c r="H112" s="5"/>
      <c r="I112" s="5"/>
      <c r="J112" s="5" t="s">
        <v>128</v>
      </c>
      <c r="K112" s="5" t="s">
        <v>533</v>
      </c>
      <c r="L112" s="5" t="s">
        <v>534</v>
      </c>
      <c r="M112" s="5" t="s">
        <v>535</v>
      </c>
      <c r="N112" s="5" t="s">
        <v>36</v>
      </c>
      <c r="O112" s="5">
        <v>1</v>
      </c>
      <c r="P112" s="5" t="s">
        <v>43</v>
      </c>
      <c r="Q112" s="5">
        <v>24.99</v>
      </c>
      <c r="R112" s="5"/>
      <c r="S112" s="5">
        <v>1.75</v>
      </c>
      <c r="T112" s="5"/>
      <c r="U112" s="5"/>
      <c r="V112" s="5"/>
      <c r="W112" s="5"/>
      <c r="X112" s="5">
        <v>1.75</v>
      </c>
      <c r="Y112" s="5" t="s">
        <v>731</v>
      </c>
      <c r="Z112" s="5" t="s">
        <v>732</v>
      </c>
      <c r="AA112" s="5" t="s">
        <v>733</v>
      </c>
      <c r="AB112" s="5" t="s">
        <v>46</v>
      </c>
      <c r="AC112" s="5" t="s">
        <v>225</v>
      </c>
      <c r="AD112" s="5" t="b">
        <v>0</v>
      </c>
      <c r="AE112" s="5"/>
      <c r="AF112" s="5"/>
      <c r="AG112" s="9">
        <f t="shared" si="1"/>
        <v>43264</v>
      </c>
    </row>
    <row r="113" s="6" customFormat="1" spans="1:33">
      <c r="A113" s="5" t="s">
        <v>734</v>
      </c>
      <c r="B113" s="5" t="s">
        <v>734</v>
      </c>
      <c r="C113" s="5" t="s">
        <v>735</v>
      </c>
      <c r="D113" s="5" t="s">
        <v>736</v>
      </c>
      <c r="E113" s="5" t="s">
        <v>36</v>
      </c>
      <c r="F113" s="5" t="s">
        <v>37</v>
      </c>
      <c r="G113" s="5" t="s">
        <v>38</v>
      </c>
      <c r="H113" s="5"/>
      <c r="I113" s="5"/>
      <c r="J113" s="5" t="s">
        <v>39</v>
      </c>
      <c r="K113" s="5" t="s">
        <v>409</v>
      </c>
      <c r="L113" s="5" t="s">
        <v>410</v>
      </c>
      <c r="M113" s="5" t="s">
        <v>411</v>
      </c>
      <c r="N113" s="5" t="s">
        <v>36</v>
      </c>
      <c r="O113" s="5">
        <v>1</v>
      </c>
      <c r="P113" s="5" t="s">
        <v>43</v>
      </c>
      <c r="Q113" s="5">
        <v>9.9</v>
      </c>
      <c r="R113" s="5"/>
      <c r="S113" s="5"/>
      <c r="T113" s="5"/>
      <c r="U113" s="5"/>
      <c r="V113" s="5"/>
      <c r="W113" s="5"/>
      <c r="X113" s="5"/>
      <c r="Y113" s="5" t="s">
        <v>737</v>
      </c>
      <c r="Z113" s="5" t="s">
        <v>54</v>
      </c>
      <c r="AA113" s="5">
        <v>94525</v>
      </c>
      <c r="AB113" s="5" t="s">
        <v>46</v>
      </c>
      <c r="AC113" s="5"/>
      <c r="AD113" s="5" t="b">
        <v>0</v>
      </c>
      <c r="AE113" s="5"/>
      <c r="AF113" s="5"/>
      <c r="AG113" s="9">
        <f t="shared" si="1"/>
        <v>43264</v>
      </c>
    </row>
    <row r="114" s="6" customFormat="1" spans="1:33">
      <c r="A114" s="5" t="s">
        <v>738</v>
      </c>
      <c r="B114" s="5" t="s">
        <v>738</v>
      </c>
      <c r="C114" s="5" t="s">
        <v>739</v>
      </c>
      <c r="D114" s="5" t="s">
        <v>740</v>
      </c>
      <c r="E114" s="5" t="s">
        <v>36</v>
      </c>
      <c r="F114" s="5" t="s">
        <v>37</v>
      </c>
      <c r="G114" s="5" t="s">
        <v>38</v>
      </c>
      <c r="H114" s="5"/>
      <c r="I114" s="5"/>
      <c r="J114" s="5" t="s">
        <v>39</v>
      </c>
      <c r="K114" s="5" t="s">
        <v>101</v>
      </c>
      <c r="L114" s="5" t="s">
        <v>102</v>
      </c>
      <c r="M114" s="5" t="s">
        <v>103</v>
      </c>
      <c r="N114" s="5" t="s">
        <v>36</v>
      </c>
      <c r="O114" s="5">
        <v>1</v>
      </c>
      <c r="P114" s="5" t="s">
        <v>43</v>
      </c>
      <c r="Q114" s="5">
        <v>12.99</v>
      </c>
      <c r="R114" s="5"/>
      <c r="S114" s="5"/>
      <c r="T114" s="5"/>
      <c r="U114" s="5"/>
      <c r="V114" s="5"/>
      <c r="W114" s="5"/>
      <c r="X114" s="5"/>
      <c r="Y114" s="5" t="s">
        <v>741</v>
      </c>
      <c r="Z114" s="5" t="s">
        <v>96</v>
      </c>
      <c r="AA114" s="5" t="s">
        <v>742</v>
      </c>
      <c r="AB114" s="5" t="s">
        <v>46</v>
      </c>
      <c r="AC114" s="5"/>
      <c r="AD114" s="5" t="b">
        <v>0</v>
      </c>
      <c r="AE114" s="5"/>
      <c r="AF114" s="5"/>
      <c r="AG114" s="9">
        <f t="shared" si="1"/>
        <v>43264</v>
      </c>
    </row>
    <row r="115" s="6" customFormat="1" spans="1:33">
      <c r="A115" s="5" t="s">
        <v>743</v>
      </c>
      <c r="B115" s="5" t="s">
        <v>743</v>
      </c>
      <c r="C115" s="5" t="s">
        <v>744</v>
      </c>
      <c r="D115" s="5" t="s">
        <v>745</v>
      </c>
      <c r="E115" s="5" t="s">
        <v>36</v>
      </c>
      <c r="F115" s="5" t="s">
        <v>37</v>
      </c>
      <c r="G115" s="5" t="s">
        <v>38</v>
      </c>
      <c r="H115" s="5"/>
      <c r="I115" s="5"/>
      <c r="J115" s="5" t="s">
        <v>39</v>
      </c>
      <c r="K115" s="5" t="s">
        <v>75</v>
      </c>
      <c r="L115" s="5" t="s">
        <v>76</v>
      </c>
      <c r="M115" s="5" t="s">
        <v>77</v>
      </c>
      <c r="N115" s="5" t="s">
        <v>36</v>
      </c>
      <c r="O115" s="5">
        <v>1</v>
      </c>
      <c r="P115" s="5" t="s">
        <v>43</v>
      </c>
      <c r="Q115" s="5">
        <v>12.99</v>
      </c>
      <c r="R115" s="5"/>
      <c r="S115" s="5"/>
      <c r="T115" s="5"/>
      <c r="U115" s="5"/>
      <c r="V115" s="5"/>
      <c r="W115" s="5"/>
      <c r="X115" s="5"/>
      <c r="Y115" s="5" t="s">
        <v>437</v>
      </c>
      <c r="Z115" s="5" t="s">
        <v>151</v>
      </c>
      <c r="AA115" s="5" t="s">
        <v>746</v>
      </c>
      <c r="AB115" s="5" t="s">
        <v>46</v>
      </c>
      <c r="AC115" s="5"/>
      <c r="AD115" s="5" t="b">
        <v>0</v>
      </c>
      <c r="AE115" s="5"/>
      <c r="AF115" s="5"/>
      <c r="AG115" s="9">
        <f t="shared" si="1"/>
        <v>43264</v>
      </c>
    </row>
    <row r="116" s="6" customFormat="1" spans="1:33">
      <c r="A116" s="5" t="s">
        <v>747</v>
      </c>
      <c r="B116" s="5" t="s">
        <v>747</v>
      </c>
      <c r="C116" s="5" t="s">
        <v>748</v>
      </c>
      <c r="D116" s="5" t="s">
        <v>749</v>
      </c>
      <c r="E116" s="5" t="s">
        <v>36</v>
      </c>
      <c r="F116" s="5" t="s">
        <v>37</v>
      </c>
      <c r="G116" s="5" t="s">
        <v>38</v>
      </c>
      <c r="H116" s="5"/>
      <c r="I116" s="5"/>
      <c r="J116" s="5" t="s">
        <v>39</v>
      </c>
      <c r="K116" s="5" t="s">
        <v>533</v>
      </c>
      <c r="L116" s="5" t="s">
        <v>534</v>
      </c>
      <c r="M116" s="5" t="s">
        <v>535</v>
      </c>
      <c r="N116" s="5" t="s">
        <v>36</v>
      </c>
      <c r="O116" s="5">
        <v>1</v>
      </c>
      <c r="P116" s="5" t="s">
        <v>43</v>
      </c>
      <c r="Q116" s="5">
        <v>24.99</v>
      </c>
      <c r="R116" s="5">
        <v>1.5</v>
      </c>
      <c r="S116" s="5"/>
      <c r="T116" s="5"/>
      <c r="U116" s="5"/>
      <c r="V116" s="5"/>
      <c r="W116" s="5"/>
      <c r="X116" s="5"/>
      <c r="Y116" s="5" t="s">
        <v>750</v>
      </c>
      <c r="Z116" s="5" t="s">
        <v>255</v>
      </c>
      <c r="AA116" s="5" t="s">
        <v>751</v>
      </c>
      <c r="AB116" s="5" t="s">
        <v>46</v>
      </c>
      <c r="AC116" s="5"/>
      <c r="AD116" s="5" t="b">
        <v>0</v>
      </c>
      <c r="AE116" s="5"/>
      <c r="AF116" s="5"/>
      <c r="AG116" s="9">
        <f t="shared" si="1"/>
        <v>43264</v>
      </c>
    </row>
    <row r="117" s="6" customFormat="1" spans="1:33">
      <c r="A117" s="5" t="s">
        <v>752</v>
      </c>
      <c r="B117" s="5" t="s">
        <v>752</v>
      </c>
      <c r="C117" s="5" t="s">
        <v>753</v>
      </c>
      <c r="D117" s="5" t="s">
        <v>754</v>
      </c>
      <c r="E117" s="5" t="s">
        <v>36</v>
      </c>
      <c r="F117" s="5" t="s">
        <v>37</v>
      </c>
      <c r="G117" s="5" t="s">
        <v>38</v>
      </c>
      <c r="H117" s="5"/>
      <c r="I117" s="5"/>
      <c r="J117" s="5" t="s">
        <v>39</v>
      </c>
      <c r="K117" s="5" t="s">
        <v>110</v>
      </c>
      <c r="L117" s="5" t="s">
        <v>111</v>
      </c>
      <c r="M117" s="5" t="s">
        <v>112</v>
      </c>
      <c r="N117" s="5" t="s">
        <v>36</v>
      </c>
      <c r="O117" s="5">
        <v>1</v>
      </c>
      <c r="P117" s="5" t="s">
        <v>43</v>
      </c>
      <c r="Q117" s="5">
        <v>12.99</v>
      </c>
      <c r="R117" s="5"/>
      <c r="S117" s="5"/>
      <c r="T117" s="5"/>
      <c r="U117" s="5"/>
      <c r="V117" s="5"/>
      <c r="W117" s="5"/>
      <c r="X117" s="5"/>
      <c r="Y117" s="5" t="s">
        <v>755</v>
      </c>
      <c r="Z117" s="5" t="s">
        <v>756</v>
      </c>
      <c r="AA117" s="5">
        <v>20622</v>
      </c>
      <c r="AB117" s="5" t="s">
        <v>46</v>
      </c>
      <c r="AC117" s="5"/>
      <c r="AD117" s="5" t="b">
        <v>0</v>
      </c>
      <c r="AE117" s="5"/>
      <c r="AF117" s="5"/>
      <c r="AG117" s="9">
        <f t="shared" si="1"/>
        <v>43264</v>
      </c>
    </row>
    <row r="118" s="6" customFormat="1" spans="1:33">
      <c r="A118" s="5" t="s">
        <v>757</v>
      </c>
      <c r="B118" s="5" t="s">
        <v>757</v>
      </c>
      <c r="C118" s="5" t="s">
        <v>758</v>
      </c>
      <c r="D118" s="5" t="s">
        <v>759</v>
      </c>
      <c r="E118" s="5" t="s">
        <v>36</v>
      </c>
      <c r="F118" s="5" t="s">
        <v>37</v>
      </c>
      <c r="G118" s="5" t="s">
        <v>38</v>
      </c>
      <c r="H118" s="5"/>
      <c r="I118" s="5"/>
      <c r="J118" s="5" t="s">
        <v>39</v>
      </c>
      <c r="K118" s="5" t="s">
        <v>760</v>
      </c>
      <c r="L118" s="5" t="s">
        <v>761</v>
      </c>
      <c r="M118" s="5" t="s">
        <v>762</v>
      </c>
      <c r="N118" s="5" t="s">
        <v>36</v>
      </c>
      <c r="O118" s="5">
        <v>1</v>
      </c>
      <c r="P118" s="5" t="s">
        <v>43</v>
      </c>
      <c r="Q118" s="5">
        <v>10</v>
      </c>
      <c r="R118" s="5"/>
      <c r="S118" s="5"/>
      <c r="T118" s="5"/>
      <c r="U118" s="5"/>
      <c r="V118" s="5"/>
      <c r="W118" s="5"/>
      <c r="X118" s="5"/>
      <c r="Y118" s="5" t="s">
        <v>763</v>
      </c>
      <c r="Z118" s="5" t="s">
        <v>123</v>
      </c>
      <c r="AA118" s="5" t="s">
        <v>764</v>
      </c>
      <c r="AB118" s="5" t="s">
        <v>46</v>
      </c>
      <c r="AC118" s="5"/>
      <c r="AD118" s="5" t="b">
        <v>0</v>
      </c>
      <c r="AE118" s="5"/>
      <c r="AF118" s="5"/>
      <c r="AG118" s="9">
        <f t="shared" si="1"/>
        <v>43264</v>
      </c>
    </row>
    <row r="119" s="6" customFormat="1" spans="1:33">
      <c r="A119" s="5" t="s">
        <v>765</v>
      </c>
      <c r="B119" s="5" t="s">
        <v>765</v>
      </c>
      <c r="C119" s="5" t="s">
        <v>766</v>
      </c>
      <c r="D119" s="5" t="s">
        <v>767</v>
      </c>
      <c r="E119" s="5" t="s">
        <v>36</v>
      </c>
      <c r="F119" s="5" t="s">
        <v>37</v>
      </c>
      <c r="G119" s="5" t="s">
        <v>38</v>
      </c>
      <c r="H119" s="5"/>
      <c r="I119" s="5"/>
      <c r="J119" s="5" t="s">
        <v>39</v>
      </c>
      <c r="K119" s="5" t="s">
        <v>243</v>
      </c>
      <c r="L119" s="5" t="s">
        <v>244</v>
      </c>
      <c r="M119" s="5" t="s">
        <v>245</v>
      </c>
      <c r="N119" s="5" t="s">
        <v>36</v>
      </c>
      <c r="O119" s="5">
        <v>1</v>
      </c>
      <c r="P119" s="5" t="s">
        <v>43</v>
      </c>
      <c r="Q119" s="5">
        <v>18.99</v>
      </c>
      <c r="R119" s="5"/>
      <c r="S119" s="5"/>
      <c r="T119" s="5"/>
      <c r="U119" s="5"/>
      <c r="V119" s="5"/>
      <c r="W119" s="5"/>
      <c r="X119" s="5"/>
      <c r="Y119" s="5" t="s">
        <v>768</v>
      </c>
      <c r="Z119" s="5" t="s">
        <v>142</v>
      </c>
      <c r="AA119" s="5">
        <v>32810</v>
      </c>
      <c r="AB119" s="5" t="s">
        <v>46</v>
      </c>
      <c r="AC119" s="5"/>
      <c r="AD119" s="5" t="b">
        <v>0</v>
      </c>
      <c r="AE119" s="5"/>
      <c r="AF119" s="5"/>
      <c r="AG119" s="9">
        <f t="shared" si="1"/>
        <v>43264</v>
      </c>
    </row>
    <row r="120" s="6" customFormat="1" spans="1:33">
      <c r="A120" s="5" t="s">
        <v>769</v>
      </c>
      <c r="B120" s="5" t="s">
        <v>769</v>
      </c>
      <c r="C120" s="5" t="s">
        <v>770</v>
      </c>
      <c r="D120" s="5" t="s">
        <v>771</v>
      </c>
      <c r="E120" s="5" t="s">
        <v>36</v>
      </c>
      <c r="F120" s="5" t="s">
        <v>37</v>
      </c>
      <c r="G120" s="5" t="s">
        <v>38</v>
      </c>
      <c r="H120" s="5"/>
      <c r="I120" s="5"/>
      <c r="J120" s="5" t="s">
        <v>39</v>
      </c>
      <c r="K120" s="5" t="s">
        <v>434</v>
      </c>
      <c r="L120" s="5" t="s">
        <v>435</v>
      </c>
      <c r="M120" s="5" t="s">
        <v>436</v>
      </c>
      <c r="N120" s="5" t="s">
        <v>36</v>
      </c>
      <c r="O120" s="5">
        <v>1</v>
      </c>
      <c r="P120" s="5" t="s">
        <v>43</v>
      </c>
      <c r="Q120" s="5">
        <v>13.99</v>
      </c>
      <c r="R120" s="5"/>
      <c r="S120" s="5"/>
      <c r="T120" s="5"/>
      <c r="U120" s="5"/>
      <c r="V120" s="5"/>
      <c r="W120" s="5"/>
      <c r="X120" s="5"/>
      <c r="Y120" s="5" t="s">
        <v>772</v>
      </c>
      <c r="Z120" s="5" t="s">
        <v>62</v>
      </c>
      <c r="AA120" s="5" t="s">
        <v>773</v>
      </c>
      <c r="AB120" s="5" t="s">
        <v>46</v>
      </c>
      <c r="AC120" s="5"/>
      <c r="AD120" s="5" t="b">
        <v>0</v>
      </c>
      <c r="AE120" s="5"/>
      <c r="AF120" s="5"/>
      <c r="AG120" s="9">
        <f t="shared" si="1"/>
        <v>43264</v>
      </c>
    </row>
    <row r="121" s="6" customFormat="1" spans="1:33">
      <c r="A121" s="5" t="s">
        <v>774</v>
      </c>
      <c r="B121" s="5" t="s">
        <v>774</v>
      </c>
      <c r="C121" s="5" t="s">
        <v>775</v>
      </c>
      <c r="D121" s="5" t="s">
        <v>776</v>
      </c>
      <c r="E121" s="5" t="s">
        <v>36</v>
      </c>
      <c r="F121" s="5" t="s">
        <v>37</v>
      </c>
      <c r="G121" s="5" t="s">
        <v>38</v>
      </c>
      <c r="H121" s="5"/>
      <c r="I121" s="5"/>
      <c r="J121" s="5" t="s">
        <v>39</v>
      </c>
      <c r="K121" s="5" t="s">
        <v>75</v>
      </c>
      <c r="L121" s="5" t="s">
        <v>76</v>
      </c>
      <c r="M121" s="5" t="s">
        <v>77</v>
      </c>
      <c r="N121" s="5" t="s">
        <v>36</v>
      </c>
      <c r="O121" s="5">
        <v>1</v>
      </c>
      <c r="P121" s="5" t="s">
        <v>43</v>
      </c>
      <c r="Q121" s="5">
        <v>12.99</v>
      </c>
      <c r="R121" s="5"/>
      <c r="S121" s="5"/>
      <c r="T121" s="5"/>
      <c r="U121" s="5"/>
      <c r="V121" s="5"/>
      <c r="W121" s="5"/>
      <c r="X121" s="5"/>
      <c r="Y121" s="5" t="s">
        <v>777</v>
      </c>
      <c r="Z121" s="5" t="s">
        <v>505</v>
      </c>
      <c r="AA121" s="5" t="s">
        <v>778</v>
      </c>
      <c r="AB121" s="5" t="s">
        <v>46</v>
      </c>
      <c r="AC121" s="5"/>
      <c r="AD121" s="5" t="b">
        <v>0</v>
      </c>
      <c r="AE121" s="5"/>
      <c r="AF121" s="5"/>
      <c r="AG121" s="9">
        <f t="shared" si="1"/>
        <v>43264</v>
      </c>
    </row>
    <row r="122" s="6" customFormat="1" spans="1:33">
      <c r="A122" s="5" t="s">
        <v>779</v>
      </c>
      <c r="B122" s="5" t="s">
        <v>779</v>
      </c>
      <c r="C122" s="5" t="s">
        <v>780</v>
      </c>
      <c r="D122" s="5" t="s">
        <v>781</v>
      </c>
      <c r="E122" s="5" t="s">
        <v>36</v>
      </c>
      <c r="F122" s="5" t="s">
        <v>37</v>
      </c>
      <c r="G122" s="5" t="s">
        <v>38</v>
      </c>
      <c r="H122" s="5"/>
      <c r="I122" s="5"/>
      <c r="J122" s="5" t="s">
        <v>39</v>
      </c>
      <c r="K122" s="5" t="s">
        <v>75</v>
      </c>
      <c r="L122" s="5" t="s">
        <v>76</v>
      </c>
      <c r="M122" s="5" t="s">
        <v>77</v>
      </c>
      <c r="N122" s="5" t="s">
        <v>36</v>
      </c>
      <c r="O122" s="5">
        <v>1</v>
      </c>
      <c r="P122" s="5" t="s">
        <v>43</v>
      </c>
      <c r="Q122" s="5">
        <v>12.99</v>
      </c>
      <c r="R122" s="5"/>
      <c r="S122" s="5"/>
      <c r="T122" s="5"/>
      <c r="U122" s="5"/>
      <c r="V122" s="5"/>
      <c r="W122" s="5"/>
      <c r="X122" s="5"/>
      <c r="Y122" s="5" t="s">
        <v>782</v>
      </c>
      <c r="Z122" s="5" t="s">
        <v>631</v>
      </c>
      <c r="AA122" s="5">
        <v>3755</v>
      </c>
      <c r="AB122" s="5" t="s">
        <v>46</v>
      </c>
      <c r="AC122" s="5"/>
      <c r="AD122" s="5" t="b">
        <v>0</v>
      </c>
      <c r="AE122" s="5"/>
      <c r="AF122" s="5"/>
      <c r="AG122" s="9">
        <f t="shared" si="1"/>
        <v>43264</v>
      </c>
    </row>
    <row r="123" s="6" customFormat="1" spans="1:33">
      <c r="A123" s="5" t="s">
        <v>783</v>
      </c>
      <c r="B123" s="5" t="s">
        <v>783</v>
      </c>
      <c r="C123" s="5" t="s">
        <v>784</v>
      </c>
      <c r="D123" s="5" t="s">
        <v>785</v>
      </c>
      <c r="E123" s="5" t="s">
        <v>36</v>
      </c>
      <c r="F123" s="5" t="s">
        <v>37</v>
      </c>
      <c r="G123" s="5" t="s">
        <v>38</v>
      </c>
      <c r="H123" s="5"/>
      <c r="I123" s="5"/>
      <c r="J123" s="5" t="s">
        <v>39</v>
      </c>
      <c r="K123" s="5" t="s">
        <v>58</v>
      </c>
      <c r="L123" s="5" t="s">
        <v>59</v>
      </c>
      <c r="M123" s="5" t="s">
        <v>60</v>
      </c>
      <c r="N123" s="5" t="s">
        <v>36</v>
      </c>
      <c r="O123" s="5">
        <v>1</v>
      </c>
      <c r="P123" s="5" t="s">
        <v>43</v>
      </c>
      <c r="Q123" s="5">
        <v>13.99</v>
      </c>
      <c r="R123" s="5"/>
      <c r="S123" s="5"/>
      <c r="T123" s="5"/>
      <c r="U123" s="5"/>
      <c r="V123" s="5"/>
      <c r="W123" s="5"/>
      <c r="X123" s="5"/>
      <c r="Y123" s="5" t="s">
        <v>786</v>
      </c>
      <c r="Z123" s="5" t="s">
        <v>264</v>
      </c>
      <c r="AA123" s="5" t="s">
        <v>787</v>
      </c>
      <c r="AB123" s="5" t="s">
        <v>46</v>
      </c>
      <c r="AC123" s="5"/>
      <c r="AD123" s="5" t="b">
        <v>0</v>
      </c>
      <c r="AE123" s="5"/>
      <c r="AF123" s="5"/>
      <c r="AG123" s="9">
        <f t="shared" si="1"/>
        <v>43264</v>
      </c>
    </row>
    <row r="124" s="6" customFormat="1" spans="1:33">
      <c r="A124" s="5" t="s">
        <v>788</v>
      </c>
      <c r="B124" s="5" t="s">
        <v>788</v>
      </c>
      <c r="C124" s="5" t="s">
        <v>789</v>
      </c>
      <c r="D124" s="5" t="s">
        <v>790</v>
      </c>
      <c r="E124" s="5" t="s">
        <v>36</v>
      </c>
      <c r="F124" s="5" t="s">
        <v>37</v>
      </c>
      <c r="G124" s="5" t="s">
        <v>38</v>
      </c>
      <c r="H124" s="5"/>
      <c r="I124" s="5"/>
      <c r="J124" s="5" t="s">
        <v>39</v>
      </c>
      <c r="K124" s="5" t="s">
        <v>50</v>
      </c>
      <c r="L124" s="5" t="s">
        <v>51</v>
      </c>
      <c r="M124" s="5" t="s">
        <v>52</v>
      </c>
      <c r="N124" s="5" t="s">
        <v>36</v>
      </c>
      <c r="O124" s="5">
        <v>1</v>
      </c>
      <c r="P124" s="5" t="s">
        <v>43</v>
      </c>
      <c r="Q124" s="5">
        <v>18.99</v>
      </c>
      <c r="R124" s="5"/>
      <c r="S124" s="5"/>
      <c r="T124" s="5"/>
      <c r="U124" s="5"/>
      <c r="V124" s="5"/>
      <c r="W124" s="5"/>
      <c r="X124" s="5"/>
      <c r="Y124" s="5" t="s">
        <v>791</v>
      </c>
      <c r="Z124" s="5" t="s">
        <v>792</v>
      </c>
      <c r="AA124" s="5">
        <v>91506</v>
      </c>
      <c r="AB124" s="5" t="s">
        <v>46</v>
      </c>
      <c r="AC124" s="5"/>
      <c r="AD124" s="5" t="b">
        <v>0</v>
      </c>
      <c r="AE124" s="5"/>
      <c r="AF124" s="5"/>
      <c r="AG124" s="9">
        <f t="shared" si="1"/>
        <v>43264</v>
      </c>
    </row>
    <row r="125" s="6" customFormat="1" spans="1:33">
      <c r="A125" s="5" t="s">
        <v>793</v>
      </c>
      <c r="B125" s="5" t="s">
        <v>793</v>
      </c>
      <c r="C125" s="5" t="s">
        <v>794</v>
      </c>
      <c r="D125" s="5" t="s">
        <v>795</v>
      </c>
      <c r="E125" s="5" t="s">
        <v>36</v>
      </c>
      <c r="F125" s="5" t="s">
        <v>37</v>
      </c>
      <c r="G125" s="5" t="s">
        <v>38</v>
      </c>
      <c r="H125" s="5"/>
      <c r="I125" s="5"/>
      <c r="J125" s="5" t="s">
        <v>39</v>
      </c>
      <c r="K125" s="5" t="s">
        <v>119</v>
      </c>
      <c r="L125" s="5" t="s">
        <v>120</v>
      </c>
      <c r="M125" s="5" t="s">
        <v>121</v>
      </c>
      <c r="N125" s="5" t="s">
        <v>36</v>
      </c>
      <c r="O125" s="5">
        <v>1</v>
      </c>
      <c r="P125" s="5" t="s">
        <v>43</v>
      </c>
      <c r="Q125" s="5">
        <v>24.99</v>
      </c>
      <c r="R125" s="5"/>
      <c r="S125" s="5"/>
      <c r="T125" s="5"/>
      <c r="U125" s="5"/>
      <c r="V125" s="5"/>
      <c r="W125" s="5"/>
      <c r="X125" s="5"/>
      <c r="Y125" s="5" t="s">
        <v>796</v>
      </c>
      <c r="Z125" s="5" t="s">
        <v>437</v>
      </c>
      <c r="AA125" s="5" t="s">
        <v>797</v>
      </c>
      <c r="AB125" s="5" t="s">
        <v>46</v>
      </c>
      <c r="AC125" s="5"/>
      <c r="AD125" s="5" t="b">
        <v>0</v>
      </c>
      <c r="AE125" s="5"/>
      <c r="AF125" s="5"/>
      <c r="AG125" s="9">
        <f t="shared" si="1"/>
        <v>43264</v>
      </c>
    </row>
    <row r="126" s="6" customFormat="1" spans="1:33">
      <c r="A126" s="5" t="s">
        <v>798</v>
      </c>
      <c r="B126" s="5" t="s">
        <v>798</v>
      </c>
      <c r="C126" s="5" t="s">
        <v>799</v>
      </c>
      <c r="D126" s="5" t="s">
        <v>800</v>
      </c>
      <c r="E126" s="5" t="s">
        <v>36</v>
      </c>
      <c r="F126" s="5" t="s">
        <v>37</v>
      </c>
      <c r="G126" s="5" t="s">
        <v>38</v>
      </c>
      <c r="H126" s="5"/>
      <c r="I126" s="5"/>
      <c r="J126" s="5" t="s">
        <v>39</v>
      </c>
      <c r="K126" s="5" t="s">
        <v>260</v>
      </c>
      <c r="L126" s="5" t="s">
        <v>261</v>
      </c>
      <c r="M126" s="5" t="s">
        <v>262</v>
      </c>
      <c r="N126" s="5" t="s">
        <v>36</v>
      </c>
      <c r="O126" s="5">
        <v>1</v>
      </c>
      <c r="P126" s="5" t="s">
        <v>43</v>
      </c>
      <c r="Q126" s="5">
        <v>18.99</v>
      </c>
      <c r="R126" s="5">
        <v>1.96</v>
      </c>
      <c r="S126" s="5"/>
      <c r="T126" s="5"/>
      <c r="U126" s="5"/>
      <c r="V126" s="5"/>
      <c r="W126" s="5"/>
      <c r="X126" s="5"/>
      <c r="Y126" s="5" t="s">
        <v>801</v>
      </c>
      <c r="Z126" s="5" t="s">
        <v>474</v>
      </c>
      <c r="AA126" s="5" t="s">
        <v>802</v>
      </c>
      <c r="AB126" s="5" t="s">
        <v>46</v>
      </c>
      <c r="AC126" s="5"/>
      <c r="AD126" s="5" t="b">
        <v>0</v>
      </c>
      <c r="AE126" s="5"/>
      <c r="AF126" s="5"/>
      <c r="AG126" s="9">
        <f t="shared" si="1"/>
        <v>43264</v>
      </c>
    </row>
    <row r="127" s="6" customFormat="1" spans="1:33">
      <c r="A127" s="5" t="s">
        <v>803</v>
      </c>
      <c r="B127" s="5" t="s">
        <v>803</v>
      </c>
      <c r="C127" s="5" t="s">
        <v>804</v>
      </c>
      <c r="D127" s="5" t="s">
        <v>805</v>
      </c>
      <c r="E127" s="5" t="s">
        <v>36</v>
      </c>
      <c r="F127" s="5" t="s">
        <v>37</v>
      </c>
      <c r="G127" s="5" t="s">
        <v>38</v>
      </c>
      <c r="H127" s="5"/>
      <c r="I127" s="5"/>
      <c r="J127" s="5" t="s">
        <v>39</v>
      </c>
      <c r="K127" s="5" t="s">
        <v>110</v>
      </c>
      <c r="L127" s="5" t="s">
        <v>111</v>
      </c>
      <c r="M127" s="5" t="s">
        <v>112</v>
      </c>
      <c r="N127" s="5" t="s">
        <v>36</v>
      </c>
      <c r="O127" s="5">
        <v>2</v>
      </c>
      <c r="P127" s="5" t="s">
        <v>43</v>
      </c>
      <c r="Q127" s="5">
        <v>25.98</v>
      </c>
      <c r="R127" s="5"/>
      <c r="S127" s="5"/>
      <c r="T127" s="5"/>
      <c r="U127" s="5"/>
      <c r="V127" s="5"/>
      <c r="W127" s="5">
        <v>1.3</v>
      </c>
      <c r="X127" s="5"/>
      <c r="Y127" s="5" t="s">
        <v>806</v>
      </c>
      <c r="Z127" s="5" t="s">
        <v>807</v>
      </c>
      <c r="AA127" s="5" t="s">
        <v>808</v>
      </c>
      <c r="AB127" s="5" t="s">
        <v>46</v>
      </c>
      <c r="AC127" s="5" t="s">
        <v>115</v>
      </c>
      <c r="AD127" s="5" t="b">
        <v>0</v>
      </c>
      <c r="AE127" s="5"/>
      <c r="AF127" s="5"/>
      <c r="AG127" s="9">
        <f t="shared" si="1"/>
        <v>43264</v>
      </c>
    </row>
    <row r="128" s="6" customFormat="1" spans="1:33">
      <c r="A128" s="5" t="s">
        <v>809</v>
      </c>
      <c r="B128" s="5" t="s">
        <v>809</v>
      </c>
      <c r="C128" s="5" t="s">
        <v>810</v>
      </c>
      <c r="D128" s="5" t="s">
        <v>811</v>
      </c>
      <c r="E128" s="5" t="s">
        <v>36</v>
      </c>
      <c r="F128" s="5" t="s">
        <v>37</v>
      </c>
      <c r="G128" s="5" t="s">
        <v>38</v>
      </c>
      <c r="H128" s="5"/>
      <c r="I128" s="5"/>
      <c r="J128" s="5" t="s">
        <v>39</v>
      </c>
      <c r="K128" s="5" t="s">
        <v>387</v>
      </c>
      <c r="L128" s="5" t="s">
        <v>388</v>
      </c>
      <c r="M128" s="5" t="s">
        <v>389</v>
      </c>
      <c r="N128" s="5" t="s">
        <v>36</v>
      </c>
      <c r="O128" s="5">
        <v>1</v>
      </c>
      <c r="P128" s="5" t="s">
        <v>43</v>
      </c>
      <c r="Q128" s="5">
        <v>18.99</v>
      </c>
      <c r="R128" s="5"/>
      <c r="S128" s="5"/>
      <c r="T128" s="5"/>
      <c r="U128" s="5"/>
      <c r="V128" s="5"/>
      <c r="W128" s="5"/>
      <c r="X128" s="5"/>
      <c r="Y128" s="5" t="s">
        <v>812</v>
      </c>
      <c r="Z128" s="5" t="s">
        <v>142</v>
      </c>
      <c r="AA128" s="5" t="s">
        <v>813</v>
      </c>
      <c r="AB128" s="5" t="s">
        <v>46</v>
      </c>
      <c r="AC128" s="5"/>
      <c r="AD128" s="5" t="b">
        <v>0</v>
      </c>
      <c r="AE128" s="5"/>
      <c r="AF128" s="5"/>
      <c r="AG128" s="9">
        <f t="shared" si="1"/>
        <v>43264</v>
      </c>
    </row>
    <row r="129" s="6" customFormat="1" spans="1:33">
      <c r="A129" s="5" t="s">
        <v>814</v>
      </c>
      <c r="B129" s="5" t="s">
        <v>814</v>
      </c>
      <c r="C129" s="5" t="s">
        <v>815</v>
      </c>
      <c r="D129" s="5" t="s">
        <v>816</v>
      </c>
      <c r="E129" s="5" t="s">
        <v>36</v>
      </c>
      <c r="F129" s="5" t="s">
        <v>37</v>
      </c>
      <c r="G129" s="5" t="s">
        <v>38</v>
      </c>
      <c r="H129" s="5"/>
      <c r="I129" s="5"/>
      <c r="J129" s="5" t="s">
        <v>39</v>
      </c>
      <c r="K129" s="5" t="s">
        <v>50</v>
      </c>
      <c r="L129" s="5" t="s">
        <v>51</v>
      </c>
      <c r="M129" s="5" t="s">
        <v>52</v>
      </c>
      <c r="N129" s="5" t="s">
        <v>36</v>
      </c>
      <c r="O129" s="5">
        <v>1</v>
      </c>
      <c r="P129" s="5" t="s">
        <v>43</v>
      </c>
      <c r="Q129" s="5">
        <v>18.99</v>
      </c>
      <c r="R129" s="5"/>
      <c r="S129" s="5"/>
      <c r="T129" s="5"/>
      <c r="U129" s="5"/>
      <c r="V129" s="5"/>
      <c r="W129" s="5"/>
      <c r="X129" s="5"/>
      <c r="Y129" s="5" t="s">
        <v>817</v>
      </c>
      <c r="Z129" s="5" t="s">
        <v>391</v>
      </c>
      <c r="AA129" s="5" t="s">
        <v>818</v>
      </c>
      <c r="AB129" s="5" t="s">
        <v>46</v>
      </c>
      <c r="AC129" s="5"/>
      <c r="AD129" s="5" t="b">
        <v>0</v>
      </c>
      <c r="AE129" s="5"/>
      <c r="AF129" s="5"/>
      <c r="AG129" s="9">
        <f t="shared" si="1"/>
        <v>43264</v>
      </c>
    </row>
    <row r="130" s="6" customFormat="1" spans="1:33">
      <c r="A130" s="5" t="s">
        <v>819</v>
      </c>
      <c r="B130" s="5" t="s">
        <v>819</v>
      </c>
      <c r="C130" s="5" t="s">
        <v>820</v>
      </c>
      <c r="D130" s="5" t="s">
        <v>821</v>
      </c>
      <c r="E130" s="5" t="s">
        <v>36</v>
      </c>
      <c r="F130" s="5" t="s">
        <v>37</v>
      </c>
      <c r="G130" s="5" t="s">
        <v>38</v>
      </c>
      <c r="H130" s="5"/>
      <c r="I130" s="5"/>
      <c r="J130" s="5" t="s">
        <v>39</v>
      </c>
      <c r="K130" s="5" t="s">
        <v>269</v>
      </c>
      <c r="L130" s="5" t="s">
        <v>270</v>
      </c>
      <c r="M130" s="5" t="s">
        <v>271</v>
      </c>
      <c r="N130" s="5" t="s">
        <v>36</v>
      </c>
      <c r="O130" s="5">
        <v>1</v>
      </c>
      <c r="P130" s="5" t="s">
        <v>43</v>
      </c>
      <c r="Q130" s="5">
        <v>24.99</v>
      </c>
      <c r="R130" s="5"/>
      <c r="S130" s="5"/>
      <c r="T130" s="5"/>
      <c r="U130" s="5"/>
      <c r="V130" s="5"/>
      <c r="W130" s="5"/>
      <c r="X130" s="5"/>
      <c r="Y130" s="5" t="s">
        <v>822</v>
      </c>
      <c r="Z130" s="5" t="s">
        <v>823</v>
      </c>
      <c r="AA130" s="5" t="s">
        <v>824</v>
      </c>
      <c r="AB130" s="5" t="s">
        <v>46</v>
      </c>
      <c r="AC130" s="5"/>
      <c r="AD130" s="5" t="b">
        <v>0</v>
      </c>
      <c r="AE130" s="5"/>
      <c r="AF130" s="5"/>
      <c r="AG130" s="9">
        <f t="shared" ref="AG130:AG193" si="2">DATEVALUE(LEFT(C130,10))</f>
        <v>43264</v>
      </c>
    </row>
    <row r="131" s="6" customFormat="1" spans="1:33">
      <c r="A131" s="5" t="s">
        <v>825</v>
      </c>
      <c r="B131" s="5" t="s">
        <v>825</v>
      </c>
      <c r="C131" s="5" t="s">
        <v>826</v>
      </c>
      <c r="D131" s="5" t="s">
        <v>827</v>
      </c>
      <c r="E131" s="5" t="s">
        <v>36</v>
      </c>
      <c r="F131" s="5" t="s">
        <v>37</v>
      </c>
      <c r="G131" s="5" t="s">
        <v>38</v>
      </c>
      <c r="H131" s="5"/>
      <c r="I131" s="5"/>
      <c r="J131" s="5" t="s">
        <v>39</v>
      </c>
      <c r="K131" s="5" t="s">
        <v>83</v>
      </c>
      <c r="L131" s="5" t="s">
        <v>84</v>
      </c>
      <c r="M131" s="5" t="s">
        <v>85</v>
      </c>
      <c r="N131" s="5" t="s">
        <v>36</v>
      </c>
      <c r="O131" s="5">
        <v>1</v>
      </c>
      <c r="P131" s="5" t="s">
        <v>43</v>
      </c>
      <c r="Q131" s="5">
        <v>12.99</v>
      </c>
      <c r="R131" s="5"/>
      <c r="S131" s="5"/>
      <c r="T131" s="5"/>
      <c r="U131" s="5"/>
      <c r="V131" s="5"/>
      <c r="W131" s="5"/>
      <c r="X131" s="5"/>
      <c r="Y131" s="5" t="s">
        <v>828</v>
      </c>
      <c r="Z131" s="5" t="s">
        <v>463</v>
      </c>
      <c r="AA131" s="5" t="s">
        <v>829</v>
      </c>
      <c r="AB131" s="5" t="s">
        <v>46</v>
      </c>
      <c r="AC131" s="5"/>
      <c r="AD131" s="5" t="b">
        <v>0</v>
      </c>
      <c r="AE131" s="5"/>
      <c r="AF131" s="5"/>
      <c r="AG131" s="9">
        <f t="shared" si="2"/>
        <v>43264</v>
      </c>
    </row>
    <row r="132" s="6" customFormat="1" spans="1:33">
      <c r="A132" s="5" t="s">
        <v>830</v>
      </c>
      <c r="B132" s="5" t="s">
        <v>830</v>
      </c>
      <c r="C132" s="5" t="s">
        <v>831</v>
      </c>
      <c r="D132" s="5" t="s">
        <v>832</v>
      </c>
      <c r="E132" s="5" t="s">
        <v>614</v>
      </c>
      <c r="F132" s="5" t="s">
        <v>37</v>
      </c>
      <c r="G132" s="5" t="s">
        <v>38</v>
      </c>
      <c r="H132" s="5"/>
      <c r="I132" s="5"/>
      <c r="J132" s="5" t="s">
        <v>39</v>
      </c>
      <c r="K132" s="5" t="s">
        <v>75</v>
      </c>
      <c r="L132" s="5" t="s">
        <v>76</v>
      </c>
      <c r="M132" s="5" t="s">
        <v>77</v>
      </c>
      <c r="N132" s="5" t="s">
        <v>833</v>
      </c>
      <c r="O132" s="5">
        <v>1</v>
      </c>
      <c r="P132" s="5" t="s">
        <v>43</v>
      </c>
      <c r="Q132" s="5">
        <v>12.99</v>
      </c>
      <c r="R132" s="5"/>
      <c r="S132" s="5"/>
      <c r="T132" s="5"/>
      <c r="U132" s="5"/>
      <c r="V132" s="5"/>
      <c r="W132" s="5"/>
      <c r="X132" s="5"/>
      <c r="Y132" s="5" t="s">
        <v>834</v>
      </c>
      <c r="Z132" s="5" t="s">
        <v>218</v>
      </c>
      <c r="AA132" s="5" t="s">
        <v>835</v>
      </c>
      <c r="AB132" s="5" t="s">
        <v>46</v>
      </c>
      <c r="AC132" s="5"/>
      <c r="AD132" s="5" t="b">
        <v>0</v>
      </c>
      <c r="AE132" s="5"/>
      <c r="AF132" s="5"/>
      <c r="AG132" s="9">
        <f t="shared" si="2"/>
        <v>43265</v>
      </c>
    </row>
    <row r="133" s="6" customFormat="1" spans="1:33">
      <c r="A133" s="5" t="s">
        <v>836</v>
      </c>
      <c r="B133" s="5" t="s">
        <v>836</v>
      </c>
      <c r="C133" s="5" t="s">
        <v>837</v>
      </c>
      <c r="D133" s="5" t="s">
        <v>838</v>
      </c>
      <c r="E133" s="5" t="s">
        <v>36</v>
      </c>
      <c r="F133" s="5" t="s">
        <v>37</v>
      </c>
      <c r="G133" s="5" t="s">
        <v>38</v>
      </c>
      <c r="H133" s="5"/>
      <c r="I133" s="5"/>
      <c r="J133" s="5" t="s">
        <v>39</v>
      </c>
      <c r="K133" s="5" t="s">
        <v>147</v>
      </c>
      <c r="L133" s="5" t="s">
        <v>148</v>
      </c>
      <c r="M133" s="5" t="s">
        <v>149</v>
      </c>
      <c r="N133" s="5" t="s">
        <v>36</v>
      </c>
      <c r="O133" s="5">
        <v>1</v>
      </c>
      <c r="P133" s="5" t="s">
        <v>43</v>
      </c>
      <c r="Q133" s="5">
        <v>12.98</v>
      </c>
      <c r="R133" s="5"/>
      <c r="S133" s="5"/>
      <c r="T133" s="5"/>
      <c r="U133" s="5"/>
      <c r="V133" s="5"/>
      <c r="W133" s="5"/>
      <c r="X133" s="5"/>
      <c r="Y133" s="5" t="s">
        <v>447</v>
      </c>
      <c r="Z133" s="5" t="s">
        <v>151</v>
      </c>
      <c r="AA133" s="5" t="s">
        <v>839</v>
      </c>
      <c r="AB133" s="5" t="s">
        <v>46</v>
      </c>
      <c r="AC133" s="5"/>
      <c r="AD133" s="5" t="b">
        <v>0</v>
      </c>
      <c r="AE133" s="5"/>
      <c r="AF133" s="5"/>
      <c r="AG133" s="9">
        <f t="shared" si="2"/>
        <v>43265</v>
      </c>
    </row>
    <row r="134" s="6" customFormat="1" spans="1:33">
      <c r="A134" s="5" t="s">
        <v>840</v>
      </c>
      <c r="B134" s="5" t="s">
        <v>840</v>
      </c>
      <c r="C134" s="5" t="s">
        <v>841</v>
      </c>
      <c r="D134" s="5" t="s">
        <v>842</v>
      </c>
      <c r="E134" s="5" t="s">
        <v>36</v>
      </c>
      <c r="F134" s="5" t="s">
        <v>37</v>
      </c>
      <c r="G134" s="5" t="s">
        <v>38</v>
      </c>
      <c r="H134" s="5"/>
      <c r="I134" s="5"/>
      <c r="J134" s="5" t="s">
        <v>39</v>
      </c>
      <c r="K134" s="5" t="s">
        <v>570</v>
      </c>
      <c r="L134" s="5" t="s">
        <v>578</v>
      </c>
      <c r="M134" s="5" t="s">
        <v>572</v>
      </c>
      <c r="N134" s="5" t="s">
        <v>36</v>
      </c>
      <c r="O134" s="5">
        <v>1</v>
      </c>
      <c r="P134" s="5" t="s">
        <v>43</v>
      </c>
      <c r="Q134" s="5">
        <v>24.99</v>
      </c>
      <c r="R134" s="5"/>
      <c r="S134" s="5"/>
      <c r="T134" s="5"/>
      <c r="U134" s="5"/>
      <c r="V134" s="5"/>
      <c r="W134" s="5"/>
      <c r="X134" s="5"/>
      <c r="Y134" s="5" t="s">
        <v>348</v>
      </c>
      <c r="Z134" s="5" t="s">
        <v>843</v>
      </c>
      <c r="AA134" s="5">
        <v>73036</v>
      </c>
      <c r="AB134" s="5" t="s">
        <v>46</v>
      </c>
      <c r="AC134" s="5"/>
      <c r="AD134" s="5" t="b">
        <v>0</v>
      </c>
      <c r="AE134" s="5"/>
      <c r="AF134" s="5"/>
      <c r="AG134" s="9">
        <f t="shared" si="2"/>
        <v>43265</v>
      </c>
    </row>
    <row r="135" s="6" customFormat="1" spans="1:33">
      <c r="A135" s="5" t="s">
        <v>844</v>
      </c>
      <c r="B135" s="5" t="s">
        <v>844</v>
      </c>
      <c r="C135" s="5" t="s">
        <v>845</v>
      </c>
      <c r="D135" s="5" t="s">
        <v>846</v>
      </c>
      <c r="E135" s="5" t="s">
        <v>36</v>
      </c>
      <c r="F135" s="5" t="s">
        <v>37</v>
      </c>
      <c r="G135" s="5" t="s">
        <v>38</v>
      </c>
      <c r="H135" s="5"/>
      <c r="I135" s="5"/>
      <c r="J135" s="5" t="s">
        <v>39</v>
      </c>
      <c r="K135" s="5" t="s">
        <v>75</v>
      </c>
      <c r="L135" s="5" t="s">
        <v>76</v>
      </c>
      <c r="M135" s="5" t="s">
        <v>77</v>
      </c>
      <c r="N135" s="5" t="s">
        <v>36</v>
      </c>
      <c r="O135" s="5">
        <v>1</v>
      </c>
      <c r="P135" s="5" t="s">
        <v>43</v>
      </c>
      <c r="Q135" s="5">
        <v>12.99</v>
      </c>
      <c r="R135" s="5"/>
      <c r="S135" s="5"/>
      <c r="T135" s="5"/>
      <c r="U135" s="5"/>
      <c r="V135" s="5"/>
      <c r="W135" s="5"/>
      <c r="X135" s="5"/>
      <c r="Y135" s="5" t="s">
        <v>150</v>
      </c>
      <c r="Z135" s="5" t="s">
        <v>151</v>
      </c>
      <c r="AA135" s="5" t="s">
        <v>847</v>
      </c>
      <c r="AB135" s="5" t="s">
        <v>46</v>
      </c>
      <c r="AC135" s="5"/>
      <c r="AD135" s="5" t="b">
        <v>0</v>
      </c>
      <c r="AE135" s="5"/>
      <c r="AF135" s="5"/>
      <c r="AG135" s="9">
        <f t="shared" si="2"/>
        <v>43265</v>
      </c>
    </row>
    <row r="136" s="6" customFormat="1" spans="1:33">
      <c r="A136" s="5" t="s">
        <v>848</v>
      </c>
      <c r="B136" s="5" t="s">
        <v>848</v>
      </c>
      <c r="C136" s="5" t="s">
        <v>849</v>
      </c>
      <c r="D136" s="5" t="s">
        <v>850</v>
      </c>
      <c r="E136" s="5" t="s">
        <v>36</v>
      </c>
      <c r="F136" s="5" t="s">
        <v>37</v>
      </c>
      <c r="G136" s="5" t="s">
        <v>38</v>
      </c>
      <c r="H136" s="5"/>
      <c r="I136" s="5"/>
      <c r="J136" s="5" t="s">
        <v>39</v>
      </c>
      <c r="K136" s="5" t="s">
        <v>459</v>
      </c>
      <c r="L136" s="5" t="s">
        <v>460</v>
      </c>
      <c r="M136" s="5" t="s">
        <v>461</v>
      </c>
      <c r="N136" s="5" t="s">
        <v>36</v>
      </c>
      <c r="O136" s="5">
        <v>2</v>
      </c>
      <c r="P136" s="5" t="s">
        <v>43</v>
      </c>
      <c r="Q136" s="5">
        <v>31.96</v>
      </c>
      <c r="R136" s="5"/>
      <c r="S136" s="5"/>
      <c r="T136" s="5"/>
      <c r="U136" s="5"/>
      <c r="V136" s="5"/>
      <c r="W136" s="5"/>
      <c r="X136" s="5"/>
      <c r="Y136" s="5" t="s">
        <v>851</v>
      </c>
      <c r="Z136" s="5" t="s">
        <v>142</v>
      </c>
      <c r="AA136" s="5" t="s">
        <v>852</v>
      </c>
      <c r="AB136" s="5" t="s">
        <v>46</v>
      </c>
      <c r="AC136" s="5"/>
      <c r="AD136" s="5" t="b">
        <v>0</v>
      </c>
      <c r="AE136" s="5"/>
      <c r="AF136" s="5"/>
      <c r="AG136" s="9">
        <f t="shared" si="2"/>
        <v>43265</v>
      </c>
    </row>
    <row r="137" s="6" customFormat="1" spans="1:33">
      <c r="A137" s="5" t="s">
        <v>853</v>
      </c>
      <c r="B137" s="5" t="s">
        <v>853</v>
      </c>
      <c r="C137" s="5" t="s">
        <v>854</v>
      </c>
      <c r="D137" s="5" t="s">
        <v>855</v>
      </c>
      <c r="E137" s="5" t="s">
        <v>36</v>
      </c>
      <c r="F137" s="5" t="s">
        <v>37</v>
      </c>
      <c r="G137" s="5" t="s">
        <v>38</v>
      </c>
      <c r="H137" s="5"/>
      <c r="I137" s="5"/>
      <c r="J137" s="5" t="s">
        <v>39</v>
      </c>
      <c r="K137" s="5" t="s">
        <v>269</v>
      </c>
      <c r="L137" s="5" t="s">
        <v>270</v>
      </c>
      <c r="M137" s="5" t="s">
        <v>271</v>
      </c>
      <c r="N137" s="5" t="s">
        <v>36</v>
      </c>
      <c r="O137" s="5">
        <v>1</v>
      </c>
      <c r="P137" s="5" t="s">
        <v>43</v>
      </c>
      <c r="Q137" s="5">
        <v>24.99</v>
      </c>
      <c r="R137" s="5"/>
      <c r="S137" s="5"/>
      <c r="T137" s="5"/>
      <c r="U137" s="5"/>
      <c r="V137" s="5"/>
      <c r="W137" s="5"/>
      <c r="X137" s="5"/>
      <c r="Y137" s="5" t="s">
        <v>856</v>
      </c>
      <c r="Z137" s="5" t="s">
        <v>151</v>
      </c>
      <c r="AA137" s="5" t="s">
        <v>857</v>
      </c>
      <c r="AB137" s="5" t="s">
        <v>46</v>
      </c>
      <c r="AC137" s="5"/>
      <c r="AD137" s="5" t="b">
        <v>0</v>
      </c>
      <c r="AE137" s="5"/>
      <c r="AF137" s="5"/>
      <c r="AG137" s="9">
        <f t="shared" si="2"/>
        <v>43265</v>
      </c>
    </row>
    <row r="138" s="6" customFormat="1" spans="1:33">
      <c r="A138" s="5" t="s">
        <v>858</v>
      </c>
      <c r="B138" s="5" t="s">
        <v>858</v>
      </c>
      <c r="C138" s="5" t="s">
        <v>859</v>
      </c>
      <c r="D138" s="5" t="s">
        <v>860</v>
      </c>
      <c r="E138" s="5" t="s">
        <v>36</v>
      </c>
      <c r="F138" s="5" t="s">
        <v>37</v>
      </c>
      <c r="G138" s="5" t="s">
        <v>38</v>
      </c>
      <c r="H138" s="5"/>
      <c r="I138" s="5"/>
      <c r="J138" s="5" t="s">
        <v>39</v>
      </c>
      <c r="K138" s="5" t="s">
        <v>243</v>
      </c>
      <c r="L138" s="5" t="s">
        <v>301</v>
      </c>
      <c r="M138" s="5" t="s">
        <v>245</v>
      </c>
      <c r="N138" s="5" t="s">
        <v>36</v>
      </c>
      <c r="O138" s="5">
        <v>1</v>
      </c>
      <c r="P138" s="5" t="s">
        <v>43</v>
      </c>
      <c r="Q138" s="5">
        <v>18.99</v>
      </c>
      <c r="R138" s="5"/>
      <c r="S138" s="5"/>
      <c r="T138" s="5"/>
      <c r="U138" s="5"/>
      <c r="V138" s="5"/>
      <c r="W138" s="5"/>
      <c r="X138" s="5"/>
      <c r="Y138" s="5" t="s">
        <v>861</v>
      </c>
      <c r="Z138" s="5" t="s">
        <v>54</v>
      </c>
      <c r="AA138" s="5" t="s">
        <v>862</v>
      </c>
      <c r="AB138" s="5" t="s">
        <v>46</v>
      </c>
      <c r="AC138" s="5"/>
      <c r="AD138" s="5" t="b">
        <v>0</v>
      </c>
      <c r="AE138" s="5"/>
      <c r="AF138" s="5"/>
      <c r="AG138" s="9">
        <f t="shared" si="2"/>
        <v>43265</v>
      </c>
    </row>
    <row r="139" s="6" customFormat="1" spans="1:33">
      <c r="A139" s="5" t="s">
        <v>863</v>
      </c>
      <c r="B139" s="5" t="s">
        <v>863</v>
      </c>
      <c r="C139" s="5" t="s">
        <v>864</v>
      </c>
      <c r="D139" s="5" t="s">
        <v>865</v>
      </c>
      <c r="E139" s="5" t="s">
        <v>36</v>
      </c>
      <c r="F139" s="5" t="s">
        <v>37</v>
      </c>
      <c r="G139" s="5" t="s">
        <v>38</v>
      </c>
      <c r="H139" s="5"/>
      <c r="I139" s="5"/>
      <c r="J139" s="5" t="s">
        <v>39</v>
      </c>
      <c r="K139" s="5" t="s">
        <v>866</v>
      </c>
      <c r="L139" s="5" t="s">
        <v>867</v>
      </c>
      <c r="M139" s="5" t="s">
        <v>868</v>
      </c>
      <c r="N139" s="5" t="s">
        <v>36</v>
      </c>
      <c r="O139" s="5">
        <v>1</v>
      </c>
      <c r="P139" s="5" t="s">
        <v>43</v>
      </c>
      <c r="Q139" s="5">
        <v>18.98</v>
      </c>
      <c r="R139" s="5"/>
      <c r="S139" s="5"/>
      <c r="T139" s="5"/>
      <c r="U139" s="5"/>
      <c r="V139" s="5"/>
      <c r="W139" s="5"/>
      <c r="X139" s="5"/>
      <c r="Y139" s="5" t="s">
        <v>786</v>
      </c>
      <c r="Z139" s="5" t="s">
        <v>264</v>
      </c>
      <c r="AA139" s="5" t="s">
        <v>869</v>
      </c>
      <c r="AB139" s="5" t="s">
        <v>46</v>
      </c>
      <c r="AC139" s="5"/>
      <c r="AD139" s="5" t="b">
        <v>0</v>
      </c>
      <c r="AE139" s="5"/>
      <c r="AF139" s="5"/>
      <c r="AG139" s="9">
        <f t="shared" si="2"/>
        <v>43265</v>
      </c>
    </row>
    <row r="140" s="6" customFormat="1" spans="1:33">
      <c r="A140" s="5" t="s">
        <v>870</v>
      </c>
      <c r="B140" s="5" t="s">
        <v>870</v>
      </c>
      <c r="C140" s="5" t="s">
        <v>871</v>
      </c>
      <c r="D140" s="5" t="s">
        <v>872</v>
      </c>
      <c r="E140" s="5" t="s">
        <v>36</v>
      </c>
      <c r="F140" s="5" t="s">
        <v>37</v>
      </c>
      <c r="G140" s="5" t="s">
        <v>38</v>
      </c>
      <c r="H140" s="5"/>
      <c r="I140" s="5"/>
      <c r="J140" s="5" t="s">
        <v>128</v>
      </c>
      <c r="K140" s="5" t="s">
        <v>101</v>
      </c>
      <c r="L140" s="5" t="s">
        <v>102</v>
      </c>
      <c r="M140" s="5" t="s">
        <v>103</v>
      </c>
      <c r="N140" s="5" t="s">
        <v>36</v>
      </c>
      <c r="O140" s="5">
        <v>1</v>
      </c>
      <c r="P140" s="5" t="s">
        <v>43</v>
      </c>
      <c r="Q140" s="5">
        <v>12.99</v>
      </c>
      <c r="R140" s="5"/>
      <c r="S140" s="5">
        <v>5.38</v>
      </c>
      <c r="T140" s="5"/>
      <c r="U140" s="5"/>
      <c r="V140" s="5"/>
      <c r="W140" s="5"/>
      <c r="X140" s="5"/>
      <c r="Y140" s="5" t="s">
        <v>873</v>
      </c>
      <c r="Z140" s="5" t="s">
        <v>474</v>
      </c>
      <c r="AA140" s="5">
        <v>6008</v>
      </c>
      <c r="AB140" s="5" t="s">
        <v>874</v>
      </c>
      <c r="AC140" s="5"/>
      <c r="AD140" s="5" t="b">
        <v>0</v>
      </c>
      <c r="AE140" s="5"/>
      <c r="AF140" s="5"/>
      <c r="AG140" s="9">
        <f t="shared" si="2"/>
        <v>43265</v>
      </c>
    </row>
    <row r="141" s="6" customFormat="1" spans="1:33">
      <c r="A141" s="5" t="s">
        <v>875</v>
      </c>
      <c r="B141" s="5" t="s">
        <v>875</v>
      </c>
      <c r="C141" s="5" t="s">
        <v>876</v>
      </c>
      <c r="D141" s="5" t="s">
        <v>877</v>
      </c>
      <c r="E141" s="5" t="s">
        <v>36</v>
      </c>
      <c r="F141" s="5" t="s">
        <v>37</v>
      </c>
      <c r="G141" s="5" t="s">
        <v>38</v>
      </c>
      <c r="H141" s="5"/>
      <c r="I141" s="5"/>
      <c r="J141" s="5" t="s">
        <v>128</v>
      </c>
      <c r="K141" s="5" t="s">
        <v>409</v>
      </c>
      <c r="L141" s="5" t="s">
        <v>878</v>
      </c>
      <c r="M141" s="5" t="s">
        <v>879</v>
      </c>
      <c r="N141" s="5" t="s">
        <v>36</v>
      </c>
      <c r="O141" s="5">
        <v>1</v>
      </c>
      <c r="P141" s="5" t="s">
        <v>43</v>
      </c>
      <c r="Q141" s="5">
        <v>9.9</v>
      </c>
      <c r="R141" s="5"/>
      <c r="S141" s="5">
        <v>1.72</v>
      </c>
      <c r="T141" s="5"/>
      <c r="U141" s="5"/>
      <c r="V141" s="5"/>
      <c r="W141" s="5"/>
      <c r="X141" s="5">
        <v>1.72</v>
      </c>
      <c r="Y141" s="5" t="s">
        <v>880</v>
      </c>
      <c r="Z141" s="5" t="s">
        <v>238</v>
      </c>
      <c r="AA141" s="5" t="s">
        <v>881</v>
      </c>
      <c r="AB141" s="5" t="s">
        <v>46</v>
      </c>
      <c r="AC141" s="5" t="s">
        <v>225</v>
      </c>
      <c r="AD141" s="5" t="b">
        <v>0</v>
      </c>
      <c r="AE141" s="5"/>
      <c r="AF141" s="5"/>
      <c r="AG141" s="9">
        <f t="shared" si="2"/>
        <v>43265</v>
      </c>
    </row>
    <row r="142" s="6" customFormat="1" spans="1:33">
      <c r="A142" s="5" t="s">
        <v>882</v>
      </c>
      <c r="B142" s="5" t="s">
        <v>882</v>
      </c>
      <c r="C142" s="5" t="s">
        <v>883</v>
      </c>
      <c r="D142" s="5" t="s">
        <v>884</v>
      </c>
      <c r="E142" s="5" t="s">
        <v>36</v>
      </c>
      <c r="F142" s="5" t="s">
        <v>37</v>
      </c>
      <c r="G142" s="5" t="s">
        <v>38</v>
      </c>
      <c r="H142" s="5"/>
      <c r="I142" s="5"/>
      <c r="J142" s="5" t="s">
        <v>39</v>
      </c>
      <c r="K142" s="5" t="s">
        <v>409</v>
      </c>
      <c r="L142" s="5" t="s">
        <v>885</v>
      </c>
      <c r="M142" s="5" t="s">
        <v>886</v>
      </c>
      <c r="N142" s="5" t="s">
        <v>36</v>
      </c>
      <c r="O142" s="5">
        <v>1</v>
      </c>
      <c r="P142" s="5" t="s">
        <v>43</v>
      </c>
      <c r="Q142" s="5">
        <v>9.9</v>
      </c>
      <c r="R142" s="5"/>
      <c r="S142" s="5"/>
      <c r="T142" s="5"/>
      <c r="U142" s="5"/>
      <c r="V142" s="5"/>
      <c r="W142" s="5"/>
      <c r="X142" s="5"/>
      <c r="Y142" s="5" t="s">
        <v>887</v>
      </c>
      <c r="Z142" s="5" t="s">
        <v>142</v>
      </c>
      <c r="AA142" s="5" t="s">
        <v>888</v>
      </c>
      <c r="AB142" s="5" t="s">
        <v>46</v>
      </c>
      <c r="AC142" s="5"/>
      <c r="AD142" s="5" t="b">
        <v>0</v>
      </c>
      <c r="AE142" s="5"/>
      <c r="AF142" s="5"/>
      <c r="AG142" s="9">
        <f t="shared" si="2"/>
        <v>43265</v>
      </c>
    </row>
    <row r="143" s="6" customFormat="1" spans="1:33">
      <c r="A143" s="5" t="s">
        <v>889</v>
      </c>
      <c r="B143" s="5" t="s">
        <v>889</v>
      </c>
      <c r="C143" s="5" t="s">
        <v>890</v>
      </c>
      <c r="D143" s="5" t="s">
        <v>891</v>
      </c>
      <c r="E143" s="5" t="s">
        <v>36</v>
      </c>
      <c r="F143" s="5" t="s">
        <v>37</v>
      </c>
      <c r="G143" s="5" t="s">
        <v>38</v>
      </c>
      <c r="H143" s="5"/>
      <c r="I143" s="5"/>
      <c r="J143" s="5" t="s">
        <v>39</v>
      </c>
      <c r="K143" s="5" t="s">
        <v>260</v>
      </c>
      <c r="L143" s="5" t="s">
        <v>261</v>
      </c>
      <c r="M143" s="5" t="s">
        <v>262</v>
      </c>
      <c r="N143" s="5" t="s">
        <v>36</v>
      </c>
      <c r="O143" s="5">
        <v>1</v>
      </c>
      <c r="P143" s="5" t="s">
        <v>43</v>
      </c>
      <c r="Q143" s="5">
        <v>18.99</v>
      </c>
      <c r="R143" s="5"/>
      <c r="S143" s="5"/>
      <c r="T143" s="5"/>
      <c r="U143" s="5"/>
      <c r="V143" s="5"/>
      <c r="W143" s="5"/>
      <c r="X143" s="5"/>
      <c r="Y143" s="5" t="s">
        <v>892</v>
      </c>
      <c r="Z143" s="5" t="s">
        <v>247</v>
      </c>
      <c r="AA143" s="5" t="s">
        <v>893</v>
      </c>
      <c r="AB143" s="5" t="s">
        <v>46</v>
      </c>
      <c r="AC143" s="5"/>
      <c r="AD143" s="5" t="b">
        <v>0</v>
      </c>
      <c r="AE143" s="5"/>
      <c r="AF143" s="5"/>
      <c r="AG143" s="9">
        <f t="shared" si="2"/>
        <v>43265</v>
      </c>
    </row>
    <row r="144" s="6" customFormat="1" spans="1:33">
      <c r="A144" s="5" t="s">
        <v>894</v>
      </c>
      <c r="B144" s="5" t="s">
        <v>894</v>
      </c>
      <c r="C144" s="5" t="s">
        <v>895</v>
      </c>
      <c r="D144" s="5" t="s">
        <v>896</v>
      </c>
      <c r="E144" s="5" t="s">
        <v>36</v>
      </c>
      <c r="F144" s="5" t="s">
        <v>37</v>
      </c>
      <c r="G144" s="5" t="s">
        <v>38</v>
      </c>
      <c r="H144" s="5"/>
      <c r="I144" s="5"/>
      <c r="J144" s="5" t="s">
        <v>39</v>
      </c>
      <c r="K144" s="5" t="s">
        <v>243</v>
      </c>
      <c r="L144" s="5" t="s">
        <v>301</v>
      </c>
      <c r="M144" s="5" t="s">
        <v>245</v>
      </c>
      <c r="N144" s="5" t="s">
        <v>36</v>
      </c>
      <c r="O144" s="5">
        <v>1</v>
      </c>
      <c r="P144" s="5" t="s">
        <v>43</v>
      </c>
      <c r="Q144" s="5">
        <v>18.99</v>
      </c>
      <c r="R144" s="5"/>
      <c r="S144" s="5"/>
      <c r="T144" s="5"/>
      <c r="U144" s="5"/>
      <c r="V144" s="5"/>
      <c r="W144" s="5"/>
      <c r="X144" s="5"/>
      <c r="Y144" s="5" t="s">
        <v>897</v>
      </c>
      <c r="Z144" s="5" t="s">
        <v>247</v>
      </c>
      <c r="AA144" s="5">
        <v>78233</v>
      </c>
      <c r="AB144" s="5" t="s">
        <v>46</v>
      </c>
      <c r="AC144" s="5"/>
      <c r="AD144" s="5" t="b">
        <v>0</v>
      </c>
      <c r="AE144" s="5"/>
      <c r="AF144" s="5"/>
      <c r="AG144" s="9">
        <f t="shared" si="2"/>
        <v>43265</v>
      </c>
    </row>
    <row r="145" s="6" customFormat="1" spans="1:33">
      <c r="A145" s="5" t="s">
        <v>898</v>
      </c>
      <c r="B145" s="5" t="s">
        <v>898</v>
      </c>
      <c r="C145" s="5" t="s">
        <v>899</v>
      </c>
      <c r="D145" s="5" t="s">
        <v>900</v>
      </c>
      <c r="E145" s="5" t="s">
        <v>614</v>
      </c>
      <c r="F145" s="5" t="s">
        <v>37</v>
      </c>
      <c r="G145" s="5" t="s">
        <v>38</v>
      </c>
      <c r="H145" s="5"/>
      <c r="I145" s="5"/>
      <c r="J145" s="5" t="s">
        <v>39</v>
      </c>
      <c r="K145" s="5" t="s">
        <v>243</v>
      </c>
      <c r="L145" s="5" t="s">
        <v>301</v>
      </c>
      <c r="M145" s="5" t="s">
        <v>245</v>
      </c>
      <c r="N145" s="5" t="s">
        <v>614</v>
      </c>
      <c r="O145" s="5">
        <v>0</v>
      </c>
      <c r="P145" s="5"/>
      <c r="Q145" s="5"/>
      <c r="R145" s="5"/>
      <c r="S145" s="5"/>
      <c r="T145" s="5"/>
      <c r="U145" s="5"/>
      <c r="V145" s="5"/>
      <c r="W145" s="5"/>
      <c r="X145" s="5"/>
      <c r="Y145" s="5" t="s">
        <v>897</v>
      </c>
      <c r="Z145" s="5" t="s">
        <v>247</v>
      </c>
      <c r="AA145" s="5">
        <v>78233</v>
      </c>
      <c r="AB145" s="5" t="s">
        <v>46</v>
      </c>
      <c r="AC145" s="5"/>
      <c r="AD145" s="5" t="b">
        <v>0</v>
      </c>
      <c r="AE145" s="5"/>
      <c r="AF145" s="5"/>
      <c r="AG145" s="9">
        <f t="shared" si="2"/>
        <v>43265</v>
      </c>
    </row>
    <row r="146" s="6" customFormat="1" spans="1:33">
      <c r="A146" s="5" t="s">
        <v>901</v>
      </c>
      <c r="B146" s="5" t="s">
        <v>901</v>
      </c>
      <c r="C146" s="5" t="s">
        <v>902</v>
      </c>
      <c r="D146" s="5" t="s">
        <v>903</v>
      </c>
      <c r="E146" s="5" t="s">
        <v>36</v>
      </c>
      <c r="F146" s="5" t="s">
        <v>37</v>
      </c>
      <c r="G146" s="5" t="s">
        <v>38</v>
      </c>
      <c r="H146" s="5"/>
      <c r="I146" s="5"/>
      <c r="J146" s="5" t="s">
        <v>128</v>
      </c>
      <c r="K146" s="5" t="s">
        <v>904</v>
      </c>
      <c r="L146" s="5" t="s">
        <v>905</v>
      </c>
      <c r="M146" s="5" t="s">
        <v>906</v>
      </c>
      <c r="N146" s="5" t="s">
        <v>36</v>
      </c>
      <c r="O146" s="5">
        <v>1</v>
      </c>
      <c r="P146" s="5" t="s">
        <v>43</v>
      </c>
      <c r="Q146" s="5">
        <v>12</v>
      </c>
      <c r="R146" s="5"/>
      <c r="S146" s="5">
        <v>1.93</v>
      </c>
      <c r="T146" s="5"/>
      <c r="U146" s="5"/>
      <c r="V146" s="5"/>
      <c r="W146" s="5"/>
      <c r="X146" s="5"/>
      <c r="Y146" s="5" t="s">
        <v>907</v>
      </c>
      <c r="Z146" s="5" t="s">
        <v>606</v>
      </c>
      <c r="AA146" s="5" t="s">
        <v>908</v>
      </c>
      <c r="AB146" s="5" t="s">
        <v>46</v>
      </c>
      <c r="AC146" s="5"/>
      <c r="AD146" s="5" t="b">
        <v>0</v>
      </c>
      <c r="AE146" s="5"/>
      <c r="AF146" s="5"/>
      <c r="AG146" s="9">
        <f t="shared" si="2"/>
        <v>43265</v>
      </c>
    </row>
    <row r="147" s="6" customFormat="1" spans="1:33">
      <c r="A147" s="5" t="s">
        <v>909</v>
      </c>
      <c r="B147" s="5" t="s">
        <v>909</v>
      </c>
      <c r="C147" s="5" t="s">
        <v>910</v>
      </c>
      <c r="D147" s="5" t="s">
        <v>911</v>
      </c>
      <c r="E147" s="5" t="s">
        <v>36</v>
      </c>
      <c r="F147" s="5" t="s">
        <v>37</v>
      </c>
      <c r="G147" s="5" t="s">
        <v>38</v>
      </c>
      <c r="H147" s="5"/>
      <c r="I147" s="5"/>
      <c r="J147" s="5" t="s">
        <v>39</v>
      </c>
      <c r="K147" s="5" t="s">
        <v>40</v>
      </c>
      <c r="L147" s="5" t="s">
        <v>41</v>
      </c>
      <c r="M147" s="5" t="s">
        <v>42</v>
      </c>
      <c r="N147" s="5" t="s">
        <v>36</v>
      </c>
      <c r="O147" s="5">
        <v>1</v>
      </c>
      <c r="P147" s="5" t="s">
        <v>43</v>
      </c>
      <c r="Q147" s="5">
        <v>12.98</v>
      </c>
      <c r="R147" s="5"/>
      <c r="S147" s="5"/>
      <c r="T147" s="5"/>
      <c r="U147" s="5"/>
      <c r="V147" s="5"/>
      <c r="W147" s="5"/>
      <c r="X147" s="5"/>
      <c r="Y147" s="5" t="s">
        <v>912</v>
      </c>
      <c r="Z147" s="5" t="s">
        <v>142</v>
      </c>
      <c r="AA147" s="5" t="s">
        <v>913</v>
      </c>
      <c r="AB147" s="5" t="s">
        <v>46</v>
      </c>
      <c r="AC147" s="5"/>
      <c r="AD147" s="5" t="b">
        <v>0</v>
      </c>
      <c r="AE147" s="5"/>
      <c r="AF147" s="5"/>
      <c r="AG147" s="9">
        <f t="shared" si="2"/>
        <v>43265</v>
      </c>
    </row>
    <row r="148" s="6" customFormat="1" spans="1:33">
      <c r="A148" s="5" t="s">
        <v>914</v>
      </c>
      <c r="B148" s="5" t="s">
        <v>914</v>
      </c>
      <c r="C148" s="5" t="s">
        <v>915</v>
      </c>
      <c r="D148" s="5" t="s">
        <v>916</v>
      </c>
      <c r="E148" s="5" t="s">
        <v>36</v>
      </c>
      <c r="F148" s="5" t="s">
        <v>37</v>
      </c>
      <c r="G148" s="5" t="s">
        <v>38</v>
      </c>
      <c r="H148" s="5"/>
      <c r="I148" s="5"/>
      <c r="J148" s="5" t="s">
        <v>39</v>
      </c>
      <c r="K148" s="5" t="s">
        <v>243</v>
      </c>
      <c r="L148" s="5" t="s">
        <v>301</v>
      </c>
      <c r="M148" s="5" t="s">
        <v>245</v>
      </c>
      <c r="N148" s="5" t="s">
        <v>36</v>
      </c>
      <c r="O148" s="5">
        <v>1</v>
      </c>
      <c r="P148" s="5" t="s">
        <v>43</v>
      </c>
      <c r="Q148" s="5">
        <v>18.99</v>
      </c>
      <c r="R148" s="5"/>
      <c r="S148" s="5"/>
      <c r="T148" s="5"/>
      <c r="U148" s="5"/>
      <c r="V148" s="5"/>
      <c r="W148" s="5"/>
      <c r="X148" s="5"/>
      <c r="Y148" s="5" t="s">
        <v>917</v>
      </c>
      <c r="Z148" s="5" t="s">
        <v>54</v>
      </c>
      <c r="AA148" s="5" t="s">
        <v>918</v>
      </c>
      <c r="AB148" s="5" t="s">
        <v>46</v>
      </c>
      <c r="AC148" s="5"/>
      <c r="AD148" s="5" t="b">
        <v>0</v>
      </c>
      <c r="AE148" s="5"/>
      <c r="AF148" s="5"/>
      <c r="AG148" s="9">
        <f t="shared" si="2"/>
        <v>43265</v>
      </c>
    </row>
    <row r="149" s="6" customFormat="1" spans="1:33">
      <c r="A149" s="5" t="s">
        <v>919</v>
      </c>
      <c r="B149" s="5" t="s">
        <v>919</v>
      </c>
      <c r="C149" s="5" t="s">
        <v>920</v>
      </c>
      <c r="D149" s="5" t="s">
        <v>921</v>
      </c>
      <c r="E149" s="5" t="s">
        <v>36</v>
      </c>
      <c r="F149" s="5" t="s">
        <v>37</v>
      </c>
      <c r="G149" s="5" t="s">
        <v>38</v>
      </c>
      <c r="H149" s="5"/>
      <c r="I149" s="5"/>
      <c r="J149" s="5" t="s">
        <v>39</v>
      </c>
      <c r="K149" s="5" t="s">
        <v>75</v>
      </c>
      <c r="L149" s="5" t="s">
        <v>76</v>
      </c>
      <c r="M149" s="5" t="s">
        <v>77</v>
      </c>
      <c r="N149" s="5" t="s">
        <v>36</v>
      </c>
      <c r="O149" s="5">
        <v>1</v>
      </c>
      <c r="P149" s="5" t="s">
        <v>43</v>
      </c>
      <c r="Q149" s="5">
        <v>12.99</v>
      </c>
      <c r="R149" s="5"/>
      <c r="S149" s="5"/>
      <c r="T149" s="5"/>
      <c r="U149" s="5"/>
      <c r="V149" s="5"/>
      <c r="W149" s="5"/>
      <c r="X149" s="5"/>
      <c r="Y149" s="5" t="s">
        <v>922</v>
      </c>
      <c r="Z149" s="5" t="s">
        <v>923</v>
      </c>
      <c r="AA149" s="5" t="s">
        <v>924</v>
      </c>
      <c r="AB149" s="5" t="s">
        <v>46</v>
      </c>
      <c r="AC149" s="5"/>
      <c r="AD149" s="5" t="b">
        <v>0</v>
      </c>
      <c r="AE149" s="5"/>
      <c r="AF149" s="5"/>
      <c r="AG149" s="9">
        <f t="shared" si="2"/>
        <v>43265</v>
      </c>
    </row>
    <row r="150" s="6" customFormat="1" spans="1:33">
      <c r="A150" s="5" t="s">
        <v>925</v>
      </c>
      <c r="B150" s="5" t="s">
        <v>925</v>
      </c>
      <c r="C150" s="5" t="s">
        <v>926</v>
      </c>
      <c r="D150" s="5" t="s">
        <v>927</v>
      </c>
      <c r="E150" s="5" t="s">
        <v>36</v>
      </c>
      <c r="F150" s="5" t="s">
        <v>37</v>
      </c>
      <c r="G150" s="5" t="s">
        <v>38</v>
      </c>
      <c r="H150" s="5"/>
      <c r="I150" s="5"/>
      <c r="J150" s="5" t="s">
        <v>39</v>
      </c>
      <c r="K150" s="5" t="s">
        <v>243</v>
      </c>
      <c r="L150" s="5" t="s">
        <v>244</v>
      </c>
      <c r="M150" s="5" t="s">
        <v>245</v>
      </c>
      <c r="N150" s="5" t="s">
        <v>36</v>
      </c>
      <c r="O150" s="5">
        <v>1</v>
      </c>
      <c r="P150" s="5" t="s">
        <v>43</v>
      </c>
      <c r="Q150" s="5">
        <v>18.99</v>
      </c>
      <c r="R150" s="5">
        <v>1.9</v>
      </c>
      <c r="S150" s="5"/>
      <c r="T150" s="5"/>
      <c r="U150" s="5"/>
      <c r="V150" s="5"/>
      <c r="W150" s="5"/>
      <c r="X150" s="5"/>
      <c r="Y150" s="5" t="s">
        <v>928</v>
      </c>
      <c r="Z150" s="5" t="s">
        <v>474</v>
      </c>
      <c r="AA150" s="5" t="s">
        <v>929</v>
      </c>
      <c r="AB150" s="5" t="s">
        <v>46</v>
      </c>
      <c r="AC150" s="5"/>
      <c r="AD150" s="5" t="b">
        <v>0</v>
      </c>
      <c r="AE150" s="5"/>
      <c r="AF150" s="5"/>
      <c r="AG150" s="9">
        <f t="shared" si="2"/>
        <v>43265</v>
      </c>
    </row>
    <row r="151" s="6" customFormat="1" spans="1:33">
      <c r="A151" s="5" t="s">
        <v>930</v>
      </c>
      <c r="B151" s="5" t="s">
        <v>930</v>
      </c>
      <c r="C151" s="5" t="s">
        <v>931</v>
      </c>
      <c r="D151" s="5" t="s">
        <v>932</v>
      </c>
      <c r="E151" s="5" t="s">
        <v>36</v>
      </c>
      <c r="F151" s="5" t="s">
        <v>37</v>
      </c>
      <c r="G151" s="5" t="s">
        <v>38</v>
      </c>
      <c r="H151" s="5"/>
      <c r="I151" s="5"/>
      <c r="J151" s="5" t="s">
        <v>39</v>
      </c>
      <c r="K151" s="5" t="s">
        <v>387</v>
      </c>
      <c r="L151" s="5" t="s">
        <v>388</v>
      </c>
      <c r="M151" s="5" t="s">
        <v>389</v>
      </c>
      <c r="N151" s="5" t="s">
        <v>36</v>
      </c>
      <c r="O151" s="5">
        <v>5</v>
      </c>
      <c r="P151" s="5" t="s">
        <v>43</v>
      </c>
      <c r="Q151" s="5">
        <v>94.95</v>
      </c>
      <c r="R151" s="5"/>
      <c r="S151" s="5"/>
      <c r="T151" s="5"/>
      <c r="U151" s="5"/>
      <c r="V151" s="5"/>
      <c r="W151" s="5">
        <v>4.75</v>
      </c>
      <c r="X151" s="5"/>
      <c r="Y151" s="5" t="s">
        <v>933</v>
      </c>
      <c r="Z151" s="5" t="s">
        <v>606</v>
      </c>
      <c r="AA151" s="5">
        <v>29651</v>
      </c>
      <c r="AB151" s="5" t="s">
        <v>46</v>
      </c>
      <c r="AC151" s="5" t="s">
        <v>115</v>
      </c>
      <c r="AD151" s="5" t="b">
        <v>1</v>
      </c>
      <c r="AE151" s="5"/>
      <c r="AF151" s="5"/>
      <c r="AG151" s="9">
        <f t="shared" si="2"/>
        <v>43265</v>
      </c>
    </row>
    <row r="152" s="6" customFormat="1" spans="1:33">
      <c r="A152" s="5" t="s">
        <v>934</v>
      </c>
      <c r="B152" s="5" t="s">
        <v>934</v>
      </c>
      <c r="C152" s="5" t="s">
        <v>935</v>
      </c>
      <c r="D152" s="5" t="s">
        <v>936</v>
      </c>
      <c r="E152" s="5" t="s">
        <v>36</v>
      </c>
      <c r="F152" s="5" t="s">
        <v>37</v>
      </c>
      <c r="G152" s="5" t="s">
        <v>38</v>
      </c>
      <c r="H152" s="5"/>
      <c r="I152" s="5"/>
      <c r="J152" s="5" t="s">
        <v>39</v>
      </c>
      <c r="K152" s="5" t="s">
        <v>365</v>
      </c>
      <c r="L152" s="5" t="s">
        <v>419</v>
      </c>
      <c r="M152" s="5" t="s">
        <v>367</v>
      </c>
      <c r="N152" s="5" t="s">
        <v>36</v>
      </c>
      <c r="O152" s="5">
        <v>1</v>
      </c>
      <c r="P152" s="5" t="s">
        <v>43</v>
      </c>
      <c r="Q152" s="5">
        <v>18.99</v>
      </c>
      <c r="R152" s="5"/>
      <c r="S152" s="5"/>
      <c r="T152" s="5"/>
      <c r="U152" s="5"/>
      <c r="V152" s="5"/>
      <c r="W152" s="5"/>
      <c r="X152" s="5"/>
      <c r="Y152" s="5" t="s">
        <v>937</v>
      </c>
      <c r="Z152" s="5" t="s">
        <v>105</v>
      </c>
      <c r="AA152" s="5" t="s">
        <v>938</v>
      </c>
      <c r="AB152" s="5" t="s">
        <v>46</v>
      </c>
      <c r="AC152" s="5"/>
      <c r="AD152" s="5" t="b">
        <v>0</v>
      </c>
      <c r="AE152" s="5"/>
      <c r="AF152" s="5"/>
      <c r="AG152" s="9">
        <f t="shared" si="2"/>
        <v>43265</v>
      </c>
    </row>
    <row r="153" s="6" customFormat="1" spans="1:33">
      <c r="A153" s="5" t="s">
        <v>939</v>
      </c>
      <c r="B153" s="5" t="s">
        <v>939</v>
      </c>
      <c r="C153" s="5" t="s">
        <v>940</v>
      </c>
      <c r="D153" s="5" t="s">
        <v>941</v>
      </c>
      <c r="E153" s="5" t="s">
        <v>36</v>
      </c>
      <c r="F153" s="5" t="s">
        <v>37</v>
      </c>
      <c r="G153" s="5" t="s">
        <v>38</v>
      </c>
      <c r="H153" s="5"/>
      <c r="I153" s="5"/>
      <c r="J153" s="5" t="s">
        <v>39</v>
      </c>
      <c r="K153" s="5" t="s">
        <v>110</v>
      </c>
      <c r="L153" s="5" t="s">
        <v>111</v>
      </c>
      <c r="M153" s="5" t="s">
        <v>112</v>
      </c>
      <c r="N153" s="5" t="s">
        <v>36</v>
      </c>
      <c r="O153" s="5">
        <v>1</v>
      </c>
      <c r="P153" s="5" t="s">
        <v>43</v>
      </c>
      <c r="Q153" s="5">
        <v>12.99</v>
      </c>
      <c r="R153" s="5"/>
      <c r="S153" s="5"/>
      <c r="T153" s="5"/>
      <c r="U153" s="5"/>
      <c r="V153" s="5"/>
      <c r="W153" s="5"/>
      <c r="X153" s="5"/>
      <c r="Y153" s="5" t="s">
        <v>942</v>
      </c>
      <c r="Z153" s="5" t="s">
        <v>54</v>
      </c>
      <c r="AA153" s="5">
        <v>95630</v>
      </c>
      <c r="AB153" s="5" t="s">
        <v>46</v>
      </c>
      <c r="AC153" s="5"/>
      <c r="AD153" s="5" t="b">
        <v>0</v>
      </c>
      <c r="AE153" s="5"/>
      <c r="AF153" s="5"/>
      <c r="AG153" s="9">
        <f t="shared" si="2"/>
        <v>43265</v>
      </c>
    </row>
    <row r="154" s="6" customFormat="1" spans="1:33">
      <c r="A154" s="5" t="s">
        <v>943</v>
      </c>
      <c r="B154" s="5" t="s">
        <v>943</v>
      </c>
      <c r="C154" s="5" t="s">
        <v>944</v>
      </c>
      <c r="D154" s="5" t="s">
        <v>945</v>
      </c>
      <c r="E154" s="5" t="s">
        <v>36</v>
      </c>
      <c r="F154" s="5" t="s">
        <v>37</v>
      </c>
      <c r="G154" s="5" t="s">
        <v>38</v>
      </c>
      <c r="H154" s="5"/>
      <c r="I154" s="5"/>
      <c r="J154" s="5" t="s">
        <v>39</v>
      </c>
      <c r="K154" s="5" t="s">
        <v>75</v>
      </c>
      <c r="L154" s="5" t="s">
        <v>76</v>
      </c>
      <c r="M154" s="5" t="s">
        <v>77</v>
      </c>
      <c r="N154" s="5" t="s">
        <v>36</v>
      </c>
      <c r="O154" s="5">
        <v>1</v>
      </c>
      <c r="P154" s="5" t="s">
        <v>43</v>
      </c>
      <c r="Q154" s="5">
        <v>12.99</v>
      </c>
      <c r="R154" s="5"/>
      <c r="S154" s="5"/>
      <c r="T154" s="5"/>
      <c r="U154" s="5"/>
      <c r="V154" s="5"/>
      <c r="W154" s="5"/>
      <c r="X154" s="5"/>
      <c r="Y154" s="5" t="s">
        <v>946</v>
      </c>
      <c r="Z154" s="5" t="s">
        <v>247</v>
      </c>
      <c r="AA154" s="5" t="s">
        <v>947</v>
      </c>
      <c r="AB154" s="5" t="s">
        <v>46</v>
      </c>
      <c r="AC154" s="5"/>
      <c r="AD154" s="5" t="b">
        <v>0</v>
      </c>
      <c r="AE154" s="5"/>
      <c r="AF154" s="5"/>
      <c r="AG154" s="9">
        <f t="shared" si="2"/>
        <v>43265</v>
      </c>
    </row>
    <row r="155" s="6" customFormat="1" spans="1:33">
      <c r="A155" s="5" t="s">
        <v>948</v>
      </c>
      <c r="B155" s="5" t="s">
        <v>948</v>
      </c>
      <c r="C155" s="5" t="s">
        <v>949</v>
      </c>
      <c r="D155" s="5" t="s">
        <v>950</v>
      </c>
      <c r="E155" s="5" t="s">
        <v>36</v>
      </c>
      <c r="F155" s="5" t="s">
        <v>37</v>
      </c>
      <c r="G155" s="5" t="s">
        <v>38</v>
      </c>
      <c r="H155" s="5"/>
      <c r="I155" s="5"/>
      <c r="J155" s="5" t="s">
        <v>39</v>
      </c>
      <c r="K155" s="5" t="s">
        <v>570</v>
      </c>
      <c r="L155" s="5" t="s">
        <v>578</v>
      </c>
      <c r="M155" s="5" t="s">
        <v>572</v>
      </c>
      <c r="N155" s="5" t="s">
        <v>36</v>
      </c>
      <c r="O155" s="5">
        <v>1</v>
      </c>
      <c r="P155" s="5" t="s">
        <v>43</v>
      </c>
      <c r="Q155" s="5">
        <v>24.99</v>
      </c>
      <c r="R155" s="5"/>
      <c r="S155" s="5"/>
      <c r="T155" s="5"/>
      <c r="U155" s="5"/>
      <c r="V155" s="5"/>
      <c r="W155" s="5"/>
      <c r="X155" s="5"/>
      <c r="Y155" s="5" t="s">
        <v>951</v>
      </c>
      <c r="Z155" s="5" t="s">
        <v>142</v>
      </c>
      <c r="AA155" s="5">
        <v>33952</v>
      </c>
      <c r="AB155" s="5" t="s">
        <v>46</v>
      </c>
      <c r="AC155" s="5"/>
      <c r="AD155" s="5" t="b">
        <v>0</v>
      </c>
      <c r="AE155" s="5"/>
      <c r="AF155" s="5"/>
      <c r="AG155" s="9">
        <f t="shared" si="2"/>
        <v>43265</v>
      </c>
    </row>
    <row r="156" s="6" customFormat="1" spans="1:33">
      <c r="A156" s="5" t="s">
        <v>952</v>
      </c>
      <c r="B156" s="5" t="s">
        <v>952</v>
      </c>
      <c r="C156" s="5" t="s">
        <v>953</v>
      </c>
      <c r="D156" s="5" t="s">
        <v>954</v>
      </c>
      <c r="E156" s="5" t="s">
        <v>36</v>
      </c>
      <c r="F156" s="5" t="s">
        <v>37</v>
      </c>
      <c r="G156" s="5" t="s">
        <v>38</v>
      </c>
      <c r="H156" s="5"/>
      <c r="I156" s="5"/>
      <c r="J156" s="5" t="s">
        <v>39</v>
      </c>
      <c r="K156" s="5" t="s">
        <v>278</v>
      </c>
      <c r="L156" s="5" t="s">
        <v>279</v>
      </c>
      <c r="M156" s="5" t="s">
        <v>280</v>
      </c>
      <c r="N156" s="5" t="s">
        <v>36</v>
      </c>
      <c r="O156" s="5">
        <v>1</v>
      </c>
      <c r="P156" s="5" t="s">
        <v>43</v>
      </c>
      <c r="Q156" s="5">
        <v>24.99</v>
      </c>
      <c r="R156" s="5"/>
      <c r="S156" s="5"/>
      <c r="T156" s="5"/>
      <c r="U156" s="5"/>
      <c r="V156" s="5"/>
      <c r="W156" s="5"/>
      <c r="X156" s="5"/>
      <c r="Y156" s="5" t="s">
        <v>955</v>
      </c>
      <c r="Z156" s="5" t="s">
        <v>142</v>
      </c>
      <c r="AA156" s="5" t="s">
        <v>956</v>
      </c>
      <c r="AB156" s="5" t="s">
        <v>46</v>
      </c>
      <c r="AC156" s="5"/>
      <c r="AD156" s="5" t="b">
        <v>0</v>
      </c>
      <c r="AE156" s="5"/>
      <c r="AF156" s="5"/>
      <c r="AG156" s="9">
        <f t="shared" si="2"/>
        <v>43265</v>
      </c>
    </row>
    <row r="157" s="6" customFormat="1" spans="1:33">
      <c r="A157" s="5" t="s">
        <v>957</v>
      </c>
      <c r="B157" s="5" t="s">
        <v>957</v>
      </c>
      <c r="C157" s="5" t="s">
        <v>958</v>
      </c>
      <c r="D157" s="5" t="s">
        <v>959</v>
      </c>
      <c r="E157" s="5" t="s">
        <v>36</v>
      </c>
      <c r="F157" s="5" t="s">
        <v>37</v>
      </c>
      <c r="G157" s="5" t="s">
        <v>38</v>
      </c>
      <c r="H157" s="5"/>
      <c r="I157" s="5"/>
      <c r="J157" s="5" t="s">
        <v>287</v>
      </c>
      <c r="K157" s="5" t="s">
        <v>243</v>
      </c>
      <c r="L157" s="5" t="s">
        <v>301</v>
      </c>
      <c r="M157" s="5" t="s">
        <v>245</v>
      </c>
      <c r="N157" s="5" t="s">
        <v>36</v>
      </c>
      <c r="O157" s="5">
        <v>1</v>
      </c>
      <c r="P157" s="5" t="s">
        <v>43</v>
      </c>
      <c r="Q157" s="5">
        <v>18.99</v>
      </c>
      <c r="R157" s="5"/>
      <c r="S157" s="5">
        <v>1</v>
      </c>
      <c r="T157" s="5"/>
      <c r="U157" s="5"/>
      <c r="V157" s="5"/>
      <c r="W157" s="5"/>
      <c r="X157" s="5">
        <v>1</v>
      </c>
      <c r="Y157" s="5" t="s">
        <v>86</v>
      </c>
      <c r="Z157" s="5" t="s">
        <v>87</v>
      </c>
      <c r="AA157" s="5" t="s">
        <v>960</v>
      </c>
      <c r="AB157" s="5" t="s">
        <v>46</v>
      </c>
      <c r="AC157" s="5"/>
      <c r="AD157" s="5" t="b">
        <v>0</v>
      </c>
      <c r="AE157" s="5"/>
      <c r="AF157" s="5"/>
      <c r="AG157" s="9">
        <f t="shared" si="2"/>
        <v>43265</v>
      </c>
    </row>
    <row r="158" s="6" customFormat="1" spans="1:33">
      <c r="A158" s="5" t="s">
        <v>961</v>
      </c>
      <c r="B158" s="5" t="s">
        <v>961</v>
      </c>
      <c r="C158" s="5" t="s">
        <v>962</v>
      </c>
      <c r="D158" s="5" t="s">
        <v>963</v>
      </c>
      <c r="E158" s="5" t="s">
        <v>36</v>
      </c>
      <c r="F158" s="5" t="s">
        <v>37</v>
      </c>
      <c r="G158" s="5" t="s">
        <v>38</v>
      </c>
      <c r="H158" s="5"/>
      <c r="I158" s="5"/>
      <c r="J158" s="5" t="s">
        <v>39</v>
      </c>
      <c r="K158" s="5" t="s">
        <v>75</v>
      </c>
      <c r="L158" s="5" t="s">
        <v>76</v>
      </c>
      <c r="M158" s="5" t="s">
        <v>77</v>
      </c>
      <c r="N158" s="5" t="s">
        <v>36</v>
      </c>
      <c r="O158" s="5">
        <v>1</v>
      </c>
      <c r="P158" s="5" t="s">
        <v>43</v>
      </c>
      <c r="Q158" s="5">
        <v>12.99</v>
      </c>
      <c r="R158" s="5"/>
      <c r="S158" s="5"/>
      <c r="T158" s="5"/>
      <c r="U158" s="5"/>
      <c r="V158" s="5"/>
      <c r="W158" s="5"/>
      <c r="X158" s="5"/>
      <c r="Y158" s="5" t="s">
        <v>964</v>
      </c>
      <c r="Z158" s="5" t="s">
        <v>151</v>
      </c>
      <c r="AA158" s="5" t="s">
        <v>965</v>
      </c>
      <c r="AB158" s="5" t="s">
        <v>46</v>
      </c>
      <c r="AC158" s="5"/>
      <c r="AD158" s="5" t="b">
        <v>0</v>
      </c>
      <c r="AE158" s="5"/>
      <c r="AF158" s="5"/>
      <c r="AG158" s="9">
        <f t="shared" si="2"/>
        <v>43265</v>
      </c>
    </row>
    <row r="159" s="6" customFormat="1" spans="1:33">
      <c r="A159" s="5" t="s">
        <v>966</v>
      </c>
      <c r="B159" s="5" t="s">
        <v>966</v>
      </c>
      <c r="C159" s="5" t="s">
        <v>967</v>
      </c>
      <c r="D159" s="5" t="s">
        <v>968</v>
      </c>
      <c r="E159" s="5" t="s">
        <v>36</v>
      </c>
      <c r="F159" s="5" t="s">
        <v>37</v>
      </c>
      <c r="G159" s="5" t="s">
        <v>38</v>
      </c>
      <c r="H159" s="5"/>
      <c r="I159" s="5"/>
      <c r="J159" s="5" t="s">
        <v>39</v>
      </c>
      <c r="K159" s="5" t="s">
        <v>312</v>
      </c>
      <c r="L159" s="5" t="s">
        <v>313</v>
      </c>
      <c r="M159" s="5" t="s">
        <v>314</v>
      </c>
      <c r="N159" s="5" t="s">
        <v>36</v>
      </c>
      <c r="O159" s="5">
        <v>1</v>
      </c>
      <c r="P159" s="5" t="s">
        <v>43</v>
      </c>
      <c r="Q159" s="5">
        <v>24.99</v>
      </c>
      <c r="R159" s="5"/>
      <c r="S159" s="5"/>
      <c r="T159" s="5"/>
      <c r="U159" s="5"/>
      <c r="V159" s="5"/>
      <c r="W159" s="5"/>
      <c r="X159" s="5"/>
      <c r="Y159" s="5" t="s">
        <v>969</v>
      </c>
      <c r="Z159" s="5" t="s">
        <v>238</v>
      </c>
      <c r="AA159" s="5" t="s">
        <v>970</v>
      </c>
      <c r="AB159" s="5" t="s">
        <v>46</v>
      </c>
      <c r="AC159" s="5"/>
      <c r="AD159" s="5" t="b">
        <v>0</v>
      </c>
      <c r="AE159" s="5"/>
      <c r="AF159" s="5"/>
      <c r="AG159" s="9">
        <f t="shared" si="2"/>
        <v>43265</v>
      </c>
    </row>
    <row r="160" s="6" customFormat="1" spans="1:33">
      <c r="A160" s="5" t="s">
        <v>971</v>
      </c>
      <c r="B160" s="5" t="s">
        <v>971</v>
      </c>
      <c r="C160" s="5" t="s">
        <v>972</v>
      </c>
      <c r="D160" s="5" t="s">
        <v>973</v>
      </c>
      <c r="E160" s="5" t="s">
        <v>36</v>
      </c>
      <c r="F160" s="5" t="s">
        <v>37</v>
      </c>
      <c r="G160" s="5" t="s">
        <v>38</v>
      </c>
      <c r="H160" s="5"/>
      <c r="I160" s="5"/>
      <c r="J160" s="5" t="s">
        <v>128</v>
      </c>
      <c r="K160" s="5" t="s">
        <v>75</v>
      </c>
      <c r="L160" s="5" t="s">
        <v>76</v>
      </c>
      <c r="M160" s="5" t="s">
        <v>77</v>
      </c>
      <c r="N160" s="5" t="s">
        <v>36</v>
      </c>
      <c r="O160" s="5">
        <v>1</v>
      </c>
      <c r="P160" s="5" t="s">
        <v>43</v>
      </c>
      <c r="Q160" s="5">
        <v>12.99</v>
      </c>
      <c r="R160" s="5"/>
      <c r="S160" s="5">
        <v>2.83</v>
      </c>
      <c r="T160" s="5"/>
      <c r="U160" s="5"/>
      <c r="V160" s="5"/>
      <c r="W160" s="5"/>
      <c r="X160" s="5">
        <v>2.83</v>
      </c>
      <c r="Y160" s="5" t="s">
        <v>974</v>
      </c>
      <c r="Z160" s="5" t="s">
        <v>975</v>
      </c>
      <c r="AA160" s="5" t="s">
        <v>976</v>
      </c>
      <c r="AB160" s="5" t="s">
        <v>46</v>
      </c>
      <c r="AC160" s="5" t="s">
        <v>225</v>
      </c>
      <c r="AD160" s="5" t="b">
        <v>0</v>
      </c>
      <c r="AE160" s="5"/>
      <c r="AF160" s="5"/>
      <c r="AG160" s="9">
        <f t="shared" si="2"/>
        <v>43265</v>
      </c>
    </row>
    <row r="161" s="6" customFormat="1" spans="1:33">
      <c r="A161" s="5" t="s">
        <v>977</v>
      </c>
      <c r="B161" s="5" t="s">
        <v>977</v>
      </c>
      <c r="C161" s="5" t="s">
        <v>978</v>
      </c>
      <c r="D161" s="5" t="s">
        <v>979</v>
      </c>
      <c r="E161" s="5" t="s">
        <v>36</v>
      </c>
      <c r="F161" s="5" t="s">
        <v>37</v>
      </c>
      <c r="G161" s="5" t="s">
        <v>38</v>
      </c>
      <c r="H161" s="5"/>
      <c r="I161" s="5"/>
      <c r="J161" s="5" t="s">
        <v>39</v>
      </c>
      <c r="K161" s="5" t="s">
        <v>75</v>
      </c>
      <c r="L161" s="5" t="s">
        <v>76</v>
      </c>
      <c r="M161" s="5" t="s">
        <v>77</v>
      </c>
      <c r="N161" s="5" t="s">
        <v>36</v>
      </c>
      <c r="O161" s="5">
        <v>1</v>
      </c>
      <c r="P161" s="5" t="s">
        <v>43</v>
      </c>
      <c r="Q161" s="5">
        <v>12.99</v>
      </c>
      <c r="R161" s="5"/>
      <c r="S161" s="5"/>
      <c r="T161" s="5"/>
      <c r="U161" s="5"/>
      <c r="V161" s="5"/>
      <c r="W161" s="5"/>
      <c r="X161" s="5"/>
      <c r="Y161" s="5" t="s">
        <v>980</v>
      </c>
      <c r="Z161" s="5" t="s">
        <v>307</v>
      </c>
      <c r="AA161" s="5" t="s">
        <v>981</v>
      </c>
      <c r="AB161" s="5" t="s">
        <v>46</v>
      </c>
      <c r="AC161" s="5"/>
      <c r="AD161" s="5" t="b">
        <v>0</v>
      </c>
      <c r="AE161" s="5"/>
      <c r="AF161" s="5"/>
      <c r="AG161" s="9">
        <f t="shared" si="2"/>
        <v>43265</v>
      </c>
    </row>
    <row r="162" s="6" customFormat="1" spans="1:33">
      <c r="A162" s="5" t="s">
        <v>982</v>
      </c>
      <c r="B162" s="5" t="s">
        <v>982</v>
      </c>
      <c r="C162" s="5" t="s">
        <v>983</v>
      </c>
      <c r="D162" s="5" t="s">
        <v>984</v>
      </c>
      <c r="E162" s="5" t="s">
        <v>36</v>
      </c>
      <c r="F162" s="5" t="s">
        <v>37</v>
      </c>
      <c r="G162" s="5" t="s">
        <v>38</v>
      </c>
      <c r="H162" s="5"/>
      <c r="I162" s="5"/>
      <c r="J162" s="5" t="s">
        <v>39</v>
      </c>
      <c r="K162" s="5" t="s">
        <v>75</v>
      </c>
      <c r="L162" s="5" t="s">
        <v>76</v>
      </c>
      <c r="M162" s="5" t="s">
        <v>77</v>
      </c>
      <c r="N162" s="5" t="s">
        <v>36</v>
      </c>
      <c r="O162" s="5">
        <v>1</v>
      </c>
      <c r="P162" s="5" t="s">
        <v>43</v>
      </c>
      <c r="Q162" s="5">
        <v>12.99</v>
      </c>
      <c r="R162" s="5"/>
      <c r="S162" s="5"/>
      <c r="T162" s="5"/>
      <c r="U162" s="5"/>
      <c r="V162" s="5"/>
      <c r="W162" s="5"/>
      <c r="X162" s="5"/>
      <c r="Y162" s="5" t="s">
        <v>985</v>
      </c>
      <c r="Z162" s="5" t="s">
        <v>96</v>
      </c>
      <c r="AA162" s="5" t="s">
        <v>986</v>
      </c>
      <c r="AB162" s="5" t="s">
        <v>46</v>
      </c>
      <c r="AC162" s="5"/>
      <c r="AD162" s="5" t="b">
        <v>0</v>
      </c>
      <c r="AE162" s="5"/>
      <c r="AF162" s="5"/>
      <c r="AG162" s="9">
        <f t="shared" si="2"/>
        <v>43265</v>
      </c>
    </row>
    <row r="163" s="6" customFormat="1" spans="1:33">
      <c r="A163" s="5" t="s">
        <v>987</v>
      </c>
      <c r="B163" s="5" t="s">
        <v>987</v>
      </c>
      <c r="C163" s="5" t="s">
        <v>988</v>
      </c>
      <c r="D163" s="5" t="s">
        <v>989</v>
      </c>
      <c r="E163" s="5" t="s">
        <v>36</v>
      </c>
      <c r="F163" s="5" t="s">
        <v>37</v>
      </c>
      <c r="G163" s="5" t="s">
        <v>38</v>
      </c>
      <c r="H163" s="5"/>
      <c r="I163" s="5"/>
      <c r="J163" s="5" t="s">
        <v>39</v>
      </c>
      <c r="K163" s="5" t="s">
        <v>110</v>
      </c>
      <c r="L163" s="5" t="s">
        <v>111</v>
      </c>
      <c r="M163" s="5" t="s">
        <v>112</v>
      </c>
      <c r="N163" s="5" t="s">
        <v>36</v>
      </c>
      <c r="O163" s="5">
        <v>1</v>
      </c>
      <c r="P163" s="5" t="s">
        <v>43</v>
      </c>
      <c r="Q163" s="5">
        <v>12.99</v>
      </c>
      <c r="R163" s="5"/>
      <c r="S163" s="5"/>
      <c r="T163" s="5"/>
      <c r="U163" s="5"/>
      <c r="V163" s="5"/>
      <c r="W163" s="5"/>
      <c r="X163" s="5"/>
      <c r="Y163" s="5" t="s">
        <v>990</v>
      </c>
      <c r="Z163" s="5" t="s">
        <v>87</v>
      </c>
      <c r="AA163" s="5" t="s">
        <v>991</v>
      </c>
      <c r="AB163" s="5" t="s">
        <v>46</v>
      </c>
      <c r="AC163" s="5"/>
      <c r="AD163" s="5" t="b">
        <v>0</v>
      </c>
      <c r="AE163" s="5"/>
      <c r="AF163" s="5"/>
      <c r="AG163" s="9">
        <f t="shared" si="2"/>
        <v>43265</v>
      </c>
    </row>
    <row r="164" s="6" customFormat="1" spans="1:33">
      <c r="A164" s="5" t="s">
        <v>992</v>
      </c>
      <c r="B164" s="5" t="s">
        <v>992</v>
      </c>
      <c r="C164" s="5" t="s">
        <v>993</v>
      </c>
      <c r="D164" s="5" t="s">
        <v>994</v>
      </c>
      <c r="E164" s="5" t="s">
        <v>36</v>
      </c>
      <c r="F164" s="5" t="s">
        <v>37</v>
      </c>
      <c r="G164" s="5" t="s">
        <v>38</v>
      </c>
      <c r="H164" s="5"/>
      <c r="I164" s="5"/>
      <c r="J164" s="5" t="s">
        <v>39</v>
      </c>
      <c r="K164" s="5" t="s">
        <v>570</v>
      </c>
      <c r="L164" s="5" t="s">
        <v>578</v>
      </c>
      <c r="M164" s="5" t="s">
        <v>572</v>
      </c>
      <c r="N164" s="5" t="s">
        <v>36</v>
      </c>
      <c r="O164" s="5">
        <v>1</v>
      </c>
      <c r="P164" s="5" t="s">
        <v>43</v>
      </c>
      <c r="Q164" s="5">
        <v>24.99</v>
      </c>
      <c r="R164" s="5"/>
      <c r="S164" s="5"/>
      <c r="T164" s="5"/>
      <c r="U164" s="5"/>
      <c r="V164" s="5"/>
      <c r="W164" s="5"/>
      <c r="X164" s="5"/>
      <c r="Y164" s="5" t="s">
        <v>995</v>
      </c>
      <c r="Z164" s="5" t="s">
        <v>528</v>
      </c>
      <c r="AA164" s="5" t="s">
        <v>996</v>
      </c>
      <c r="AB164" s="5" t="s">
        <v>46</v>
      </c>
      <c r="AC164" s="5"/>
      <c r="AD164" s="5" t="b">
        <v>0</v>
      </c>
      <c r="AE164" s="5"/>
      <c r="AF164" s="5"/>
      <c r="AG164" s="9">
        <f t="shared" si="2"/>
        <v>43265</v>
      </c>
    </row>
    <row r="165" s="6" customFormat="1" spans="1:33">
      <c r="A165" s="5" t="s">
        <v>997</v>
      </c>
      <c r="B165" s="5" t="s">
        <v>997</v>
      </c>
      <c r="C165" s="5" t="s">
        <v>998</v>
      </c>
      <c r="D165" s="5" t="s">
        <v>999</v>
      </c>
      <c r="E165" s="5" t="s">
        <v>36</v>
      </c>
      <c r="F165" s="5" t="s">
        <v>37</v>
      </c>
      <c r="G165" s="5" t="s">
        <v>38</v>
      </c>
      <c r="H165" s="5"/>
      <c r="I165" s="5"/>
      <c r="J165" s="5" t="s">
        <v>128</v>
      </c>
      <c r="K165" s="5" t="s">
        <v>201</v>
      </c>
      <c r="L165" s="5" t="s">
        <v>202</v>
      </c>
      <c r="M165" s="5" t="s">
        <v>203</v>
      </c>
      <c r="N165" s="5" t="s">
        <v>36</v>
      </c>
      <c r="O165" s="5">
        <v>1</v>
      </c>
      <c r="P165" s="5" t="s">
        <v>43</v>
      </c>
      <c r="Q165" s="5">
        <v>18.99</v>
      </c>
      <c r="R165" s="5"/>
      <c r="S165" s="5">
        <v>3.8</v>
      </c>
      <c r="T165" s="5"/>
      <c r="U165" s="5"/>
      <c r="V165" s="5"/>
      <c r="W165" s="5">
        <v>0.95</v>
      </c>
      <c r="X165" s="5"/>
      <c r="Y165" s="5" t="s">
        <v>489</v>
      </c>
      <c r="Z165" s="5" t="s">
        <v>142</v>
      </c>
      <c r="AA165" s="5" t="s">
        <v>1000</v>
      </c>
      <c r="AB165" s="5" t="s">
        <v>46</v>
      </c>
      <c r="AC165" s="5" t="s">
        <v>115</v>
      </c>
      <c r="AD165" s="5" t="b">
        <v>0</v>
      </c>
      <c r="AE165" s="5"/>
      <c r="AF165" s="5"/>
      <c r="AG165" s="9">
        <f t="shared" si="2"/>
        <v>43265</v>
      </c>
    </row>
    <row r="166" s="6" customFormat="1" spans="1:33">
      <c r="A166" s="5" t="s">
        <v>997</v>
      </c>
      <c r="B166" s="5" t="s">
        <v>997</v>
      </c>
      <c r="C166" s="5" t="s">
        <v>998</v>
      </c>
      <c r="D166" s="5" t="s">
        <v>999</v>
      </c>
      <c r="E166" s="5" t="s">
        <v>36</v>
      </c>
      <c r="F166" s="5" t="s">
        <v>37</v>
      </c>
      <c r="G166" s="5" t="s">
        <v>38</v>
      </c>
      <c r="H166" s="5"/>
      <c r="I166" s="5"/>
      <c r="J166" s="5" t="s">
        <v>128</v>
      </c>
      <c r="K166" s="5" t="s">
        <v>201</v>
      </c>
      <c r="L166" s="5" t="s">
        <v>202</v>
      </c>
      <c r="M166" s="5" t="s">
        <v>203</v>
      </c>
      <c r="N166" s="5" t="s">
        <v>36</v>
      </c>
      <c r="O166" s="5">
        <v>1</v>
      </c>
      <c r="P166" s="5" t="s">
        <v>43</v>
      </c>
      <c r="Q166" s="5">
        <v>18.99</v>
      </c>
      <c r="R166" s="5"/>
      <c r="S166" s="5">
        <v>3.81</v>
      </c>
      <c r="T166" s="5"/>
      <c r="U166" s="5"/>
      <c r="V166" s="5"/>
      <c r="W166" s="5">
        <v>0.95</v>
      </c>
      <c r="X166" s="5"/>
      <c r="Y166" s="5" t="s">
        <v>489</v>
      </c>
      <c r="Z166" s="5" t="s">
        <v>142</v>
      </c>
      <c r="AA166" s="5" t="s">
        <v>1000</v>
      </c>
      <c r="AB166" s="5" t="s">
        <v>46</v>
      </c>
      <c r="AC166" s="5" t="s">
        <v>115</v>
      </c>
      <c r="AD166" s="5" t="b">
        <v>0</v>
      </c>
      <c r="AE166" s="5"/>
      <c r="AF166" s="5"/>
      <c r="AG166" s="9">
        <f t="shared" si="2"/>
        <v>43265</v>
      </c>
    </row>
    <row r="167" s="6" customFormat="1" spans="1:33">
      <c r="A167" s="5" t="s">
        <v>1001</v>
      </c>
      <c r="B167" s="5" t="s">
        <v>1001</v>
      </c>
      <c r="C167" s="5" t="s">
        <v>1002</v>
      </c>
      <c r="D167" s="5" t="s">
        <v>1003</v>
      </c>
      <c r="E167" s="5" t="s">
        <v>36</v>
      </c>
      <c r="F167" s="5" t="s">
        <v>37</v>
      </c>
      <c r="G167" s="5" t="s">
        <v>38</v>
      </c>
      <c r="H167" s="5"/>
      <c r="I167" s="5"/>
      <c r="J167" s="5" t="s">
        <v>39</v>
      </c>
      <c r="K167" s="5" t="s">
        <v>1004</v>
      </c>
      <c r="L167" s="5" t="s">
        <v>1005</v>
      </c>
      <c r="M167" s="5" t="s">
        <v>1006</v>
      </c>
      <c r="N167" s="5" t="s">
        <v>36</v>
      </c>
      <c r="O167" s="5">
        <v>2</v>
      </c>
      <c r="P167" s="5" t="s">
        <v>43</v>
      </c>
      <c r="Q167" s="5">
        <v>29.96</v>
      </c>
      <c r="R167" s="5">
        <v>3.08</v>
      </c>
      <c r="S167" s="5"/>
      <c r="T167" s="5"/>
      <c r="U167" s="5"/>
      <c r="V167" s="5"/>
      <c r="W167" s="5"/>
      <c r="X167" s="5"/>
      <c r="Y167" s="5" t="s">
        <v>1007</v>
      </c>
      <c r="Z167" s="5" t="s">
        <v>474</v>
      </c>
      <c r="AA167" s="5" t="s">
        <v>1008</v>
      </c>
      <c r="AB167" s="5" t="s">
        <v>46</v>
      </c>
      <c r="AC167" s="5"/>
      <c r="AD167" s="5" t="b">
        <v>0</v>
      </c>
      <c r="AE167" s="5"/>
      <c r="AF167" s="5"/>
      <c r="AG167" s="9">
        <f t="shared" si="2"/>
        <v>43265</v>
      </c>
    </row>
    <row r="168" s="6" customFormat="1" spans="1:33">
      <c r="A168" s="5" t="s">
        <v>1009</v>
      </c>
      <c r="B168" s="5" t="s">
        <v>1009</v>
      </c>
      <c r="C168" s="5" t="s">
        <v>1010</v>
      </c>
      <c r="D168" s="5" t="s">
        <v>1011</v>
      </c>
      <c r="E168" s="5" t="s">
        <v>36</v>
      </c>
      <c r="F168" s="5" t="s">
        <v>37</v>
      </c>
      <c r="G168" s="5" t="s">
        <v>38</v>
      </c>
      <c r="H168" s="5"/>
      <c r="I168" s="5"/>
      <c r="J168" s="5" t="s">
        <v>39</v>
      </c>
      <c r="K168" s="5" t="s">
        <v>75</v>
      </c>
      <c r="L168" s="5" t="s">
        <v>76</v>
      </c>
      <c r="M168" s="5" t="s">
        <v>77</v>
      </c>
      <c r="N168" s="5" t="s">
        <v>36</v>
      </c>
      <c r="O168" s="5">
        <v>1</v>
      </c>
      <c r="P168" s="5" t="s">
        <v>43</v>
      </c>
      <c r="Q168" s="5">
        <v>12.99</v>
      </c>
      <c r="R168" s="5"/>
      <c r="S168" s="5"/>
      <c r="T168" s="5"/>
      <c r="U168" s="5"/>
      <c r="V168" s="5"/>
      <c r="W168" s="5"/>
      <c r="X168" s="5"/>
      <c r="Y168" s="5" t="s">
        <v>1012</v>
      </c>
      <c r="Z168" s="5" t="s">
        <v>54</v>
      </c>
      <c r="AA168" s="5" t="s">
        <v>1013</v>
      </c>
      <c r="AB168" s="5" t="s">
        <v>46</v>
      </c>
      <c r="AC168" s="5"/>
      <c r="AD168" s="5" t="b">
        <v>0</v>
      </c>
      <c r="AE168" s="5"/>
      <c r="AF168" s="5"/>
      <c r="AG168" s="9">
        <f t="shared" si="2"/>
        <v>43265</v>
      </c>
    </row>
    <row r="169" s="6" customFormat="1" spans="1:33">
      <c r="A169" s="5" t="s">
        <v>1014</v>
      </c>
      <c r="B169" s="5" t="s">
        <v>1014</v>
      </c>
      <c r="C169" s="5" t="s">
        <v>1015</v>
      </c>
      <c r="D169" s="5" t="s">
        <v>1016</v>
      </c>
      <c r="E169" s="5" t="s">
        <v>36</v>
      </c>
      <c r="F169" s="5" t="s">
        <v>37</v>
      </c>
      <c r="G169" s="5" t="s">
        <v>38</v>
      </c>
      <c r="H169" s="5"/>
      <c r="I169" s="5"/>
      <c r="J169" s="5" t="s">
        <v>39</v>
      </c>
      <c r="K169" s="5" t="s">
        <v>147</v>
      </c>
      <c r="L169" s="5" t="s">
        <v>148</v>
      </c>
      <c r="M169" s="5" t="s">
        <v>149</v>
      </c>
      <c r="N169" s="5" t="s">
        <v>36</v>
      </c>
      <c r="O169" s="5">
        <v>1</v>
      </c>
      <c r="P169" s="5" t="s">
        <v>43</v>
      </c>
      <c r="Q169" s="5">
        <v>12.98</v>
      </c>
      <c r="R169" s="5"/>
      <c r="S169" s="5"/>
      <c r="T169" s="5"/>
      <c r="U169" s="5"/>
      <c r="V169" s="5"/>
      <c r="W169" s="5"/>
      <c r="X169" s="5"/>
      <c r="Y169" s="5" t="s">
        <v>1017</v>
      </c>
      <c r="Z169" s="5" t="s">
        <v>1018</v>
      </c>
      <c r="AA169" s="5">
        <v>85257</v>
      </c>
      <c r="AB169" s="5" t="s">
        <v>46</v>
      </c>
      <c r="AC169" s="5"/>
      <c r="AD169" s="5" t="b">
        <v>0</v>
      </c>
      <c r="AE169" s="5"/>
      <c r="AF169" s="5"/>
      <c r="AG169" s="9">
        <f t="shared" si="2"/>
        <v>43265</v>
      </c>
    </row>
    <row r="170" s="6" customFormat="1" spans="1:33">
      <c r="A170" s="5" t="s">
        <v>1019</v>
      </c>
      <c r="B170" s="5" t="s">
        <v>1019</v>
      </c>
      <c r="C170" s="5" t="s">
        <v>1020</v>
      </c>
      <c r="D170" s="5" t="s">
        <v>1021</v>
      </c>
      <c r="E170" s="5" t="s">
        <v>36</v>
      </c>
      <c r="F170" s="5" t="s">
        <v>37</v>
      </c>
      <c r="G170" s="5" t="s">
        <v>38</v>
      </c>
      <c r="H170" s="5"/>
      <c r="I170" s="5"/>
      <c r="J170" s="5" t="s">
        <v>39</v>
      </c>
      <c r="K170" s="5" t="s">
        <v>570</v>
      </c>
      <c r="L170" s="5" t="s">
        <v>578</v>
      </c>
      <c r="M170" s="5" t="s">
        <v>572</v>
      </c>
      <c r="N170" s="5" t="s">
        <v>36</v>
      </c>
      <c r="O170" s="5">
        <v>1</v>
      </c>
      <c r="P170" s="5" t="s">
        <v>43</v>
      </c>
      <c r="Q170" s="5">
        <v>24.99</v>
      </c>
      <c r="R170" s="5"/>
      <c r="S170" s="5"/>
      <c r="T170" s="5"/>
      <c r="U170" s="5"/>
      <c r="V170" s="5"/>
      <c r="W170" s="5"/>
      <c r="X170" s="5"/>
      <c r="Y170" s="5" t="s">
        <v>1022</v>
      </c>
      <c r="Z170" s="5" t="s">
        <v>1023</v>
      </c>
      <c r="AA170" s="5" t="s">
        <v>1024</v>
      </c>
      <c r="AB170" s="5" t="s">
        <v>46</v>
      </c>
      <c r="AC170" s="5"/>
      <c r="AD170" s="5" t="b">
        <v>0</v>
      </c>
      <c r="AE170" s="5"/>
      <c r="AF170" s="5"/>
      <c r="AG170" s="9">
        <f t="shared" si="2"/>
        <v>43265</v>
      </c>
    </row>
    <row r="171" s="6" customFormat="1" spans="1:33">
      <c r="A171" s="5" t="s">
        <v>1025</v>
      </c>
      <c r="B171" s="5" t="s">
        <v>1025</v>
      </c>
      <c r="C171" s="5" t="s">
        <v>1026</v>
      </c>
      <c r="D171" s="5" t="s">
        <v>1027</v>
      </c>
      <c r="E171" s="5" t="s">
        <v>36</v>
      </c>
      <c r="F171" s="5" t="s">
        <v>37</v>
      </c>
      <c r="G171" s="5" t="s">
        <v>38</v>
      </c>
      <c r="H171" s="5"/>
      <c r="I171" s="5"/>
      <c r="J171" s="5" t="s">
        <v>156</v>
      </c>
      <c r="K171" s="5" t="s">
        <v>119</v>
      </c>
      <c r="L171" s="5" t="s">
        <v>120</v>
      </c>
      <c r="M171" s="5" t="s">
        <v>121</v>
      </c>
      <c r="N171" s="5" t="s">
        <v>36</v>
      </c>
      <c r="O171" s="5">
        <v>1</v>
      </c>
      <c r="P171" s="5" t="s">
        <v>43</v>
      </c>
      <c r="Q171" s="5">
        <v>24.99</v>
      </c>
      <c r="R171" s="5"/>
      <c r="S171" s="5">
        <v>3.99</v>
      </c>
      <c r="T171" s="5"/>
      <c r="U171" s="5"/>
      <c r="V171" s="5"/>
      <c r="W171" s="5"/>
      <c r="X171" s="5"/>
      <c r="Y171" s="5" t="s">
        <v>1028</v>
      </c>
      <c r="Z171" s="5" t="s">
        <v>123</v>
      </c>
      <c r="AA171" s="5" t="s">
        <v>1029</v>
      </c>
      <c r="AB171" s="5" t="s">
        <v>46</v>
      </c>
      <c r="AC171" s="5"/>
      <c r="AD171" s="5" t="b">
        <v>0</v>
      </c>
      <c r="AE171" s="5"/>
      <c r="AF171" s="5"/>
      <c r="AG171" s="9">
        <f t="shared" si="2"/>
        <v>43265</v>
      </c>
    </row>
    <row r="172" s="6" customFormat="1" spans="1:33">
      <c r="A172" s="5" t="s">
        <v>1030</v>
      </c>
      <c r="B172" s="5" t="s">
        <v>1030</v>
      </c>
      <c r="C172" s="5" t="s">
        <v>1031</v>
      </c>
      <c r="D172" s="5" t="s">
        <v>1032</v>
      </c>
      <c r="E172" s="5" t="s">
        <v>36</v>
      </c>
      <c r="F172" s="5" t="s">
        <v>37</v>
      </c>
      <c r="G172" s="5" t="s">
        <v>38</v>
      </c>
      <c r="H172" s="5"/>
      <c r="I172" s="5"/>
      <c r="J172" s="5" t="s">
        <v>39</v>
      </c>
      <c r="K172" s="5" t="s">
        <v>312</v>
      </c>
      <c r="L172" s="5" t="s">
        <v>313</v>
      </c>
      <c r="M172" s="5" t="s">
        <v>314</v>
      </c>
      <c r="N172" s="5" t="s">
        <v>36</v>
      </c>
      <c r="O172" s="5">
        <v>1</v>
      </c>
      <c r="P172" s="5" t="s">
        <v>43</v>
      </c>
      <c r="Q172" s="5">
        <v>24.99</v>
      </c>
      <c r="R172" s="5"/>
      <c r="S172" s="5"/>
      <c r="T172" s="5"/>
      <c r="U172" s="5"/>
      <c r="V172" s="5"/>
      <c r="W172" s="5"/>
      <c r="X172" s="5"/>
      <c r="Y172" s="5" t="s">
        <v>1033</v>
      </c>
      <c r="Z172" s="5" t="s">
        <v>62</v>
      </c>
      <c r="AA172" s="5" t="s">
        <v>1034</v>
      </c>
      <c r="AB172" s="5" t="s">
        <v>46</v>
      </c>
      <c r="AC172" s="5"/>
      <c r="AD172" s="5" t="b">
        <v>0</v>
      </c>
      <c r="AE172" s="5"/>
      <c r="AF172" s="5"/>
      <c r="AG172" s="9">
        <f t="shared" si="2"/>
        <v>43265</v>
      </c>
    </row>
    <row r="173" s="6" customFormat="1" spans="1:33">
      <c r="A173" s="5" t="s">
        <v>1035</v>
      </c>
      <c r="B173" s="5" t="s">
        <v>1035</v>
      </c>
      <c r="C173" s="5" t="s">
        <v>1036</v>
      </c>
      <c r="D173" s="5" t="s">
        <v>1037</v>
      </c>
      <c r="E173" s="5" t="s">
        <v>36</v>
      </c>
      <c r="F173" s="5" t="s">
        <v>37</v>
      </c>
      <c r="G173" s="5" t="s">
        <v>38</v>
      </c>
      <c r="H173" s="5"/>
      <c r="I173" s="5"/>
      <c r="J173" s="5" t="s">
        <v>39</v>
      </c>
      <c r="K173" s="5" t="s">
        <v>243</v>
      </c>
      <c r="L173" s="5" t="s">
        <v>244</v>
      </c>
      <c r="M173" s="5" t="s">
        <v>245</v>
      </c>
      <c r="N173" s="5" t="s">
        <v>36</v>
      </c>
      <c r="O173" s="5">
        <v>1</v>
      </c>
      <c r="P173" s="5" t="s">
        <v>43</v>
      </c>
      <c r="Q173" s="5">
        <v>18.99</v>
      </c>
      <c r="R173" s="5"/>
      <c r="S173" s="5"/>
      <c r="T173" s="5"/>
      <c r="U173" s="5"/>
      <c r="V173" s="5"/>
      <c r="W173" s="5">
        <v>0.95</v>
      </c>
      <c r="X173" s="5"/>
      <c r="Y173" s="5" t="s">
        <v>1038</v>
      </c>
      <c r="Z173" s="5" t="s">
        <v>1039</v>
      </c>
      <c r="AA173" s="5" t="s">
        <v>1040</v>
      </c>
      <c r="AB173" s="5" t="s">
        <v>46</v>
      </c>
      <c r="AC173" s="5" t="s">
        <v>115</v>
      </c>
      <c r="AD173" s="5" t="b">
        <v>0</v>
      </c>
      <c r="AE173" s="5"/>
      <c r="AF173" s="5"/>
      <c r="AG173" s="9">
        <f t="shared" si="2"/>
        <v>43265</v>
      </c>
    </row>
    <row r="174" s="6" customFormat="1" spans="1:33">
      <c r="A174" s="5" t="s">
        <v>1035</v>
      </c>
      <c r="B174" s="5" t="s">
        <v>1035</v>
      </c>
      <c r="C174" s="5" t="s">
        <v>1036</v>
      </c>
      <c r="D174" s="5" t="s">
        <v>1037</v>
      </c>
      <c r="E174" s="5" t="s">
        <v>36</v>
      </c>
      <c r="F174" s="5" t="s">
        <v>37</v>
      </c>
      <c r="G174" s="5" t="s">
        <v>38</v>
      </c>
      <c r="H174" s="5"/>
      <c r="I174" s="5"/>
      <c r="J174" s="5" t="s">
        <v>39</v>
      </c>
      <c r="K174" s="5" t="s">
        <v>260</v>
      </c>
      <c r="L174" s="5" t="s">
        <v>261</v>
      </c>
      <c r="M174" s="5" t="s">
        <v>262</v>
      </c>
      <c r="N174" s="5" t="s">
        <v>36</v>
      </c>
      <c r="O174" s="5">
        <v>1</v>
      </c>
      <c r="P174" s="5" t="s">
        <v>43</v>
      </c>
      <c r="Q174" s="5">
        <v>18.99</v>
      </c>
      <c r="R174" s="5"/>
      <c r="S174" s="5"/>
      <c r="T174" s="5"/>
      <c r="U174" s="5"/>
      <c r="V174" s="5"/>
      <c r="W174" s="5">
        <v>0.95</v>
      </c>
      <c r="X174" s="5"/>
      <c r="Y174" s="5" t="s">
        <v>1038</v>
      </c>
      <c r="Z174" s="5" t="s">
        <v>1039</v>
      </c>
      <c r="AA174" s="5" t="s">
        <v>1040</v>
      </c>
      <c r="AB174" s="5" t="s">
        <v>46</v>
      </c>
      <c r="AC174" s="5" t="s">
        <v>115</v>
      </c>
      <c r="AD174" s="5" t="b">
        <v>0</v>
      </c>
      <c r="AE174" s="5"/>
      <c r="AF174" s="5"/>
      <c r="AG174" s="9">
        <f t="shared" si="2"/>
        <v>43265</v>
      </c>
    </row>
    <row r="175" s="6" customFormat="1" spans="1:33">
      <c r="A175" s="5" t="s">
        <v>1041</v>
      </c>
      <c r="B175" s="5" t="s">
        <v>1041</v>
      </c>
      <c r="C175" s="5" t="s">
        <v>1042</v>
      </c>
      <c r="D175" s="5" t="s">
        <v>1043</v>
      </c>
      <c r="E175" s="5" t="s">
        <v>36</v>
      </c>
      <c r="F175" s="5" t="s">
        <v>37</v>
      </c>
      <c r="G175" s="5" t="s">
        <v>38</v>
      </c>
      <c r="H175" s="5"/>
      <c r="I175" s="5"/>
      <c r="J175" s="5" t="s">
        <v>39</v>
      </c>
      <c r="K175" s="5" t="s">
        <v>409</v>
      </c>
      <c r="L175" s="5" t="s">
        <v>410</v>
      </c>
      <c r="M175" s="5" t="s">
        <v>411</v>
      </c>
      <c r="N175" s="5" t="s">
        <v>36</v>
      </c>
      <c r="O175" s="5">
        <v>1</v>
      </c>
      <c r="P175" s="5" t="s">
        <v>43</v>
      </c>
      <c r="Q175" s="5">
        <v>9.9</v>
      </c>
      <c r="R175" s="5"/>
      <c r="S175" s="5"/>
      <c r="T175" s="5"/>
      <c r="U175" s="5"/>
      <c r="V175" s="5"/>
      <c r="W175" s="5"/>
      <c r="X175" s="5"/>
      <c r="Y175" s="5" t="s">
        <v>1044</v>
      </c>
      <c r="Z175" s="5" t="s">
        <v>1018</v>
      </c>
      <c r="AA175" s="5">
        <v>86017</v>
      </c>
      <c r="AB175" s="5" t="s">
        <v>46</v>
      </c>
      <c r="AC175" s="5"/>
      <c r="AD175" s="5" t="b">
        <v>0</v>
      </c>
      <c r="AE175" s="5"/>
      <c r="AF175" s="5"/>
      <c r="AG175" s="9">
        <f t="shared" si="2"/>
        <v>43265</v>
      </c>
    </row>
    <row r="176" s="6" customFormat="1" spans="1:33">
      <c r="A176" s="5" t="s">
        <v>1045</v>
      </c>
      <c r="B176" s="5" t="s">
        <v>1045</v>
      </c>
      <c r="C176" s="5" t="s">
        <v>1046</v>
      </c>
      <c r="D176" s="5" t="s">
        <v>1047</v>
      </c>
      <c r="E176" s="5" t="s">
        <v>36</v>
      </c>
      <c r="F176" s="5" t="s">
        <v>37</v>
      </c>
      <c r="G176" s="5" t="s">
        <v>38</v>
      </c>
      <c r="H176" s="5"/>
      <c r="I176" s="5"/>
      <c r="J176" s="5" t="s">
        <v>39</v>
      </c>
      <c r="K176" s="5" t="s">
        <v>533</v>
      </c>
      <c r="L176" s="5" t="s">
        <v>1048</v>
      </c>
      <c r="M176" s="5" t="s">
        <v>535</v>
      </c>
      <c r="N176" s="5" t="s">
        <v>36</v>
      </c>
      <c r="O176" s="5">
        <v>1</v>
      </c>
      <c r="P176" s="5" t="s">
        <v>43</v>
      </c>
      <c r="Q176" s="5">
        <v>25.99</v>
      </c>
      <c r="R176" s="5"/>
      <c r="S176" s="5"/>
      <c r="T176" s="5"/>
      <c r="U176" s="5"/>
      <c r="V176" s="5"/>
      <c r="W176" s="5"/>
      <c r="X176" s="5"/>
      <c r="Y176" s="5" t="s">
        <v>1049</v>
      </c>
      <c r="Z176" s="5" t="s">
        <v>1050</v>
      </c>
      <c r="AA176" s="5" t="s">
        <v>1051</v>
      </c>
      <c r="AB176" s="5" t="s">
        <v>46</v>
      </c>
      <c r="AC176" s="5"/>
      <c r="AD176" s="5" t="b">
        <v>0</v>
      </c>
      <c r="AE176" s="5"/>
      <c r="AF176" s="5"/>
      <c r="AG176" s="9">
        <f t="shared" si="2"/>
        <v>43265</v>
      </c>
    </row>
    <row r="177" s="6" customFormat="1" spans="1:33">
      <c r="A177" s="5" t="s">
        <v>1052</v>
      </c>
      <c r="B177" s="5" t="s">
        <v>1052</v>
      </c>
      <c r="C177" s="5" t="s">
        <v>1053</v>
      </c>
      <c r="D177" s="5" t="s">
        <v>1054</v>
      </c>
      <c r="E177" s="5" t="s">
        <v>36</v>
      </c>
      <c r="F177" s="5" t="s">
        <v>37</v>
      </c>
      <c r="G177" s="5" t="s">
        <v>38</v>
      </c>
      <c r="H177" s="5"/>
      <c r="I177" s="5"/>
      <c r="J177" s="5" t="s">
        <v>39</v>
      </c>
      <c r="K177" s="5" t="s">
        <v>147</v>
      </c>
      <c r="L177" s="5" t="s">
        <v>148</v>
      </c>
      <c r="M177" s="5" t="s">
        <v>149</v>
      </c>
      <c r="N177" s="5" t="s">
        <v>36</v>
      </c>
      <c r="O177" s="5">
        <v>1</v>
      </c>
      <c r="P177" s="5" t="s">
        <v>43</v>
      </c>
      <c r="Q177" s="5">
        <v>12.98</v>
      </c>
      <c r="R177" s="5"/>
      <c r="S177" s="5"/>
      <c r="T177" s="5"/>
      <c r="U177" s="5"/>
      <c r="V177" s="5"/>
      <c r="W177" s="5"/>
      <c r="X177" s="5"/>
      <c r="Y177" s="5" t="s">
        <v>1055</v>
      </c>
      <c r="Z177" s="5" t="s">
        <v>823</v>
      </c>
      <c r="AA177" s="5" t="s">
        <v>1056</v>
      </c>
      <c r="AB177" s="5" t="s">
        <v>46</v>
      </c>
      <c r="AC177" s="5"/>
      <c r="AD177" s="5" t="b">
        <v>0</v>
      </c>
      <c r="AE177" s="5"/>
      <c r="AF177" s="5"/>
      <c r="AG177" s="9">
        <f t="shared" si="2"/>
        <v>43265</v>
      </c>
    </row>
    <row r="178" s="6" customFormat="1" spans="1:33">
      <c r="A178" s="5" t="s">
        <v>1057</v>
      </c>
      <c r="B178" s="5" t="s">
        <v>1057</v>
      </c>
      <c r="C178" s="5" t="s">
        <v>1058</v>
      </c>
      <c r="D178" s="5" t="s">
        <v>1059</v>
      </c>
      <c r="E178" s="5" t="s">
        <v>36</v>
      </c>
      <c r="F178" s="5" t="s">
        <v>37</v>
      </c>
      <c r="G178" s="5" t="s">
        <v>38</v>
      </c>
      <c r="H178" s="5"/>
      <c r="I178" s="5"/>
      <c r="J178" s="5" t="s">
        <v>39</v>
      </c>
      <c r="K178" s="5" t="s">
        <v>147</v>
      </c>
      <c r="L178" s="5" t="s">
        <v>148</v>
      </c>
      <c r="M178" s="5" t="s">
        <v>149</v>
      </c>
      <c r="N178" s="5" t="s">
        <v>36</v>
      </c>
      <c r="O178" s="5">
        <v>1</v>
      </c>
      <c r="P178" s="5" t="s">
        <v>43</v>
      </c>
      <c r="Q178" s="5">
        <v>12.98</v>
      </c>
      <c r="R178" s="5"/>
      <c r="S178" s="5"/>
      <c r="T178" s="5"/>
      <c r="U178" s="5"/>
      <c r="V178" s="5"/>
      <c r="W178" s="5"/>
      <c r="X178" s="5"/>
      <c r="Y178" s="5" t="s">
        <v>1060</v>
      </c>
      <c r="Z178" s="5" t="s">
        <v>437</v>
      </c>
      <c r="AA178" s="5" t="s">
        <v>1061</v>
      </c>
      <c r="AB178" s="5" t="s">
        <v>46</v>
      </c>
      <c r="AC178" s="5"/>
      <c r="AD178" s="5" t="b">
        <v>0</v>
      </c>
      <c r="AE178" s="5"/>
      <c r="AF178" s="5"/>
      <c r="AG178" s="9">
        <f t="shared" si="2"/>
        <v>43265</v>
      </c>
    </row>
    <row r="179" s="6" customFormat="1" spans="1:33">
      <c r="A179" s="5" t="s">
        <v>1062</v>
      </c>
      <c r="B179" s="5" t="s">
        <v>1062</v>
      </c>
      <c r="C179" s="5" t="s">
        <v>1063</v>
      </c>
      <c r="D179" s="5" t="s">
        <v>1064</v>
      </c>
      <c r="E179" s="5" t="s">
        <v>36</v>
      </c>
      <c r="F179" s="5" t="s">
        <v>37</v>
      </c>
      <c r="G179" s="5" t="s">
        <v>38</v>
      </c>
      <c r="H179" s="5"/>
      <c r="I179" s="5"/>
      <c r="J179" s="5" t="s">
        <v>39</v>
      </c>
      <c r="K179" s="5" t="s">
        <v>209</v>
      </c>
      <c r="L179" s="5" t="s">
        <v>210</v>
      </c>
      <c r="M179" s="5" t="s">
        <v>211</v>
      </c>
      <c r="N179" s="5" t="s">
        <v>36</v>
      </c>
      <c r="O179" s="5">
        <v>1</v>
      </c>
      <c r="P179" s="5" t="s">
        <v>43</v>
      </c>
      <c r="Q179" s="5">
        <v>13.99</v>
      </c>
      <c r="R179" s="5"/>
      <c r="S179" s="5"/>
      <c r="T179" s="5"/>
      <c r="U179" s="5"/>
      <c r="V179" s="5"/>
      <c r="W179" s="5"/>
      <c r="X179" s="5"/>
      <c r="Y179" s="5" t="s">
        <v>536</v>
      </c>
      <c r="Z179" s="5" t="s">
        <v>247</v>
      </c>
      <c r="AA179" s="5" t="s">
        <v>1065</v>
      </c>
      <c r="AB179" s="5" t="s">
        <v>46</v>
      </c>
      <c r="AC179" s="5"/>
      <c r="AD179" s="5" t="b">
        <v>0</v>
      </c>
      <c r="AE179" s="5"/>
      <c r="AF179" s="5"/>
      <c r="AG179" s="9">
        <f t="shared" si="2"/>
        <v>43265</v>
      </c>
    </row>
    <row r="180" s="6" customFormat="1" spans="1:33">
      <c r="A180" s="5" t="s">
        <v>1066</v>
      </c>
      <c r="B180" s="5" t="s">
        <v>1066</v>
      </c>
      <c r="C180" s="5" t="s">
        <v>1067</v>
      </c>
      <c r="D180" s="5" t="s">
        <v>1068</v>
      </c>
      <c r="E180" s="5" t="s">
        <v>36</v>
      </c>
      <c r="F180" s="5" t="s">
        <v>37</v>
      </c>
      <c r="G180" s="5" t="s">
        <v>38</v>
      </c>
      <c r="H180" s="5"/>
      <c r="I180" s="5"/>
      <c r="J180" s="5" t="s">
        <v>39</v>
      </c>
      <c r="K180" s="5" t="s">
        <v>243</v>
      </c>
      <c r="L180" s="5" t="s">
        <v>244</v>
      </c>
      <c r="M180" s="5" t="s">
        <v>245</v>
      </c>
      <c r="N180" s="5" t="s">
        <v>36</v>
      </c>
      <c r="O180" s="5">
        <v>1</v>
      </c>
      <c r="P180" s="5" t="s">
        <v>43</v>
      </c>
      <c r="Q180" s="5">
        <v>18.99</v>
      </c>
      <c r="R180" s="5"/>
      <c r="S180" s="5"/>
      <c r="T180" s="5"/>
      <c r="U180" s="5"/>
      <c r="V180" s="5"/>
      <c r="W180" s="5"/>
      <c r="X180" s="5"/>
      <c r="Y180" s="5" t="s">
        <v>1069</v>
      </c>
      <c r="Z180" s="5" t="s">
        <v>1070</v>
      </c>
      <c r="AA180" s="5" t="s">
        <v>1071</v>
      </c>
      <c r="AB180" s="5" t="s">
        <v>46</v>
      </c>
      <c r="AC180" s="5"/>
      <c r="AD180" s="5" t="b">
        <v>0</v>
      </c>
      <c r="AE180" s="5"/>
      <c r="AF180" s="5"/>
      <c r="AG180" s="9">
        <f t="shared" si="2"/>
        <v>43265</v>
      </c>
    </row>
    <row r="181" s="6" customFormat="1" spans="1:33">
      <c r="A181" s="5" t="s">
        <v>1072</v>
      </c>
      <c r="B181" s="5" t="s">
        <v>1072</v>
      </c>
      <c r="C181" s="5" t="s">
        <v>1073</v>
      </c>
      <c r="D181" s="5" t="s">
        <v>1074</v>
      </c>
      <c r="E181" s="5" t="s">
        <v>36</v>
      </c>
      <c r="F181" s="5" t="s">
        <v>37</v>
      </c>
      <c r="G181" s="5" t="s">
        <v>38</v>
      </c>
      <c r="H181" s="5"/>
      <c r="I181" s="5"/>
      <c r="J181" s="5" t="s">
        <v>39</v>
      </c>
      <c r="K181" s="5" t="s">
        <v>514</v>
      </c>
      <c r="L181" s="5" t="s">
        <v>515</v>
      </c>
      <c r="M181" s="5" t="s">
        <v>516</v>
      </c>
      <c r="N181" s="5" t="s">
        <v>36</v>
      </c>
      <c r="O181" s="5">
        <v>1</v>
      </c>
      <c r="P181" s="5" t="s">
        <v>43</v>
      </c>
      <c r="Q181" s="5">
        <v>14.98</v>
      </c>
      <c r="R181" s="5"/>
      <c r="S181" s="5"/>
      <c r="T181" s="5"/>
      <c r="U181" s="5"/>
      <c r="V181" s="5"/>
      <c r="W181" s="5"/>
      <c r="X181" s="5"/>
      <c r="Y181" s="5" t="s">
        <v>1075</v>
      </c>
      <c r="Z181" s="5" t="s">
        <v>142</v>
      </c>
      <c r="AA181" s="5" t="s">
        <v>1076</v>
      </c>
      <c r="AB181" s="5" t="s">
        <v>46</v>
      </c>
      <c r="AC181" s="5"/>
      <c r="AD181" s="5" t="b">
        <v>0</v>
      </c>
      <c r="AE181" s="5"/>
      <c r="AF181" s="5"/>
      <c r="AG181" s="9">
        <f t="shared" si="2"/>
        <v>43265</v>
      </c>
    </row>
    <row r="182" s="6" customFormat="1" spans="1:33">
      <c r="A182" s="5" t="s">
        <v>1077</v>
      </c>
      <c r="B182" s="5" t="s">
        <v>1077</v>
      </c>
      <c r="C182" s="5" t="s">
        <v>1078</v>
      </c>
      <c r="D182" s="5" t="s">
        <v>1079</v>
      </c>
      <c r="E182" s="5" t="s">
        <v>36</v>
      </c>
      <c r="F182" s="5" t="s">
        <v>37</v>
      </c>
      <c r="G182" s="5" t="s">
        <v>38</v>
      </c>
      <c r="H182" s="5"/>
      <c r="I182" s="5"/>
      <c r="J182" s="5" t="s">
        <v>39</v>
      </c>
      <c r="K182" s="5" t="s">
        <v>83</v>
      </c>
      <c r="L182" s="5" t="s">
        <v>1080</v>
      </c>
      <c r="M182" s="5" t="s">
        <v>85</v>
      </c>
      <c r="N182" s="5" t="s">
        <v>36</v>
      </c>
      <c r="O182" s="5">
        <v>1</v>
      </c>
      <c r="P182" s="5" t="s">
        <v>43</v>
      </c>
      <c r="Q182" s="5">
        <v>12.99</v>
      </c>
      <c r="R182" s="5"/>
      <c r="S182" s="5"/>
      <c r="T182" s="5"/>
      <c r="U182" s="5"/>
      <c r="V182" s="5"/>
      <c r="W182" s="5"/>
      <c r="X182" s="5"/>
      <c r="Y182" s="5" t="s">
        <v>1081</v>
      </c>
      <c r="Z182" s="5" t="s">
        <v>732</v>
      </c>
      <c r="AA182" s="5" t="s">
        <v>1082</v>
      </c>
      <c r="AB182" s="5" t="s">
        <v>46</v>
      </c>
      <c r="AC182" s="5"/>
      <c r="AD182" s="5" t="b">
        <v>0</v>
      </c>
      <c r="AE182" s="5"/>
      <c r="AF182" s="5"/>
      <c r="AG182" s="9">
        <f t="shared" si="2"/>
        <v>43265</v>
      </c>
    </row>
    <row r="183" s="6" customFormat="1" spans="1:33">
      <c r="A183" s="5" t="s">
        <v>1083</v>
      </c>
      <c r="B183" s="5" t="s">
        <v>1083</v>
      </c>
      <c r="C183" s="5" t="s">
        <v>1084</v>
      </c>
      <c r="D183" s="5" t="s">
        <v>1085</v>
      </c>
      <c r="E183" s="5" t="s">
        <v>36</v>
      </c>
      <c r="F183" s="5" t="s">
        <v>37</v>
      </c>
      <c r="G183" s="5" t="s">
        <v>38</v>
      </c>
      <c r="H183" s="5"/>
      <c r="I183" s="5"/>
      <c r="J183" s="5" t="s">
        <v>39</v>
      </c>
      <c r="K183" s="5" t="s">
        <v>387</v>
      </c>
      <c r="L183" s="5" t="s">
        <v>388</v>
      </c>
      <c r="M183" s="5" t="s">
        <v>389</v>
      </c>
      <c r="N183" s="5" t="s">
        <v>36</v>
      </c>
      <c r="O183" s="5">
        <v>1</v>
      </c>
      <c r="P183" s="5" t="s">
        <v>43</v>
      </c>
      <c r="Q183" s="5">
        <v>18.99</v>
      </c>
      <c r="R183" s="5"/>
      <c r="S183" s="5"/>
      <c r="T183" s="5"/>
      <c r="U183" s="5"/>
      <c r="V183" s="5"/>
      <c r="W183" s="5"/>
      <c r="X183" s="5"/>
      <c r="Y183" s="5" t="s">
        <v>196</v>
      </c>
      <c r="Z183" s="5" t="s">
        <v>54</v>
      </c>
      <c r="AA183" s="5" t="s">
        <v>1086</v>
      </c>
      <c r="AB183" s="5" t="s">
        <v>46</v>
      </c>
      <c r="AC183" s="5"/>
      <c r="AD183" s="5" t="b">
        <v>0</v>
      </c>
      <c r="AE183" s="5"/>
      <c r="AF183" s="5"/>
      <c r="AG183" s="9">
        <f t="shared" si="2"/>
        <v>43265</v>
      </c>
    </row>
    <row r="184" s="6" customFormat="1" spans="1:33">
      <c r="A184" s="5" t="s">
        <v>1087</v>
      </c>
      <c r="B184" s="5" t="s">
        <v>1087</v>
      </c>
      <c r="C184" s="5" t="s">
        <v>1088</v>
      </c>
      <c r="D184" s="5" t="s">
        <v>1089</v>
      </c>
      <c r="E184" s="5" t="s">
        <v>36</v>
      </c>
      <c r="F184" s="5" t="s">
        <v>37</v>
      </c>
      <c r="G184" s="5" t="s">
        <v>38</v>
      </c>
      <c r="H184" s="5"/>
      <c r="I184" s="5"/>
      <c r="J184" s="5" t="s">
        <v>39</v>
      </c>
      <c r="K184" s="5" t="s">
        <v>147</v>
      </c>
      <c r="L184" s="5" t="s">
        <v>148</v>
      </c>
      <c r="M184" s="5" t="s">
        <v>149</v>
      </c>
      <c r="N184" s="5" t="s">
        <v>36</v>
      </c>
      <c r="O184" s="5">
        <v>1</v>
      </c>
      <c r="P184" s="5" t="s">
        <v>43</v>
      </c>
      <c r="Q184" s="5">
        <v>12.98</v>
      </c>
      <c r="R184" s="5"/>
      <c r="S184" s="5"/>
      <c r="T184" s="5"/>
      <c r="U184" s="5"/>
      <c r="V184" s="5"/>
      <c r="W184" s="5"/>
      <c r="X184" s="5"/>
      <c r="Y184" s="5" t="s">
        <v>1090</v>
      </c>
      <c r="Z184" s="5" t="s">
        <v>273</v>
      </c>
      <c r="AA184" s="5" t="s">
        <v>1091</v>
      </c>
      <c r="AB184" s="5" t="s">
        <v>46</v>
      </c>
      <c r="AC184" s="5"/>
      <c r="AD184" s="5" t="b">
        <v>0</v>
      </c>
      <c r="AE184" s="5"/>
      <c r="AF184" s="5"/>
      <c r="AG184" s="9">
        <f t="shared" si="2"/>
        <v>43265</v>
      </c>
    </row>
    <row r="185" s="6" customFormat="1" spans="1:33">
      <c r="A185" s="5" t="s">
        <v>1092</v>
      </c>
      <c r="B185" s="5" t="s">
        <v>1092</v>
      </c>
      <c r="C185" s="5" t="s">
        <v>1093</v>
      </c>
      <c r="D185" s="5" t="s">
        <v>1094</v>
      </c>
      <c r="E185" s="5" t="s">
        <v>36</v>
      </c>
      <c r="F185" s="5" t="s">
        <v>37</v>
      </c>
      <c r="G185" s="5" t="s">
        <v>38</v>
      </c>
      <c r="H185" s="5"/>
      <c r="I185" s="5"/>
      <c r="J185" s="5" t="s">
        <v>39</v>
      </c>
      <c r="K185" s="5" t="s">
        <v>101</v>
      </c>
      <c r="L185" s="5" t="s">
        <v>102</v>
      </c>
      <c r="M185" s="5" t="s">
        <v>103</v>
      </c>
      <c r="N185" s="5" t="s">
        <v>36</v>
      </c>
      <c r="O185" s="5">
        <v>1</v>
      </c>
      <c r="P185" s="5" t="s">
        <v>43</v>
      </c>
      <c r="Q185" s="5">
        <v>12.99</v>
      </c>
      <c r="R185" s="5">
        <v>0.78</v>
      </c>
      <c r="S185" s="5"/>
      <c r="T185" s="5"/>
      <c r="U185" s="5"/>
      <c r="V185" s="5"/>
      <c r="W185" s="5"/>
      <c r="X185" s="5"/>
      <c r="Y185" s="5" t="s">
        <v>1095</v>
      </c>
      <c r="Z185" s="5" t="s">
        <v>1096</v>
      </c>
      <c r="AA185" s="5" t="s">
        <v>1097</v>
      </c>
      <c r="AB185" s="5" t="s">
        <v>46</v>
      </c>
      <c r="AC185" s="5"/>
      <c r="AD185" s="5" t="b">
        <v>0</v>
      </c>
      <c r="AE185" s="5"/>
      <c r="AF185" s="5"/>
      <c r="AG185" s="9">
        <f t="shared" si="2"/>
        <v>43265</v>
      </c>
    </row>
    <row r="186" s="6" customFormat="1" spans="1:33">
      <c r="A186" s="5" t="s">
        <v>1098</v>
      </c>
      <c r="B186" s="5" t="s">
        <v>1098</v>
      </c>
      <c r="C186" s="5" t="s">
        <v>1099</v>
      </c>
      <c r="D186" s="5" t="s">
        <v>1100</v>
      </c>
      <c r="E186" s="5" t="s">
        <v>36</v>
      </c>
      <c r="F186" s="5" t="s">
        <v>37</v>
      </c>
      <c r="G186" s="5" t="s">
        <v>38</v>
      </c>
      <c r="H186" s="5"/>
      <c r="I186" s="5"/>
      <c r="J186" s="5" t="s">
        <v>128</v>
      </c>
      <c r="K186" s="5" t="s">
        <v>75</v>
      </c>
      <c r="L186" s="5" t="s">
        <v>76</v>
      </c>
      <c r="M186" s="5" t="s">
        <v>77</v>
      </c>
      <c r="N186" s="5" t="s">
        <v>36</v>
      </c>
      <c r="O186" s="5">
        <v>1</v>
      </c>
      <c r="P186" s="5" t="s">
        <v>43</v>
      </c>
      <c r="Q186" s="5">
        <v>12.99</v>
      </c>
      <c r="R186" s="5"/>
      <c r="S186" s="5"/>
      <c r="T186" s="5"/>
      <c r="U186" s="5"/>
      <c r="V186" s="5"/>
      <c r="W186" s="5"/>
      <c r="X186" s="5"/>
      <c r="Y186" s="5" t="s">
        <v>1101</v>
      </c>
      <c r="Z186" s="5" t="s">
        <v>377</v>
      </c>
      <c r="AA186" s="5" t="s">
        <v>1102</v>
      </c>
      <c r="AB186" s="5" t="s">
        <v>46</v>
      </c>
      <c r="AC186" s="5"/>
      <c r="AD186" s="5" t="b">
        <v>0</v>
      </c>
      <c r="AE186" s="5"/>
      <c r="AF186" s="5"/>
      <c r="AG186" s="9">
        <f t="shared" si="2"/>
        <v>43265</v>
      </c>
    </row>
    <row r="187" s="6" customFormat="1" spans="1:33">
      <c r="A187" s="5" t="s">
        <v>1103</v>
      </c>
      <c r="B187" s="5" t="s">
        <v>1103</v>
      </c>
      <c r="C187" s="5" t="s">
        <v>1104</v>
      </c>
      <c r="D187" s="5" t="s">
        <v>1105</v>
      </c>
      <c r="E187" s="5" t="s">
        <v>36</v>
      </c>
      <c r="F187" s="5" t="s">
        <v>37</v>
      </c>
      <c r="G187" s="5" t="s">
        <v>38</v>
      </c>
      <c r="H187" s="5"/>
      <c r="I187" s="5"/>
      <c r="J187" s="5" t="s">
        <v>39</v>
      </c>
      <c r="K187" s="5" t="s">
        <v>541</v>
      </c>
      <c r="L187" s="5" t="s">
        <v>1106</v>
      </c>
      <c r="M187" s="5" t="s">
        <v>1107</v>
      </c>
      <c r="N187" s="5" t="s">
        <v>36</v>
      </c>
      <c r="O187" s="5">
        <v>1</v>
      </c>
      <c r="P187" s="5" t="s">
        <v>43</v>
      </c>
      <c r="Q187" s="5">
        <v>10.98</v>
      </c>
      <c r="R187" s="5"/>
      <c r="S187" s="5"/>
      <c r="T187" s="5"/>
      <c r="U187" s="5"/>
      <c r="V187" s="5"/>
      <c r="W187" s="5"/>
      <c r="X187" s="5"/>
      <c r="Y187" s="5" t="s">
        <v>1108</v>
      </c>
      <c r="Z187" s="5" t="s">
        <v>255</v>
      </c>
      <c r="AA187" s="5" t="s">
        <v>1109</v>
      </c>
      <c r="AB187" s="5" t="s">
        <v>46</v>
      </c>
      <c r="AC187" s="5"/>
      <c r="AD187" s="5" t="b">
        <v>0</v>
      </c>
      <c r="AE187" s="5"/>
      <c r="AF187" s="5"/>
      <c r="AG187" s="9">
        <f t="shared" si="2"/>
        <v>43265</v>
      </c>
    </row>
    <row r="188" s="6" customFormat="1" spans="1:33">
      <c r="A188" s="5" t="s">
        <v>1110</v>
      </c>
      <c r="B188" s="5" t="s">
        <v>1110</v>
      </c>
      <c r="C188" s="5" t="s">
        <v>1111</v>
      </c>
      <c r="D188" s="5" t="s">
        <v>1112</v>
      </c>
      <c r="E188" s="5" t="s">
        <v>36</v>
      </c>
      <c r="F188" s="5" t="s">
        <v>37</v>
      </c>
      <c r="G188" s="5" t="s">
        <v>38</v>
      </c>
      <c r="H188" s="5"/>
      <c r="I188" s="5"/>
      <c r="J188" s="5" t="s">
        <v>39</v>
      </c>
      <c r="K188" s="5" t="s">
        <v>1113</v>
      </c>
      <c r="L188" s="5" t="s">
        <v>1114</v>
      </c>
      <c r="M188" s="5" t="s">
        <v>1115</v>
      </c>
      <c r="N188" s="5" t="s">
        <v>36</v>
      </c>
      <c r="O188" s="5">
        <v>1</v>
      </c>
      <c r="P188" s="5" t="s">
        <v>43</v>
      </c>
      <c r="Q188" s="5">
        <v>22.98</v>
      </c>
      <c r="R188" s="5"/>
      <c r="S188" s="5"/>
      <c r="T188" s="5"/>
      <c r="U188" s="5"/>
      <c r="V188" s="5"/>
      <c r="W188" s="5"/>
      <c r="X188" s="5"/>
      <c r="Y188" s="5" t="s">
        <v>763</v>
      </c>
      <c r="Z188" s="5" t="s">
        <v>282</v>
      </c>
      <c r="AA188" s="5" t="s">
        <v>1116</v>
      </c>
      <c r="AB188" s="5" t="s">
        <v>46</v>
      </c>
      <c r="AC188" s="5"/>
      <c r="AD188" s="5" t="b">
        <v>0</v>
      </c>
      <c r="AE188" s="5"/>
      <c r="AF188" s="5"/>
      <c r="AG188" s="9">
        <f t="shared" si="2"/>
        <v>43265</v>
      </c>
    </row>
    <row r="189" s="6" customFormat="1" spans="1:33">
      <c r="A189" s="5" t="s">
        <v>1117</v>
      </c>
      <c r="B189" s="5" t="s">
        <v>1118</v>
      </c>
      <c r="C189" s="5" t="s">
        <v>1119</v>
      </c>
      <c r="D189" s="5" t="s">
        <v>1120</v>
      </c>
      <c r="E189" s="5" t="s">
        <v>36</v>
      </c>
      <c r="F189" s="5" t="s">
        <v>37</v>
      </c>
      <c r="G189" s="5" t="s">
        <v>1121</v>
      </c>
      <c r="H189" s="5"/>
      <c r="I189" s="5"/>
      <c r="J189" s="5" t="s">
        <v>128</v>
      </c>
      <c r="K189" s="5" t="s">
        <v>409</v>
      </c>
      <c r="L189" s="5" t="s">
        <v>1122</v>
      </c>
      <c r="M189" s="5" t="s">
        <v>1123</v>
      </c>
      <c r="N189" s="5" t="s">
        <v>833</v>
      </c>
      <c r="O189" s="5">
        <v>1</v>
      </c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 t="b">
        <v>0</v>
      </c>
      <c r="AE189" s="5"/>
      <c r="AF189" s="5"/>
      <c r="AG189" s="9">
        <f t="shared" si="2"/>
        <v>43266</v>
      </c>
    </row>
    <row r="190" s="6" customFormat="1" spans="1:33">
      <c r="A190" s="5" t="s">
        <v>1124</v>
      </c>
      <c r="B190" s="5" t="s">
        <v>1124</v>
      </c>
      <c r="C190" s="5" t="s">
        <v>1125</v>
      </c>
      <c r="D190" s="5" t="s">
        <v>1126</v>
      </c>
      <c r="E190" s="5" t="s">
        <v>36</v>
      </c>
      <c r="F190" s="5" t="s">
        <v>37</v>
      </c>
      <c r="G190" s="5" t="s">
        <v>38</v>
      </c>
      <c r="H190" s="5"/>
      <c r="I190" s="5"/>
      <c r="J190" s="5" t="s">
        <v>39</v>
      </c>
      <c r="K190" s="5" t="s">
        <v>101</v>
      </c>
      <c r="L190" s="5" t="s">
        <v>102</v>
      </c>
      <c r="M190" s="5" t="s">
        <v>103</v>
      </c>
      <c r="N190" s="5" t="s">
        <v>36</v>
      </c>
      <c r="O190" s="5">
        <v>1</v>
      </c>
      <c r="P190" s="5" t="s">
        <v>43</v>
      </c>
      <c r="Q190" s="5">
        <v>12.99</v>
      </c>
      <c r="R190" s="5"/>
      <c r="S190" s="5"/>
      <c r="T190" s="5"/>
      <c r="U190" s="5"/>
      <c r="V190" s="5"/>
      <c r="W190" s="5"/>
      <c r="X190" s="5"/>
      <c r="Y190" s="5" t="s">
        <v>1127</v>
      </c>
      <c r="Z190" s="5" t="s">
        <v>54</v>
      </c>
      <c r="AA190" s="5">
        <v>93065</v>
      </c>
      <c r="AB190" s="5" t="s">
        <v>46</v>
      </c>
      <c r="AC190" s="5"/>
      <c r="AD190" s="5" t="b">
        <v>0</v>
      </c>
      <c r="AE190" s="5"/>
      <c r="AF190" s="5"/>
      <c r="AG190" s="9">
        <f t="shared" si="2"/>
        <v>43266</v>
      </c>
    </row>
    <row r="191" s="6" customFormat="1" spans="1:33">
      <c r="A191" s="5" t="s">
        <v>1128</v>
      </c>
      <c r="B191" s="5" t="s">
        <v>1128</v>
      </c>
      <c r="C191" s="5" t="s">
        <v>1129</v>
      </c>
      <c r="D191" s="5" t="s">
        <v>1130</v>
      </c>
      <c r="E191" s="5" t="s">
        <v>36</v>
      </c>
      <c r="F191" s="5" t="s">
        <v>37</v>
      </c>
      <c r="G191" s="5" t="s">
        <v>38</v>
      </c>
      <c r="H191" s="5"/>
      <c r="I191" s="5"/>
      <c r="J191" s="5" t="s">
        <v>39</v>
      </c>
      <c r="K191" s="5" t="s">
        <v>243</v>
      </c>
      <c r="L191" s="5" t="s">
        <v>301</v>
      </c>
      <c r="M191" s="5" t="s">
        <v>245</v>
      </c>
      <c r="N191" s="5" t="s">
        <v>36</v>
      </c>
      <c r="O191" s="5">
        <v>2</v>
      </c>
      <c r="P191" s="5" t="s">
        <v>43</v>
      </c>
      <c r="Q191" s="5">
        <v>37.98</v>
      </c>
      <c r="R191" s="5"/>
      <c r="S191" s="5"/>
      <c r="T191" s="5"/>
      <c r="U191" s="5"/>
      <c r="V191" s="5"/>
      <c r="W191" s="5">
        <v>1.9</v>
      </c>
      <c r="X191" s="5"/>
      <c r="Y191" s="5" t="s">
        <v>1131</v>
      </c>
      <c r="Z191" s="5" t="s">
        <v>391</v>
      </c>
      <c r="AA191" s="5" t="s">
        <v>1132</v>
      </c>
      <c r="AB191" s="5" t="s">
        <v>46</v>
      </c>
      <c r="AC191" s="5" t="s">
        <v>115</v>
      </c>
      <c r="AD191" s="5" t="b">
        <v>0</v>
      </c>
      <c r="AE191" s="5"/>
      <c r="AF191" s="5"/>
      <c r="AG191" s="9">
        <f t="shared" si="2"/>
        <v>43266</v>
      </c>
    </row>
    <row r="192" s="6" customFormat="1" spans="1:33">
      <c r="A192" s="5" t="s">
        <v>1133</v>
      </c>
      <c r="B192" s="5" t="s">
        <v>1133</v>
      </c>
      <c r="C192" s="5" t="s">
        <v>1134</v>
      </c>
      <c r="D192" s="5" t="s">
        <v>1135</v>
      </c>
      <c r="E192" s="5" t="s">
        <v>36</v>
      </c>
      <c r="F192" s="5" t="s">
        <v>37</v>
      </c>
      <c r="G192" s="5" t="s">
        <v>38</v>
      </c>
      <c r="H192" s="5"/>
      <c r="I192" s="5"/>
      <c r="J192" s="5" t="s">
        <v>39</v>
      </c>
      <c r="K192" s="5" t="s">
        <v>541</v>
      </c>
      <c r="L192" s="5" t="s">
        <v>1106</v>
      </c>
      <c r="M192" s="5" t="s">
        <v>1107</v>
      </c>
      <c r="N192" s="5" t="s">
        <v>36</v>
      </c>
      <c r="O192" s="5">
        <v>2</v>
      </c>
      <c r="P192" s="5" t="s">
        <v>43</v>
      </c>
      <c r="Q192" s="5">
        <v>21.96</v>
      </c>
      <c r="R192" s="5"/>
      <c r="S192" s="5"/>
      <c r="T192" s="5"/>
      <c r="U192" s="5"/>
      <c r="V192" s="5"/>
      <c r="W192" s="5"/>
      <c r="X192" s="5"/>
      <c r="Y192" s="5" t="s">
        <v>946</v>
      </c>
      <c r="Z192" s="5" t="s">
        <v>247</v>
      </c>
      <c r="AA192" s="5" t="s">
        <v>1136</v>
      </c>
      <c r="AB192" s="5" t="s">
        <v>46</v>
      </c>
      <c r="AC192" s="5"/>
      <c r="AD192" s="5" t="b">
        <v>0</v>
      </c>
      <c r="AE192" s="5"/>
      <c r="AF192" s="5"/>
      <c r="AG192" s="9">
        <f t="shared" si="2"/>
        <v>43266</v>
      </c>
    </row>
    <row r="193" s="6" customFormat="1" spans="1:33">
      <c r="A193" s="5" t="s">
        <v>1137</v>
      </c>
      <c r="B193" s="5" t="s">
        <v>1137</v>
      </c>
      <c r="C193" s="5" t="s">
        <v>1138</v>
      </c>
      <c r="D193" s="5" t="s">
        <v>1139</v>
      </c>
      <c r="E193" s="5" t="s">
        <v>36</v>
      </c>
      <c r="F193" s="5" t="s">
        <v>37</v>
      </c>
      <c r="G193" s="5" t="s">
        <v>38</v>
      </c>
      <c r="H193" s="5"/>
      <c r="I193" s="5"/>
      <c r="J193" s="5" t="s">
        <v>39</v>
      </c>
      <c r="K193" s="5" t="s">
        <v>75</v>
      </c>
      <c r="L193" s="5" t="s">
        <v>76</v>
      </c>
      <c r="M193" s="5" t="s">
        <v>77</v>
      </c>
      <c r="N193" s="5" t="s">
        <v>36</v>
      </c>
      <c r="O193" s="5">
        <v>1</v>
      </c>
      <c r="P193" s="5" t="s">
        <v>43</v>
      </c>
      <c r="Q193" s="5">
        <v>12.99</v>
      </c>
      <c r="R193" s="5"/>
      <c r="S193" s="5"/>
      <c r="T193" s="5"/>
      <c r="U193" s="5"/>
      <c r="V193" s="5"/>
      <c r="W193" s="5"/>
      <c r="X193" s="5"/>
      <c r="Y193" s="5" t="s">
        <v>1140</v>
      </c>
      <c r="Z193" s="5" t="s">
        <v>1141</v>
      </c>
      <c r="AA193" s="5">
        <v>29615</v>
      </c>
      <c r="AB193" s="5" t="s">
        <v>46</v>
      </c>
      <c r="AC193" s="5"/>
      <c r="AD193" s="5" t="b">
        <v>0</v>
      </c>
      <c r="AE193" s="5"/>
      <c r="AF193" s="5"/>
      <c r="AG193" s="9">
        <f t="shared" si="2"/>
        <v>43266</v>
      </c>
    </row>
    <row r="194" s="6" customFormat="1" spans="1:33">
      <c r="A194" s="5" t="s">
        <v>1142</v>
      </c>
      <c r="B194" s="5" t="s">
        <v>1142</v>
      </c>
      <c r="C194" s="5" t="s">
        <v>1143</v>
      </c>
      <c r="D194" s="5" t="s">
        <v>1144</v>
      </c>
      <c r="E194" s="5" t="s">
        <v>36</v>
      </c>
      <c r="F194" s="5" t="s">
        <v>37</v>
      </c>
      <c r="G194" s="5" t="s">
        <v>38</v>
      </c>
      <c r="H194" s="5"/>
      <c r="I194" s="5"/>
      <c r="J194" s="5" t="s">
        <v>39</v>
      </c>
      <c r="K194" s="5" t="s">
        <v>434</v>
      </c>
      <c r="L194" s="5" t="s">
        <v>435</v>
      </c>
      <c r="M194" s="5" t="s">
        <v>436</v>
      </c>
      <c r="N194" s="5" t="s">
        <v>36</v>
      </c>
      <c r="O194" s="5">
        <v>1</v>
      </c>
      <c r="P194" s="5" t="s">
        <v>43</v>
      </c>
      <c r="Q194" s="5">
        <v>13.99</v>
      </c>
      <c r="R194" s="5"/>
      <c r="S194" s="5"/>
      <c r="T194" s="5"/>
      <c r="U194" s="5"/>
      <c r="V194" s="5"/>
      <c r="W194" s="5"/>
      <c r="X194" s="5"/>
      <c r="Y194" s="5" t="s">
        <v>1145</v>
      </c>
      <c r="Z194" s="5" t="s">
        <v>151</v>
      </c>
      <c r="AA194" s="5" t="s">
        <v>1146</v>
      </c>
      <c r="AB194" s="5" t="s">
        <v>46</v>
      </c>
      <c r="AC194" s="5"/>
      <c r="AD194" s="5" t="b">
        <v>0</v>
      </c>
      <c r="AE194" s="5"/>
      <c r="AF194" s="5"/>
      <c r="AG194" s="9">
        <f t="shared" ref="AG194:AG257" si="3">DATEVALUE(LEFT(C194,10))</f>
        <v>43266</v>
      </c>
    </row>
    <row r="195" s="6" customFormat="1" spans="1:33">
      <c r="A195" s="5" t="s">
        <v>1147</v>
      </c>
      <c r="B195" s="5" t="s">
        <v>1147</v>
      </c>
      <c r="C195" s="5" t="s">
        <v>1148</v>
      </c>
      <c r="D195" s="5" t="s">
        <v>1149</v>
      </c>
      <c r="E195" s="5" t="s">
        <v>36</v>
      </c>
      <c r="F195" s="5" t="s">
        <v>37</v>
      </c>
      <c r="G195" s="5" t="s">
        <v>38</v>
      </c>
      <c r="H195" s="5"/>
      <c r="I195" s="5"/>
      <c r="J195" s="5" t="s">
        <v>39</v>
      </c>
      <c r="K195" s="5" t="s">
        <v>434</v>
      </c>
      <c r="L195" s="5" t="s">
        <v>435</v>
      </c>
      <c r="M195" s="5" t="s">
        <v>436</v>
      </c>
      <c r="N195" s="5" t="s">
        <v>36</v>
      </c>
      <c r="O195" s="5">
        <v>1</v>
      </c>
      <c r="P195" s="5" t="s">
        <v>43</v>
      </c>
      <c r="Q195" s="5">
        <v>13.99</v>
      </c>
      <c r="R195" s="5"/>
      <c r="S195" s="5"/>
      <c r="T195" s="5"/>
      <c r="U195" s="5"/>
      <c r="V195" s="5"/>
      <c r="W195" s="5"/>
      <c r="X195" s="5"/>
      <c r="Y195" s="5" t="s">
        <v>499</v>
      </c>
      <c r="Z195" s="5" t="s">
        <v>500</v>
      </c>
      <c r="AA195" s="5">
        <v>85206</v>
      </c>
      <c r="AB195" s="5" t="s">
        <v>46</v>
      </c>
      <c r="AC195" s="5"/>
      <c r="AD195" s="5" t="b">
        <v>0</v>
      </c>
      <c r="AE195" s="5"/>
      <c r="AF195" s="5"/>
      <c r="AG195" s="9">
        <f t="shared" si="3"/>
        <v>43266</v>
      </c>
    </row>
    <row r="196" s="6" customFormat="1" spans="1:33">
      <c r="A196" s="5" t="s">
        <v>1150</v>
      </c>
      <c r="B196" s="5" t="s">
        <v>1150</v>
      </c>
      <c r="C196" s="5" t="s">
        <v>1151</v>
      </c>
      <c r="D196" s="5" t="s">
        <v>1152</v>
      </c>
      <c r="E196" s="5" t="s">
        <v>36</v>
      </c>
      <c r="F196" s="5" t="s">
        <v>37</v>
      </c>
      <c r="G196" s="5" t="s">
        <v>38</v>
      </c>
      <c r="H196" s="5"/>
      <c r="I196" s="5"/>
      <c r="J196" s="5" t="s">
        <v>39</v>
      </c>
      <c r="K196" s="5" t="s">
        <v>110</v>
      </c>
      <c r="L196" s="5" t="s">
        <v>111</v>
      </c>
      <c r="M196" s="5" t="s">
        <v>112</v>
      </c>
      <c r="N196" s="5" t="s">
        <v>36</v>
      </c>
      <c r="O196" s="5">
        <v>1</v>
      </c>
      <c r="P196" s="5" t="s">
        <v>43</v>
      </c>
      <c r="Q196" s="5">
        <v>12.99</v>
      </c>
      <c r="R196" s="5"/>
      <c r="S196" s="5"/>
      <c r="T196" s="5"/>
      <c r="U196" s="5"/>
      <c r="V196" s="5"/>
      <c r="W196" s="5"/>
      <c r="X196" s="5"/>
      <c r="Y196" s="5" t="s">
        <v>1153</v>
      </c>
      <c r="Z196" s="5" t="s">
        <v>223</v>
      </c>
      <c r="AA196" s="5" t="s">
        <v>1154</v>
      </c>
      <c r="AB196" s="5" t="s">
        <v>46</v>
      </c>
      <c r="AC196" s="5"/>
      <c r="AD196" s="5" t="b">
        <v>0</v>
      </c>
      <c r="AE196" s="5"/>
      <c r="AF196" s="5"/>
      <c r="AG196" s="9">
        <f t="shared" si="3"/>
        <v>43266</v>
      </c>
    </row>
    <row r="197" s="6" customFormat="1" spans="1:33">
      <c r="A197" s="5" t="s">
        <v>1155</v>
      </c>
      <c r="B197" s="5" t="s">
        <v>1155</v>
      </c>
      <c r="C197" s="5" t="s">
        <v>1156</v>
      </c>
      <c r="D197" s="5" t="s">
        <v>1157</v>
      </c>
      <c r="E197" s="5" t="s">
        <v>36</v>
      </c>
      <c r="F197" s="5" t="s">
        <v>37</v>
      </c>
      <c r="G197" s="5" t="s">
        <v>38</v>
      </c>
      <c r="H197" s="5"/>
      <c r="I197" s="5"/>
      <c r="J197" s="5" t="s">
        <v>39</v>
      </c>
      <c r="K197" s="5" t="s">
        <v>641</v>
      </c>
      <c r="L197" s="5" t="s">
        <v>1158</v>
      </c>
      <c r="M197" s="5" t="s">
        <v>1159</v>
      </c>
      <c r="N197" s="5" t="s">
        <v>36</v>
      </c>
      <c r="O197" s="5">
        <v>1</v>
      </c>
      <c r="P197" s="5" t="s">
        <v>43</v>
      </c>
      <c r="Q197" s="5">
        <v>20</v>
      </c>
      <c r="R197" s="5"/>
      <c r="S197" s="5"/>
      <c r="T197" s="5"/>
      <c r="U197" s="5"/>
      <c r="V197" s="5"/>
      <c r="W197" s="5"/>
      <c r="X197" s="5"/>
      <c r="Y197" s="5" t="s">
        <v>1160</v>
      </c>
      <c r="Z197" s="5" t="s">
        <v>183</v>
      </c>
      <c r="AA197" s="5" t="s">
        <v>1161</v>
      </c>
      <c r="AB197" s="5" t="s">
        <v>46</v>
      </c>
      <c r="AC197" s="5" t="s">
        <v>172</v>
      </c>
      <c r="AD197" s="5" t="b">
        <v>0</v>
      </c>
      <c r="AE197" s="5"/>
      <c r="AF197" s="5"/>
      <c r="AG197" s="9">
        <f t="shared" si="3"/>
        <v>43266</v>
      </c>
    </row>
    <row r="198" s="6" customFormat="1" spans="1:33">
      <c r="A198" s="5" t="s">
        <v>1162</v>
      </c>
      <c r="B198" s="5" t="s">
        <v>1162</v>
      </c>
      <c r="C198" s="5" t="s">
        <v>1163</v>
      </c>
      <c r="D198" s="5" t="s">
        <v>1164</v>
      </c>
      <c r="E198" s="5" t="s">
        <v>36</v>
      </c>
      <c r="F198" s="5" t="s">
        <v>37</v>
      </c>
      <c r="G198" s="5" t="s">
        <v>38</v>
      </c>
      <c r="H198" s="5"/>
      <c r="I198" s="5"/>
      <c r="J198" s="5" t="s">
        <v>39</v>
      </c>
      <c r="K198" s="5" t="s">
        <v>75</v>
      </c>
      <c r="L198" s="5" t="s">
        <v>76</v>
      </c>
      <c r="M198" s="5" t="s">
        <v>77</v>
      </c>
      <c r="N198" s="5" t="s">
        <v>36</v>
      </c>
      <c r="O198" s="5">
        <v>1</v>
      </c>
      <c r="P198" s="5" t="s">
        <v>43</v>
      </c>
      <c r="Q198" s="5">
        <v>12.99</v>
      </c>
      <c r="R198" s="5"/>
      <c r="S198" s="5"/>
      <c r="T198" s="5"/>
      <c r="U198" s="5"/>
      <c r="V198" s="5"/>
      <c r="W198" s="5"/>
      <c r="X198" s="5"/>
      <c r="Y198" s="5" t="s">
        <v>1165</v>
      </c>
      <c r="Z198" s="5" t="s">
        <v>62</v>
      </c>
      <c r="AA198" s="5">
        <v>78639</v>
      </c>
      <c r="AB198" s="5" t="s">
        <v>46</v>
      </c>
      <c r="AC198" s="5"/>
      <c r="AD198" s="5" t="b">
        <v>0</v>
      </c>
      <c r="AE198" s="5"/>
      <c r="AF198" s="5"/>
      <c r="AG198" s="9">
        <f t="shared" si="3"/>
        <v>43266</v>
      </c>
    </row>
    <row r="199" s="6" customFormat="1" spans="1:33">
      <c r="A199" s="5" t="s">
        <v>1166</v>
      </c>
      <c r="B199" s="5" t="s">
        <v>1166</v>
      </c>
      <c r="C199" s="5" t="s">
        <v>1167</v>
      </c>
      <c r="D199" s="5" t="s">
        <v>1168</v>
      </c>
      <c r="E199" s="5" t="s">
        <v>36</v>
      </c>
      <c r="F199" s="5" t="s">
        <v>37</v>
      </c>
      <c r="G199" s="5" t="s">
        <v>38</v>
      </c>
      <c r="H199" s="5"/>
      <c r="I199" s="5"/>
      <c r="J199" s="5" t="s">
        <v>39</v>
      </c>
      <c r="K199" s="5" t="s">
        <v>50</v>
      </c>
      <c r="L199" s="5" t="s">
        <v>51</v>
      </c>
      <c r="M199" s="5" t="s">
        <v>52</v>
      </c>
      <c r="N199" s="5" t="s">
        <v>36</v>
      </c>
      <c r="O199" s="5">
        <v>1</v>
      </c>
      <c r="P199" s="5" t="s">
        <v>43</v>
      </c>
      <c r="Q199" s="5">
        <v>18.99</v>
      </c>
      <c r="R199" s="5"/>
      <c r="S199" s="5"/>
      <c r="T199" s="5"/>
      <c r="U199" s="5"/>
      <c r="V199" s="5"/>
      <c r="W199" s="5"/>
      <c r="X199" s="5"/>
      <c r="Y199" s="5" t="s">
        <v>1169</v>
      </c>
      <c r="Z199" s="5" t="s">
        <v>142</v>
      </c>
      <c r="AA199" s="5" t="s">
        <v>1170</v>
      </c>
      <c r="AB199" s="5" t="s">
        <v>46</v>
      </c>
      <c r="AC199" s="5"/>
      <c r="AD199" s="5" t="b">
        <v>0</v>
      </c>
      <c r="AE199" s="5"/>
      <c r="AF199" s="5"/>
      <c r="AG199" s="9">
        <f t="shared" si="3"/>
        <v>43266</v>
      </c>
    </row>
    <row r="200" s="6" customFormat="1" spans="1:33">
      <c r="A200" s="5" t="s">
        <v>1171</v>
      </c>
      <c r="B200" s="5" t="s">
        <v>1171</v>
      </c>
      <c r="C200" s="5" t="s">
        <v>1172</v>
      </c>
      <c r="D200" s="5" t="s">
        <v>1173</v>
      </c>
      <c r="E200" s="5" t="s">
        <v>36</v>
      </c>
      <c r="F200" s="5" t="s">
        <v>37</v>
      </c>
      <c r="G200" s="5" t="s">
        <v>38</v>
      </c>
      <c r="H200" s="5"/>
      <c r="I200" s="5"/>
      <c r="J200" s="5" t="s">
        <v>39</v>
      </c>
      <c r="K200" s="5" t="s">
        <v>570</v>
      </c>
      <c r="L200" s="5" t="s">
        <v>578</v>
      </c>
      <c r="M200" s="5" t="s">
        <v>572</v>
      </c>
      <c r="N200" s="5" t="s">
        <v>36</v>
      </c>
      <c r="O200" s="5">
        <v>1</v>
      </c>
      <c r="P200" s="5" t="s">
        <v>43</v>
      </c>
      <c r="Q200" s="5">
        <v>24.99</v>
      </c>
      <c r="R200" s="5"/>
      <c r="S200" s="5"/>
      <c r="T200" s="5"/>
      <c r="U200" s="5"/>
      <c r="V200" s="5"/>
      <c r="W200" s="5"/>
      <c r="X200" s="5"/>
      <c r="Y200" s="5" t="s">
        <v>1174</v>
      </c>
      <c r="Z200" s="5" t="s">
        <v>377</v>
      </c>
      <c r="AA200" s="5" t="s">
        <v>1175</v>
      </c>
      <c r="AB200" s="5" t="s">
        <v>46</v>
      </c>
      <c r="AC200" s="5"/>
      <c r="AD200" s="5" t="b">
        <v>0</v>
      </c>
      <c r="AE200" s="5"/>
      <c r="AF200" s="5"/>
      <c r="AG200" s="9">
        <f t="shared" si="3"/>
        <v>43266</v>
      </c>
    </row>
    <row r="201" s="6" customFormat="1" spans="1:33">
      <c r="A201" s="5" t="s">
        <v>1176</v>
      </c>
      <c r="B201" s="5" t="s">
        <v>1176</v>
      </c>
      <c r="C201" s="5" t="s">
        <v>1177</v>
      </c>
      <c r="D201" s="5" t="s">
        <v>1178</v>
      </c>
      <c r="E201" s="5" t="s">
        <v>36</v>
      </c>
      <c r="F201" s="5" t="s">
        <v>37</v>
      </c>
      <c r="G201" s="5" t="s">
        <v>38</v>
      </c>
      <c r="H201" s="5"/>
      <c r="I201" s="5"/>
      <c r="J201" s="5" t="s">
        <v>39</v>
      </c>
      <c r="K201" s="5" t="s">
        <v>533</v>
      </c>
      <c r="L201" s="5" t="s">
        <v>1048</v>
      </c>
      <c r="M201" s="5" t="s">
        <v>535</v>
      </c>
      <c r="N201" s="5" t="s">
        <v>36</v>
      </c>
      <c r="O201" s="5">
        <v>1</v>
      </c>
      <c r="P201" s="5" t="s">
        <v>43</v>
      </c>
      <c r="Q201" s="5">
        <v>25.99</v>
      </c>
      <c r="R201" s="5"/>
      <c r="S201" s="5"/>
      <c r="T201" s="5"/>
      <c r="U201" s="5"/>
      <c r="V201" s="5"/>
      <c r="W201" s="5"/>
      <c r="X201" s="5"/>
      <c r="Y201" s="5" t="s">
        <v>1179</v>
      </c>
      <c r="Z201" s="5" t="s">
        <v>54</v>
      </c>
      <c r="AA201" s="5">
        <v>95835</v>
      </c>
      <c r="AB201" s="5" t="s">
        <v>46</v>
      </c>
      <c r="AC201" s="5"/>
      <c r="AD201" s="5" t="b">
        <v>0</v>
      </c>
      <c r="AE201" s="5"/>
      <c r="AF201" s="5"/>
      <c r="AG201" s="9">
        <f t="shared" si="3"/>
        <v>43266</v>
      </c>
    </row>
    <row r="202" s="6" customFormat="1" spans="1:33">
      <c r="A202" s="5" t="s">
        <v>1180</v>
      </c>
      <c r="B202" s="5" t="s">
        <v>1180</v>
      </c>
      <c r="C202" s="5" t="s">
        <v>1181</v>
      </c>
      <c r="D202" s="5" t="s">
        <v>1182</v>
      </c>
      <c r="E202" s="5" t="s">
        <v>36</v>
      </c>
      <c r="F202" s="5" t="s">
        <v>37</v>
      </c>
      <c r="G202" s="5" t="s">
        <v>38</v>
      </c>
      <c r="H202" s="5"/>
      <c r="I202" s="5"/>
      <c r="J202" s="5" t="s">
        <v>39</v>
      </c>
      <c r="K202" s="5" t="s">
        <v>101</v>
      </c>
      <c r="L202" s="5" t="s">
        <v>102</v>
      </c>
      <c r="M202" s="5" t="s">
        <v>103</v>
      </c>
      <c r="N202" s="5" t="s">
        <v>36</v>
      </c>
      <c r="O202" s="5">
        <v>1</v>
      </c>
      <c r="P202" s="5" t="s">
        <v>43</v>
      </c>
      <c r="Q202" s="5">
        <v>12.99</v>
      </c>
      <c r="R202" s="5"/>
      <c r="S202" s="5"/>
      <c r="T202" s="5"/>
      <c r="U202" s="5"/>
      <c r="V202" s="5"/>
      <c r="W202" s="5"/>
      <c r="X202" s="5"/>
      <c r="Y202" s="5" t="s">
        <v>1183</v>
      </c>
      <c r="Z202" s="5" t="s">
        <v>223</v>
      </c>
      <c r="AA202" s="5" t="s">
        <v>1184</v>
      </c>
      <c r="AB202" s="5" t="s">
        <v>46</v>
      </c>
      <c r="AC202" s="5"/>
      <c r="AD202" s="5" t="b">
        <v>0</v>
      </c>
      <c r="AE202" s="5"/>
      <c r="AF202" s="5"/>
      <c r="AG202" s="9">
        <f t="shared" si="3"/>
        <v>43266</v>
      </c>
    </row>
    <row r="203" s="6" customFormat="1" spans="1:33">
      <c r="A203" s="5" t="s">
        <v>1185</v>
      </c>
      <c r="B203" s="5" t="s">
        <v>1185</v>
      </c>
      <c r="C203" s="5" t="s">
        <v>1186</v>
      </c>
      <c r="D203" s="5" t="s">
        <v>1187</v>
      </c>
      <c r="E203" s="5" t="s">
        <v>36</v>
      </c>
      <c r="F203" s="5" t="s">
        <v>37</v>
      </c>
      <c r="G203" s="5" t="s">
        <v>38</v>
      </c>
      <c r="H203" s="5"/>
      <c r="I203" s="5"/>
      <c r="J203" s="5" t="s">
        <v>39</v>
      </c>
      <c r="K203" s="5" t="s">
        <v>101</v>
      </c>
      <c r="L203" s="5" t="s">
        <v>102</v>
      </c>
      <c r="M203" s="5" t="s">
        <v>103</v>
      </c>
      <c r="N203" s="5" t="s">
        <v>36</v>
      </c>
      <c r="O203" s="5">
        <v>1</v>
      </c>
      <c r="P203" s="5" t="s">
        <v>43</v>
      </c>
      <c r="Q203" s="5">
        <v>12.99</v>
      </c>
      <c r="R203" s="5"/>
      <c r="S203" s="5"/>
      <c r="T203" s="5"/>
      <c r="U203" s="5"/>
      <c r="V203" s="5"/>
      <c r="W203" s="5"/>
      <c r="X203" s="5"/>
      <c r="Y203" s="5" t="s">
        <v>1188</v>
      </c>
      <c r="Z203" s="5" t="s">
        <v>247</v>
      </c>
      <c r="AA203" s="5" t="s">
        <v>1189</v>
      </c>
      <c r="AB203" s="5" t="s">
        <v>46</v>
      </c>
      <c r="AC203" s="5"/>
      <c r="AD203" s="5" t="b">
        <v>0</v>
      </c>
      <c r="AE203" s="5"/>
      <c r="AF203" s="5"/>
      <c r="AG203" s="9">
        <f t="shared" si="3"/>
        <v>43266</v>
      </c>
    </row>
    <row r="204" s="6" customFormat="1" spans="1:33">
      <c r="A204" s="5" t="s">
        <v>1190</v>
      </c>
      <c r="B204" s="5" t="s">
        <v>1190</v>
      </c>
      <c r="C204" s="5" t="s">
        <v>1191</v>
      </c>
      <c r="D204" s="5" t="s">
        <v>1192</v>
      </c>
      <c r="E204" s="5" t="s">
        <v>36</v>
      </c>
      <c r="F204" s="5" t="s">
        <v>37</v>
      </c>
      <c r="G204" s="5" t="s">
        <v>38</v>
      </c>
      <c r="H204" s="5"/>
      <c r="I204" s="5"/>
      <c r="J204" s="5" t="s">
        <v>39</v>
      </c>
      <c r="K204" s="5" t="s">
        <v>83</v>
      </c>
      <c r="L204" s="5" t="s">
        <v>84</v>
      </c>
      <c r="M204" s="5" t="s">
        <v>85</v>
      </c>
      <c r="N204" s="5" t="s">
        <v>36</v>
      </c>
      <c r="O204" s="5">
        <v>1</v>
      </c>
      <c r="P204" s="5" t="s">
        <v>43</v>
      </c>
      <c r="Q204" s="5">
        <v>12.99</v>
      </c>
      <c r="R204" s="5"/>
      <c r="S204" s="5"/>
      <c r="T204" s="5"/>
      <c r="U204" s="5"/>
      <c r="V204" s="5"/>
      <c r="W204" s="5"/>
      <c r="X204" s="5"/>
      <c r="Y204" s="5" t="s">
        <v>1193</v>
      </c>
      <c r="Z204" s="5" t="s">
        <v>247</v>
      </c>
      <c r="AA204" s="5" t="s">
        <v>1194</v>
      </c>
      <c r="AB204" s="5" t="s">
        <v>46</v>
      </c>
      <c r="AC204" s="5"/>
      <c r="AD204" s="5" t="b">
        <v>0</v>
      </c>
      <c r="AE204" s="5"/>
      <c r="AF204" s="5"/>
      <c r="AG204" s="9">
        <f t="shared" si="3"/>
        <v>43266</v>
      </c>
    </row>
    <row r="205" s="6" customFormat="1" spans="1:33">
      <c r="A205" s="5" t="s">
        <v>1195</v>
      </c>
      <c r="B205" s="5" t="s">
        <v>1195</v>
      </c>
      <c r="C205" s="5" t="s">
        <v>1196</v>
      </c>
      <c r="D205" s="5" t="s">
        <v>1197</v>
      </c>
      <c r="E205" s="5" t="s">
        <v>36</v>
      </c>
      <c r="F205" s="5" t="s">
        <v>37</v>
      </c>
      <c r="G205" s="5" t="s">
        <v>38</v>
      </c>
      <c r="H205" s="5"/>
      <c r="I205" s="5"/>
      <c r="J205" s="5" t="s">
        <v>39</v>
      </c>
      <c r="K205" s="5" t="s">
        <v>75</v>
      </c>
      <c r="L205" s="5" t="s">
        <v>76</v>
      </c>
      <c r="M205" s="5" t="s">
        <v>77</v>
      </c>
      <c r="N205" s="5" t="s">
        <v>36</v>
      </c>
      <c r="O205" s="5">
        <v>1</v>
      </c>
      <c r="P205" s="5" t="s">
        <v>43</v>
      </c>
      <c r="Q205" s="5">
        <v>12.99</v>
      </c>
      <c r="R205" s="5"/>
      <c r="S205" s="5"/>
      <c r="T205" s="5"/>
      <c r="U205" s="5"/>
      <c r="V205" s="5"/>
      <c r="W205" s="5"/>
      <c r="X205" s="5"/>
      <c r="Y205" s="5" t="s">
        <v>1198</v>
      </c>
      <c r="Z205" s="5" t="s">
        <v>54</v>
      </c>
      <c r="AA205" s="5" t="s">
        <v>1199</v>
      </c>
      <c r="AB205" s="5" t="s">
        <v>46</v>
      </c>
      <c r="AC205" s="5"/>
      <c r="AD205" s="5" t="b">
        <v>0</v>
      </c>
      <c r="AE205" s="5"/>
      <c r="AF205" s="5"/>
      <c r="AG205" s="9">
        <f t="shared" si="3"/>
        <v>43266</v>
      </c>
    </row>
    <row r="206" s="6" customFormat="1" spans="1:33">
      <c r="A206" s="5" t="s">
        <v>1200</v>
      </c>
      <c r="B206" s="5" t="s">
        <v>1200</v>
      </c>
      <c r="C206" s="5" t="s">
        <v>1201</v>
      </c>
      <c r="D206" s="5" t="s">
        <v>1202</v>
      </c>
      <c r="E206" s="5" t="s">
        <v>36</v>
      </c>
      <c r="F206" s="5" t="s">
        <v>37</v>
      </c>
      <c r="G206" s="5" t="s">
        <v>38</v>
      </c>
      <c r="H206" s="5"/>
      <c r="I206" s="5"/>
      <c r="J206" s="5" t="s">
        <v>39</v>
      </c>
      <c r="K206" s="5" t="s">
        <v>209</v>
      </c>
      <c r="L206" s="5" t="s">
        <v>210</v>
      </c>
      <c r="M206" s="5" t="s">
        <v>211</v>
      </c>
      <c r="N206" s="5" t="s">
        <v>36</v>
      </c>
      <c r="O206" s="5">
        <v>1</v>
      </c>
      <c r="P206" s="5" t="s">
        <v>43</v>
      </c>
      <c r="Q206" s="5">
        <v>13.99</v>
      </c>
      <c r="R206" s="5"/>
      <c r="S206" s="5"/>
      <c r="T206" s="5"/>
      <c r="U206" s="5"/>
      <c r="V206" s="5"/>
      <c r="W206" s="5"/>
      <c r="X206" s="5"/>
      <c r="Y206" s="5" t="s">
        <v>1203</v>
      </c>
      <c r="Z206" s="5" t="s">
        <v>247</v>
      </c>
      <c r="AA206" s="5">
        <v>78239</v>
      </c>
      <c r="AB206" s="5" t="s">
        <v>46</v>
      </c>
      <c r="AC206" s="5"/>
      <c r="AD206" s="5" t="b">
        <v>0</v>
      </c>
      <c r="AE206" s="5"/>
      <c r="AF206" s="5"/>
      <c r="AG206" s="9">
        <f t="shared" si="3"/>
        <v>43266</v>
      </c>
    </row>
    <row r="207" s="6" customFormat="1" spans="1:33">
      <c r="A207" s="5" t="s">
        <v>1204</v>
      </c>
      <c r="B207" s="5" t="s">
        <v>1204</v>
      </c>
      <c r="C207" s="5" t="s">
        <v>1205</v>
      </c>
      <c r="D207" s="5" t="s">
        <v>1206</v>
      </c>
      <c r="E207" s="5" t="s">
        <v>36</v>
      </c>
      <c r="F207" s="5" t="s">
        <v>37</v>
      </c>
      <c r="G207" s="5" t="s">
        <v>38</v>
      </c>
      <c r="H207" s="5"/>
      <c r="I207" s="5"/>
      <c r="J207" s="5" t="s">
        <v>39</v>
      </c>
      <c r="K207" s="5" t="s">
        <v>147</v>
      </c>
      <c r="L207" s="5" t="s">
        <v>148</v>
      </c>
      <c r="M207" s="5" t="s">
        <v>149</v>
      </c>
      <c r="N207" s="5" t="s">
        <v>36</v>
      </c>
      <c r="O207" s="5">
        <v>1</v>
      </c>
      <c r="P207" s="5" t="s">
        <v>43</v>
      </c>
      <c r="Q207" s="5">
        <v>12.98</v>
      </c>
      <c r="R207" s="5">
        <v>0.78</v>
      </c>
      <c r="S207" s="5"/>
      <c r="T207" s="5"/>
      <c r="U207" s="5"/>
      <c r="V207" s="5"/>
      <c r="W207" s="5"/>
      <c r="X207" s="5"/>
      <c r="Y207" s="5" t="s">
        <v>254</v>
      </c>
      <c r="Z207" s="5" t="s">
        <v>255</v>
      </c>
      <c r="AA207" s="5" t="s">
        <v>1207</v>
      </c>
      <c r="AB207" s="5" t="s">
        <v>46</v>
      </c>
      <c r="AC207" s="5"/>
      <c r="AD207" s="5" t="b">
        <v>0</v>
      </c>
      <c r="AE207" s="5"/>
      <c r="AF207" s="5"/>
      <c r="AG207" s="9">
        <f t="shared" si="3"/>
        <v>43266</v>
      </c>
    </row>
    <row r="208" s="6" customFormat="1" spans="1:33">
      <c r="A208" s="5" t="s">
        <v>1208</v>
      </c>
      <c r="B208" s="5" t="s">
        <v>1208</v>
      </c>
      <c r="C208" s="5" t="s">
        <v>1209</v>
      </c>
      <c r="D208" s="5" t="s">
        <v>1210</v>
      </c>
      <c r="E208" s="5" t="s">
        <v>36</v>
      </c>
      <c r="F208" s="5" t="s">
        <v>37</v>
      </c>
      <c r="G208" s="5" t="s">
        <v>38</v>
      </c>
      <c r="H208" s="5"/>
      <c r="I208" s="5"/>
      <c r="J208" s="5" t="s">
        <v>39</v>
      </c>
      <c r="K208" s="5" t="s">
        <v>110</v>
      </c>
      <c r="L208" s="5" t="s">
        <v>111</v>
      </c>
      <c r="M208" s="5" t="s">
        <v>112</v>
      </c>
      <c r="N208" s="5" t="s">
        <v>36</v>
      </c>
      <c r="O208" s="5">
        <v>1</v>
      </c>
      <c r="P208" s="5" t="s">
        <v>43</v>
      </c>
      <c r="Q208" s="5">
        <v>12.99</v>
      </c>
      <c r="R208" s="5"/>
      <c r="S208" s="5"/>
      <c r="T208" s="5"/>
      <c r="U208" s="5"/>
      <c r="V208" s="5"/>
      <c r="W208" s="5"/>
      <c r="X208" s="5"/>
      <c r="Y208" s="5" t="s">
        <v>1211</v>
      </c>
      <c r="Z208" s="5" t="s">
        <v>1212</v>
      </c>
      <c r="AA208" s="5" t="s">
        <v>1213</v>
      </c>
      <c r="AB208" s="5" t="s">
        <v>46</v>
      </c>
      <c r="AC208" s="5"/>
      <c r="AD208" s="5" t="b">
        <v>0</v>
      </c>
      <c r="AE208" s="5"/>
      <c r="AF208" s="5"/>
      <c r="AG208" s="9">
        <f t="shared" si="3"/>
        <v>43266</v>
      </c>
    </row>
    <row r="209" s="6" customFormat="1" spans="1:33">
      <c r="A209" s="5" t="s">
        <v>1214</v>
      </c>
      <c r="B209" s="5" t="s">
        <v>1214</v>
      </c>
      <c r="C209" s="5" t="s">
        <v>1215</v>
      </c>
      <c r="D209" s="5" t="s">
        <v>1216</v>
      </c>
      <c r="E209" s="5" t="s">
        <v>36</v>
      </c>
      <c r="F209" s="5" t="s">
        <v>37</v>
      </c>
      <c r="G209" s="5" t="s">
        <v>38</v>
      </c>
      <c r="H209" s="5"/>
      <c r="I209" s="5"/>
      <c r="J209" s="5" t="s">
        <v>128</v>
      </c>
      <c r="K209" s="5" t="s">
        <v>147</v>
      </c>
      <c r="L209" s="5" t="s">
        <v>148</v>
      </c>
      <c r="M209" s="5" t="s">
        <v>149</v>
      </c>
      <c r="N209" s="5" t="s">
        <v>36</v>
      </c>
      <c r="O209" s="5">
        <v>1</v>
      </c>
      <c r="P209" s="5" t="s">
        <v>43</v>
      </c>
      <c r="Q209" s="5">
        <v>12.98</v>
      </c>
      <c r="R209" s="5"/>
      <c r="S209" s="5"/>
      <c r="T209" s="5"/>
      <c r="U209" s="5"/>
      <c r="V209" s="5"/>
      <c r="W209" s="5"/>
      <c r="X209" s="5"/>
      <c r="Y209" s="5" t="s">
        <v>1217</v>
      </c>
      <c r="Z209" s="5" t="s">
        <v>1218</v>
      </c>
      <c r="AA209" s="5">
        <v>99701</v>
      </c>
      <c r="AB209" s="5" t="s">
        <v>46</v>
      </c>
      <c r="AC209" s="5"/>
      <c r="AD209" s="5" t="b">
        <v>0</v>
      </c>
      <c r="AE209" s="5"/>
      <c r="AF209" s="5"/>
      <c r="AG209" s="9">
        <f t="shared" si="3"/>
        <v>43266</v>
      </c>
    </row>
    <row r="210" s="6" customFormat="1" spans="1:33">
      <c r="A210" s="5" t="s">
        <v>1219</v>
      </c>
      <c r="B210" s="5" t="s">
        <v>1219</v>
      </c>
      <c r="C210" s="5" t="s">
        <v>1220</v>
      </c>
      <c r="D210" s="5" t="s">
        <v>1221</v>
      </c>
      <c r="E210" s="5" t="s">
        <v>36</v>
      </c>
      <c r="F210" s="5" t="s">
        <v>37</v>
      </c>
      <c r="G210" s="5" t="s">
        <v>38</v>
      </c>
      <c r="H210" s="5"/>
      <c r="I210" s="5"/>
      <c r="J210" s="5" t="s">
        <v>128</v>
      </c>
      <c r="K210" s="5" t="s">
        <v>75</v>
      </c>
      <c r="L210" s="5" t="s">
        <v>76</v>
      </c>
      <c r="M210" s="5" t="s">
        <v>77</v>
      </c>
      <c r="N210" s="5" t="s">
        <v>36</v>
      </c>
      <c r="O210" s="5">
        <v>1</v>
      </c>
      <c r="P210" s="5" t="s">
        <v>43</v>
      </c>
      <c r="Q210" s="5">
        <v>12.99</v>
      </c>
      <c r="R210" s="5"/>
      <c r="S210" s="5"/>
      <c r="T210" s="5"/>
      <c r="U210" s="5"/>
      <c r="V210" s="5"/>
      <c r="W210" s="5"/>
      <c r="X210" s="5"/>
      <c r="Y210" s="5" t="s">
        <v>1222</v>
      </c>
      <c r="Z210" s="5" t="s">
        <v>105</v>
      </c>
      <c r="AA210" s="5" t="s">
        <v>1223</v>
      </c>
      <c r="AB210" s="5" t="s">
        <v>46</v>
      </c>
      <c r="AC210" s="5"/>
      <c r="AD210" s="5" t="b">
        <v>0</v>
      </c>
      <c r="AE210" s="5"/>
      <c r="AF210" s="5"/>
      <c r="AG210" s="9">
        <f t="shared" si="3"/>
        <v>43266</v>
      </c>
    </row>
    <row r="211" s="6" customFormat="1" spans="1:33">
      <c r="A211" s="5" t="s">
        <v>1224</v>
      </c>
      <c r="B211" s="5" t="s">
        <v>1224</v>
      </c>
      <c r="C211" s="5" t="s">
        <v>1225</v>
      </c>
      <c r="D211" s="5" t="s">
        <v>1226</v>
      </c>
      <c r="E211" s="5" t="s">
        <v>36</v>
      </c>
      <c r="F211" s="5" t="s">
        <v>37</v>
      </c>
      <c r="G211" s="5" t="s">
        <v>38</v>
      </c>
      <c r="H211" s="5"/>
      <c r="I211" s="5"/>
      <c r="J211" s="5" t="s">
        <v>39</v>
      </c>
      <c r="K211" s="5" t="s">
        <v>260</v>
      </c>
      <c r="L211" s="5" t="s">
        <v>1227</v>
      </c>
      <c r="M211" s="5" t="s">
        <v>262</v>
      </c>
      <c r="N211" s="5" t="s">
        <v>36</v>
      </c>
      <c r="O211" s="5">
        <v>1</v>
      </c>
      <c r="P211" s="5" t="s">
        <v>43</v>
      </c>
      <c r="Q211" s="5">
        <v>18.99</v>
      </c>
      <c r="R211" s="5"/>
      <c r="S211" s="5"/>
      <c r="T211" s="5"/>
      <c r="U211" s="5"/>
      <c r="V211" s="5"/>
      <c r="W211" s="5"/>
      <c r="X211" s="5"/>
      <c r="Y211" s="5" t="s">
        <v>861</v>
      </c>
      <c r="Z211" s="5" t="s">
        <v>54</v>
      </c>
      <c r="AA211" s="5" t="s">
        <v>1228</v>
      </c>
      <c r="AB211" s="5" t="s">
        <v>46</v>
      </c>
      <c r="AC211" s="5"/>
      <c r="AD211" s="5" t="b">
        <v>0</v>
      </c>
      <c r="AE211" s="5"/>
      <c r="AF211" s="5"/>
      <c r="AG211" s="9">
        <f t="shared" si="3"/>
        <v>43266</v>
      </c>
    </row>
    <row r="212" s="6" customFormat="1" spans="1:33">
      <c r="A212" s="5" t="s">
        <v>1229</v>
      </c>
      <c r="B212" s="5" t="s">
        <v>1229</v>
      </c>
      <c r="C212" s="5" t="s">
        <v>1230</v>
      </c>
      <c r="D212" s="5" t="s">
        <v>1231</v>
      </c>
      <c r="E212" s="5" t="s">
        <v>36</v>
      </c>
      <c r="F212" s="5" t="s">
        <v>37</v>
      </c>
      <c r="G212" s="5" t="s">
        <v>38</v>
      </c>
      <c r="H212" s="5"/>
      <c r="I212" s="5"/>
      <c r="J212" s="5" t="s">
        <v>39</v>
      </c>
      <c r="K212" s="5" t="s">
        <v>110</v>
      </c>
      <c r="L212" s="5" t="s">
        <v>111</v>
      </c>
      <c r="M212" s="5" t="s">
        <v>112</v>
      </c>
      <c r="N212" s="5" t="s">
        <v>36</v>
      </c>
      <c r="O212" s="5">
        <v>1</v>
      </c>
      <c r="P212" s="5" t="s">
        <v>43</v>
      </c>
      <c r="Q212" s="5">
        <v>12.99</v>
      </c>
      <c r="R212" s="5"/>
      <c r="S212" s="5"/>
      <c r="T212" s="5"/>
      <c r="U212" s="5"/>
      <c r="V212" s="5"/>
      <c r="W212" s="5"/>
      <c r="X212" s="5"/>
      <c r="Y212" s="5" t="s">
        <v>1232</v>
      </c>
      <c r="Z212" s="5" t="s">
        <v>87</v>
      </c>
      <c r="AA212" s="5" t="s">
        <v>1233</v>
      </c>
      <c r="AB212" s="5" t="s">
        <v>46</v>
      </c>
      <c r="AC212" s="5"/>
      <c r="AD212" s="5" t="b">
        <v>1</v>
      </c>
      <c r="AE212" s="5"/>
      <c r="AF212" s="5"/>
      <c r="AG212" s="9">
        <f t="shared" si="3"/>
        <v>43266</v>
      </c>
    </row>
    <row r="213" s="6" customFormat="1" spans="1:33">
      <c r="A213" s="5" t="s">
        <v>1234</v>
      </c>
      <c r="B213" s="5" t="s">
        <v>1234</v>
      </c>
      <c r="C213" s="5" t="s">
        <v>1235</v>
      </c>
      <c r="D213" s="5" t="s">
        <v>1236</v>
      </c>
      <c r="E213" s="5" t="s">
        <v>36</v>
      </c>
      <c r="F213" s="5" t="s">
        <v>37</v>
      </c>
      <c r="G213" s="5" t="s">
        <v>38</v>
      </c>
      <c r="H213" s="5"/>
      <c r="I213" s="5"/>
      <c r="J213" s="5" t="s">
        <v>128</v>
      </c>
      <c r="K213" s="5" t="s">
        <v>50</v>
      </c>
      <c r="L213" s="5" t="s">
        <v>51</v>
      </c>
      <c r="M213" s="5" t="s">
        <v>52</v>
      </c>
      <c r="N213" s="5" t="s">
        <v>36</v>
      </c>
      <c r="O213" s="5">
        <v>1</v>
      </c>
      <c r="P213" s="5" t="s">
        <v>43</v>
      </c>
      <c r="Q213" s="5">
        <v>18.99</v>
      </c>
      <c r="R213" s="5"/>
      <c r="S213" s="5">
        <v>1.77</v>
      </c>
      <c r="T213" s="5"/>
      <c r="U213" s="5"/>
      <c r="V213" s="5"/>
      <c r="W213" s="5"/>
      <c r="X213" s="5">
        <v>1.77</v>
      </c>
      <c r="Y213" s="5" t="s">
        <v>1237</v>
      </c>
      <c r="Z213" s="5" t="s">
        <v>463</v>
      </c>
      <c r="AA213" s="5" t="s">
        <v>1238</v>
      </c>
      <c r="AB213" s="5" t="s">
        <v>46</v>
      </c>
      <c r="AC213" s="5" t="s">
        <v>225</v>
      </c>
      <c r="AD213" s="5" t="b">
        <v>0</v>
      </c>
      <c r="AE213" s="5"/>
      <c r="AF213" s="5"/>
      <c r="AG213" s="9">
        <f t="shared" si="3"/>
        <v>43266</v>
      </c>
    </row>
    <row r="214" s="6" customFormat="1" spans="1:33">
      <c r="A214" s="5" t="s">
        <v>1239</v>
      </c>
      <c r="B214" s="5" t="s">
        <v>1239</v>
      </c>
      <c r="C214" s="5" t="s">
        <v>1240</v>
      </c>
      <c r="D214" s="5" t="s">
        <v>1241</v>
      </c>
      <c r="E214" s="5" t="s">
        <v>36</v>
      </c>
      <c r="F214" s="5" t="s">
        <v>37</v>
      </c>
      <c r="G214" s="5" t="s">
        <v>38</v>
      </c>
      <c r="H214" s="5"/>
      <c r="I214" s="5"/>
      <c r="J214" s="5" t="s">
        <v>39</v>
      </c>
      <c r="K214" s="5" t="s">
        <v>409</v>
      </c>
      <c r="L214" s="5" t="s">
        <v>1242</v>
      </c>
      <c r="M214" s="5" t="s">
        <v>1243</v>
      </c>
      <c r="N214" s="5" t="s">
        <v>36</v>
      </c>
      <c r="O214" s="5">
        <v>1</v>
      </c>
      <c r="P214" s="5" t="s">
        <v>43</v>
      </c>
      <c r="Q214" s="5">
        <v>9.9</v>
      </c>
      <c r="R214" s="5"/>
      <c r="S214" s="5"/>
      <c r="T214" s="5"/>
      <c r="U214" s="5"/>
      <c r="V214" s="5"/>
      <c r="W214" s="5"/>
      <c r="X214" s="5"/>
      <c r="Y214" s="5" t="s">
        <v>1244</v>
      </c>
      <c r="Z214" s="5" t="s">
        <v>282</v>
      </c>
      <c r="AA214" s="5">
        <v>48726</v>
      </c>
      <c r="AB214" s="5" t="s">
        <v>46</v>
      </c>
      <c r="AC214" s="5"/>
      <c r="AD214" s="5" t="b">
        <v>0</v>
      </c>
      <c r="AE214" s="5"/>
      <c r="AF214" s="5"/>
      <c r="AG214" s="9">
        <f t="shared" si="3"/>
        <v>43266</v>
      </c>
    </row>
    <row r="215" s="6" customFormat="1" spans="1:33">
      <c r="A215" s="5" t="s">
        <v>1245</v>
      </c>
      <c r="B215" s="5" t="s">
        <v>1245</v>
      </c>
      <c r="C215" s="5" t="s">
        <v>1246</v>
      </c>
      <c r="D215" s="5" t="s">
        <v>1247</v>
      </c>
      <c r="E215" s="5" t="s">
        <v>36</v>
      </c>
      <c r="F215" s="5" t="s">
        <v>37</v>
      </c>
      <c r="G215" s="5" t="s">
        <v>38</v>
      </c>
      <c r="H215" s="5"/>
      <c r="I215" s="5"/>
      <c r="J215" s="5" t="s">
        <v>128</v>
      </c>
      <c r="K215" s="5" t="s">
        <v>75</v>
      </c>
      <c r="L215" s="5" t="s">
        <v>76</v>
      </c>
      <c r="M215" s="5" t="s">
        <v>77</v>
      </c>
      <c r="N215" s="5" t="s">
        <v>36</v>
      </c>
      <c r="O215" s="5">
        <v>1</v>
      </c>
      <c r="P215" s="5" t="s">
        <v>43</v>
      </c>
      <c r="Q215" s="5">
        <v>12.99</v>
      </c>
      <c r="R215" s="5"/>
      <c r="S215" s="5">
        <v>3.1</v>
      </c>
      <c r="T215" s="5"/>
      <c r="U215" s="5"/>
      <c r="V215" s="5"/>
      <c r="W215" s="5"/>
      <c r="X215" s="5">
        <v>3.1</v>
      </c>
      <c r="Y215" s="5" t="s">
        <v>1248</v>
      </c>
      <c r="Z215" s="5" t="s">
        <v>335</v>
      </c>
      <c r="AA215" s="5" t="s">
        <v>1249</v>
      </c>
      <c r="AB215" s="5" t="s">
        <v>46</v>
      </c>
      <c r="AC215" s="5" t="s">
        <v>225</v>
      </c>
      <c r="AD215" s="5" t="b">
        <v>0</v>
      </c>
      <c r="AE215" s="5"/>
      <c r="AF215" s="5"/>
      <c r="AG215" s="9">
        <f t="shared" si="3"/>
        <v>43266</v>
      </c>
    </row>
    <row r="216" s="6" customFormat="1" spans="1:33">
      <c r="A216" s="5" t="s">
        <v>1250</v>
      </c>
      <c r="B216" s="5" t="s">
        <v>1250</v>
      </c>
      <c r="C216" s="5" t="s">
        <v>1251</v>
      </c>
      <c r="D216" s="5" t="s">
        <v>1252</v>
      </c>
      <c r="E216" s="5" t="s">
        <v>36</v>
      </c>
      <c r="F216" s="5" t="s">
        <v>37</v>
      </c>
      <c r="G216" s="5" t="s">
        <v>38</v>
      </c>
      <c r="H216" s="5"/>
      <c r="I216" s="5"/>
      <c r="J216" s="5" t="s">
        <v>39</v>
      </c>
      <c r="K216" s="5" t="s">
        <v>201</v>
      </c>
      <c r="L216" s="5" t="s">
        <v>202</v>
      </c>
      <c r="M216" s="5" t="s">
        <v>203</v>
      </c>
      <c r="N216" s="5" t="s">
        <v>36</v>
      </c>
      <c r="O216" s="5">
        <v>1</v>
      </c>
      <c r="P216" s="5" t="s">
        <v>43</v>
      </c>
      <c r="Q216" s="5">
        <v>18.99</v>
      </c>
      <c r="R216" s="5"/>
      <c r="S216" s="5"/>
      <c r="T216" s="5"/>
      <c r="U216" s="5"/>
      <c r="V216" s="5"/>
      <c r="W216" s="5">
        <v>0.95</v>
      </c>
      <c r="X216" s="5"/>
      <c r="Y216" s="5" t="s">
        <v>1253</v>
      </c>
      <c r="Z216" s="5" t="s">
        <v>1050</v>
      </c>
      <c r="AA216" s="5" t="s">
        <v>1254</v>
      </c>
      <c r="AB216" s="5" t="s">
        <v>46</v>
      </c>
      <c r="AC216" s="5" t="s">
        <v>115</v>
      </c>
      <c r="AD216" s="5" t="b">
        <v>0</v>
      </c>
      <c r="AE216" s="5"/>
      <c r="AF216" s="5"/>
      <c r="AG216" s="9">
        <f t="shared" si="3"/>
        <v>43266</v>
      </c>
    </row>
    <row r="217" s="6" customFormat="1" spans="1:33">
      <c r="A217" s="5" t="s">
        <v>1250</v>
      </c>
      <c r="B217" s="5" t="s">
        <v>1250</v>
      </c>
      <c r="C217" s="5" t="s">
        <v>1251</v>
      </c>
      <c r="D217" s="5" t="s">
        <v>1252</v>
      </c>
      <c r="E217" s="5" t="s">
        <v>36</v>
      </c>
      <c r="F217" s="5" t="s">
        <v>37</v>
      </c>
      <c r="G217" s="5" t="s">
        <v>38</v>
      </c>
      <c r="H217" s="5"/>
      <c r="I217" s="5"/>
      <c r="J217" s="5" t="s">
        <v>39</v>
      </c>
      <c r="K217" s="5" t="s">
        <v>50</v>
      </c>
      <c r="L217" s="5" t="s">
        <v>51</v>
      </c>
      <c r="M217" s="5" t="s">
        <v>52</v>
      </c>
      <c r="N217" s="5" t="s">
        <v>36</v>
      </c>
      <c r="O217" s="5">
        <v>1</v>
      </c>
      <c r="P217" s="5" t="s">
        <v>43</v>
      </c>
      <c r="Q217" s="5">
        <v>18.99</v>
      </c>
      <c r="R217" s="5"/>
      <c r="S217" s="5"/>
      <c r="T217" s="5"/>
      <c r="U217" s="5"/>
      <c r="V217" s="5"/>
      <c r="W217" s="5">
        <v>0.95</v>
      </c>
      <c r="X217" s="5"/>
      <c r="Y217" s="5" t="s">
        <v>1253</v>
      </c>
      <c r="Z217" s="5" t="s">
        <v>1050</v>
      </c>
      <c r="AA217" s="5" t="s">
        <v>1254</v>
      </c>
      <c r="AB217" s="5" t="s">
        <v>46</v>
      </c>
      <c r="AC217" s="5" t="s">
        <v>115</v>
      </c>
      <c r="AD217" s="5" t="b">
        <v>0</v>
      </c>
      <c r="AE217" s="5"/>
      <c r="AF217" s="5"/>
      <c r="AG217" s="9">
        <f t="shared" si="3"/>
        <v>43266</v>
      </c>
    </row>
    <row r="218" s="6" customFormat="1" spans="1:33">
      <c r="A218" s="5" t="s">
        <v>1255</v>
      </c>
      <c r="B218" s="5" t="s">
        <v>1255</v>
      </c>
      <c r="C218" s="5" t="s">
        <v>1256</v>
      </c>
      <c r="D218" s="5" t="s">
        <v>1257</v>
      </c>
      <c r="E218" s="5" t="s">
        <v>36</v>
      </c>
      <c r="F218" s="5" t="s">
        <v>37</v>
      </c>
      <c r="G218" s="5" t="s">
        <v>38</v>
      </c>
      <c r="H218" s="5"/>
      <c r="I218" s="5"/>
      <c r="J218" s="5" t="s">
        <v>39</v>
      </c>
      <c r="K218" s="5" t="s">
        <v>570</v>
      </c>
      <c r="L218" s="5" t="s">
        <v>578</v>
      </c>
      <c r="M218" s="5" t="s">
        <v>572</v>
      </c>
      <c r="N218" s="5" t="s">
        <v>36</v>
      </c>
      <c r="O218" s="5">
        <v>1</v>
      </c>
      <c r="P218" s="5" t="s">
        <v>43</v>
      </c>
      <c r="Q218" s="5">
        <v>24.99</v>
      </c>
      <c r="R218" s="5"/>
      <c r="S218" s="5"/>
      <c r="T218" s="5"/>
      <c r="U218" s="5"/>
      <c r="V218" s="5"/>
      <c r="W218" s="5"/>
      <c r="X218" s="5"/>
      <c r="Y218" s="5" t="s">
        <v>1258</v>
      </c>
      <c r="Z218" s="5" t="s">
        <v>142</v>
      </c>
      <c r="AA218" s="5" t="s">
        <v>1259</v>
      </c>
      <c r="AB218" s="5" t="s">
        <v>46</v>
      </c>
      <c r="AC218" s="5"/>
      <c r="AD218" s="5" t="b">
        <v>0</v>
      </c>
      <c r="AE218" s="5"/>
      <c r="AF218" s="5"/>
      <c r="AG218" s="9">
        <f t="shared" si="3"/>
        <v>43266</v>
      </c>
    </row>
    <row r="219" s="6" customFormat="1" spans="1:33">
      <c r="A219" s="5" t="s">
        <v>1260</v>
      </c>
      <c r="B219" s="5" t="s">
        <v>1260</v>
      </c>
      <c r="C219" s="5" t="s">
        <v>1261</v>
      </c>
      <c r="D219" s="5" t="s">
        <v>1262</v>
      </c>
      <c r="E219" s="5" t="s">
        <v>36</v>
      </c>
      <c r="F219" s="5" t="s">
        <v>37</v>
      </c>
      <c r="G219" s="5" t="s">
        <v>38</v>
      </c>
      <c r="H219" s="5"/>
      <c r="I219" s="5"/>
      <c r="J219" s="5" t="s">
        <v>39</v>
      </c>
      <c r="K219" s="5" t="s">
        <v>83</v>
      </c>
      <c r="L219" s="5" t="s">
        <v>1080</v>
      </c>
      <c r="M219" s="5" t="s">
        <v>85</v>
      </c>
      <c r="N219" s="5" t="s">
        <v>36</v>
      </c>
      <c r="O219" s="5">
        <v>1</v>
      </c>
      <c r="P219" s="5" t="s">
        <v>43</v>
      </c>
      <c r="Q219" s="5">
        <v>12.99</v>
      </c>
      <c r="R219" s="5"/>
      <c r="S219" s="5"/>
      <c r="T219" s="5"/>
      <c r="U219" s="5"/>
      <c r="V219" s="5"/>
      <c r="W219" s="5"/>
      <c r="X219" s="5"/>
      <c r="Y219" s="5" t="s">
        <v>1263</v>
      </c>
      <c r="Z219" s="5" t="s">
        <v>732</v>
      </c>
      <c r="AA219" s="5" t="s">
        <v>1264</v>
      </c>
      <c r="AB219" s="5" t="s">
        <v>46</v>
      </c>
      <c r="AC219" s="5"/>
      <c r="AD219" s="5" t="b">
        <v>0</v>
      </c>
      <c r="AE219" s="5"/>
      <c r="AF219" s="5"/>
      <c r="AG219" s="9">
        <f t="shared" si="3"/>
        <v>43266</v>
      </c>
    </row>
    <row r="220" s="6" customFormat="1" spans="1:33">
      <c r="A220" s="5" t="s">
        <v>1265</v>
      </c>
      <c r="B220" s="5" t="s">
        <v>1265</v>
      </c>
      <c r="C220" s="5" t="s">
        <v>1266</v>
      </c>
      <c r="D220" s="5" t="s">
        <v>1267</v>
      </c>
      <c r="E220" s="5" t="s">
        <v>36</v>
      </c>
      <c r="F220" s="5" t="s">
        <v>37</v>
      </c>
      <c r="G220" s="5" t="s">
        <v>38</v>
      </c>
      <c r="H220" s="5"/>
      <c r="I220" s="5"/>
      <c r="J220" s="5" t="s">
        <v>39</v>
      </c>
      <c r="K220" s="5" t="s">
        <v>50</v>
      </c>
      <c r="L220" s="5" t="s">
        <v>51</v>
      </c>
      <c r="M220" s="5" t="s">
        <v>52</v>
      </c>
      <c r="N220" s="5" t="s">
        <v>36</v>
      </c>
      <c r="O220" s="5">
        <v>1</v>
      </c>
      <c r="P220" s="5" t="s">
        <v>43</v>
      </c>
      <c r="Q220" s="5">
        <v>18.99</v>
      </c>
      <c r="R220" s="5"/>
      <c r="S220" s="5"/>
      <c r="T220" s="5"/>
      <c r="U220" s="5"/>
      <c r="V220" s="5"/>
      <c r="W220" s="5">
        <v>0.95</v>
      </c>
      <c r="X220" s="5"/>
      <c r="Y220" s="5" t="s">
        <v>1268</v>
      </c>
      <c r="Z220" s="5" t="s">
        <v>54</v>
      </c>
      <c r="AA220" s="5" t="s">
        <v>1269</v>
      </c>
      <c r="AB220" s="5" t="s">
        <v>46</v>
      </c>
      <c r="AC220" s="5" t="s">
        <v>115</v>
      </c>
      <c r="AD220" s="5" t="b">
        <v>0</v>
      </c>
      <c r="AE220" s="5"/>
      <c r="AF220" s="5"/>
      <c r="AG220" s="9">
        <f t="shared" si="3"/>
        <v>43266</v>
      </c>
    </row>
    <row r="221" s="6" customFormat="1" spans="1:33">
      <c r="A221" s="5" t="s">
        <v>1265</v>
      </c>
      <c r="B221" s="5" t="s">
        <v>1265</v>
      </c>
      <c r="C221" s="5" t="s">
        <v>1266</v>
      </c>
      <c r="D221" s="5" t="s">
        <v>1267</v>
      </c>
      <c r="E221" s="5" t="s">
        <v>36</v>
      </c>
      <c r="F221" s="5" t="s">
        <v>37</v>
      </c>
      <c r="G221" s="5" t="s">
        <v>38</v>
      </c>
      <c r="H221" s="5"/>
      <c r="I221" s="5"/>
      <c r="J221" s="5" t="s">
        <v>39</v>
      </c>
      <c r="K221" s="5" t="s">
        <v>387</v>
      </c>
      <c r="L221" s="5" t="s">
        <v>388</v>
      </c>
      <c r="M221" s="5" t="s">
        <v>389</v>
      </c>
      <c r="N221" s="5" t="s">
        <v>36</v>
      </c>
      <c r="O221" s="5">
        <v>1</v>
      </c>
      <c r="P221" s="5" t="s">
        <v>43</v>
      </c>
      <c r="Q221" s="5">
        <v>18.99</v>
      </c>
      <c r="R221" s="5"/>
      <c r="S221" s="5"/>
      <c r="T221" s="5"/>
      <c r="U221" s="5"/>
      <c r="V221" s="5"/>
      <c r="W221" s="5">
        <v>0.95</v>
      </c>
      <c r="X221" s="5"/>
      <c r="Y221" s="5" t="s">
        <v>1268</v>
      </c>
      <c r="Z221" s="5" t="s">
        <v>54</v>
      </c>
      <c r="AA221" s="5" t="s">
        <v>1269</v>
      </c>
      <c r="AB221" s="5" t="s">
        <v>46</v>
      </c>
      <c r="AC221" s="5" t="s">
        <v>115</v>
      </c>
      <c r="AD221" s="5" t="b">
        <v>0</v>
      </c>
      <c r="AE221" s="5"/>
      <c r="AF221" s="5"/>
      <c r="AG221" s="9">
        <f t="shared" si="3"/>
        <v>43266</v>
      </c>
    </row>
    <row r="222" s="6" customFormat="1" spans="1:33">
      <c r="A222" s="5" t="s">
        <v>1270</v>
      </c>
      <c r="B222" s="5" t="s">
        <v>1270</v>
      </c>
      <c r="C222" s="5" t="s">
        <v>1271</v>
      </c>
      <c r="D222" s="5" t="s">
        <v>1272</v>
      </c>
      <c r="E222" s="5" t="s">
        <v>36</v>
      </c>
      <c r="F222" s="5" t="s">
        <v>37</v>
      </c>
      <c r="G222" s="5" t="s">
        <v>38</v>
      </c>
      <c r="H222" s="5"/>
      <c r="I222" s="5"/>
      <c r="J222" s="5" t="s">
        <v>39</v>
      </c>
      <c r="K222" s="5" t="s">
        <v>201</v>
      </c>
      <c r="L222" s="5" t="s">
        <v>202</v>
      </c>
      <c r="M222" s="5" t="s">
        <v>203</v>
      </c>
      <c r="N222" s="5" t="s">
        <v>36</v>
      </c>
      <c r="O222" s="5">
        <v>1</v>
      </c>
      <c r="P222" s="5" t="s">
        <v>43</v>
      </c>
      <c r="Q222" s="5">
        <v>18.99</v>
      </c>
      <c r="R222" s="5"/>
      <c r="S222" s="5"/>
      <c r="T222" s="5"/>
      <c r="U222" s="5"/>
      <c r="V222" s="5"/>
      <c r="W222" s="5"/>
      <c r="X222" s="5"/>
      <c r="Y222" s="5" t="s">
        <v>1273</v>
      </c>
      <c r="Z222" s="5" t="s">
        <v>247</v>
      </c>
      <c r="AA222" s="5" t="s">
        <v>1274</v>
      </c>
      <c r="AB222" s="5" t="s">
        <v>46</v>
      </c>
      <c r="AC222" s="5"/>
      <c r="AD222" s="5" t="b">
        <v>0</v>
      </c>
      <c r="AE222" s="5"/>
      <c r="AF222" s="5"/>
      <c r="AG222" s="9">
        <f t="shared" si="3"/>
        <v>43266</v>
      </c>
    </row>
    <row r="223" s="6" customFormat="1" spans="1:33">
      <c r="A223" s="5" t="s">
        <v>1275</v>
      </c>
      <c r="B223" s="5" t="s">
        <v>1275</v>
      </c>
      <c r="C223" s="5" t="s">
        <v>1276</v>
      </c>
      <c r="D223" s="5" t="s">
        <v>1277</v>
      </c>
      <c r="E223" s="5" t="s">
        <v>36</v>
      </c>
      <c r="F223" s="5" t="s">
        <v>37</v>
      </c>
      <c r="G223" s="5" t="s">
        <v>38</v>
      </c>
      <c r="H223" s="5"/>
      <c r="I223" s="5"/>
      <c r="J223" s="5" t="s">
        <v>39</v>
      </c>
      <c r="K223" s="5" t="s">
        <v>260</v>
      </c>
      <c r="L223" s="5" t="s">
        <v>261</v>
      </c>
      <c r="M223" s="5" t="s">
        <v>262</v>
      </c>
      <c r="N223" s="5" t="s">
        <v>36</v>
      </c>
      <c r="O223" s="5">
        <v>1</v>
      </c>
      <c r="P223" s="5" t="s">
        <v>43</v>
      </c>
      <c r="Q223" s="5">
        <v>18.99</v>
      </c>
      <c r="R223" s="5"/>
      <c r="S223" s="5"/>
      <c r="T223" s="5"/>
      <c r="U223" s="5"/>
      <c r="V223" s="5"/>
      <c r="W223" s="5"/>
      <c r="X223" s="5"/>
      <c r="Y223" s="5" t="s">
        <v>1278</v>
      </c>
      <c r="Z223" s="5" t="s">
        <v>923</v>
      </c>
      <c r="AA223" s="5" t="s">
        <v>1279</v>
      </c>
      <c r="AB223" s="5" t="s">
        <v>46</v>
      </c>
      <c r="AC223" s="5"/>
      <c r="AD223" s="5" t="b">
        <v>0</v>
      </c>
      <c r="AE223" s="5"/>
      <c r="AF223" s="5"/>
      <c r="AG223" s="9">
        <f t="shared" si="3"/>
        <v>43266</v>
      </c>
    </row>
    <row r="224" s="6" customFormat="1" spans="1:33">
      <c r="A224" s="5" t="s">
        <v>1280</v>
      </c>
      <c r="B224" s="5" t="s">
        <v>1280</v>
      </c>
      <c r="C224" s="5" t="s">
        <v>1281</v>
      </c>
      <c r="D224" s="5" t="s">
        <v>1282</v>
      </c>
      <c r="E224" s="5" t="s">
        <v>36</v>
      </c>
      <c r="F224" s="5" t="s">
        <v>37</v>
      </c>
      <c r="G224" s="5" t="s">
        <v>38</v>
      </c>
      <c r="H224" s="5"/>
      <c r="I224" s="5"/>
      <c r="J224" s="5" t="s">
        <v>39</v>
      </c>
      <c r="K224" s="5" t="s">
        <v>641</v>
      </c>
      <c r="L224" s="5" t="s">
        <v>1283</v>
      </c>
      <c r="M224" s="5" t="s">
        <v>1284</v>
      </c>
      <c r="N224" s="5" t="s">
        <v>36</v>
      </c>
      <c r="O224" s="5">
        <v>1</v>
      </c>
      <c r="P224" s="5" t="s">
        <v>43</v>
      </c>
      <c r="Q224" s="5">
        <v>20</v>
      </c>
      <c r="R224" s="5"/>
      <c r="S224" s="5"/>
      <c r="T224" s="5"/>
      <c r="U224" s="5"/>
      <c r="V224" s="5"/>
      <c r="W224" s="5">
        <v>4</v>
      </c>
      <c r="X224" s="5"/>
      <c r="Y224" s="5" t="s">
        <v>719</v>
      </c>
      <c r="Z224" s="5" t="s">
        <v>505</v>
      </c>
      <c r="AA224" s="5" t="s">
        <v>1285</v>
      </c>
      <c r="AB224" s="5" t="s">
        <v>46</v>
      </c>
      <c r="AC224" s="5" t="s">
        <v>172</v>
      </c>
      <c r="AD224" s="5" t="b">
        <v>0</v>
      </c>
      <c r="AE224" s="5"/>
      <c r="AF224" s="5"/>
      <c r="AG224" s="9">
        <f t="shared" si="3"/>
        <v>43266</v>
      </c>
    </row>
    <row r="225" s="6" customFormat="1" spans="1:33">
      <c r="A225" s="5" t="s">
        <v>1280</v>
      </c>
      <c r="B225" s="5" t="s">
        <v>1280</v>
      </c>
      <c r="C225" s="5" t="s">
        <v>1281</v>
      </c>
      <c r="D225" s="5" t="s">
        <v>1282</v>
      </c>
      <c r="E225" s="5" t="s">
        <v>36</v>
      </c>
      <c r="F225" s="5" t="s">
        <v>37</v>
      </c>
      <c r="G225" s="5" t="s">
        <v>38</v>
      </c>
      <c r="H225" s="5"/>
      <c r="I225" s="5"/>
      <c r="J225" s="5" t="s">
        <v>39</v>
      </c>
      <c r="K225" s="5" t="s">
        <v>641</v>
      </c>
      <c r="L225" s="5" t="s">
        <v>1286</v>
      </c>
      <c r="M225" s="5" t="s">
        <v>1287</v>
      </c>
      <c r="N225" s="5" t="s">
        <v>36</v>
      </c>
      <c r="O225" s="5">
        <v>1</v>
      </c>
      <c r="P225" s="5" t="s">
        <v>43</v>
      </c>
      <c r="Q225" s="5">
        <v>20</v>
      </c>
      <c r="R225" s="5"/>
      <c r="S225" s="5"/>
      <c r="T225" s="5"/>
      <c r="U225" s="5"/>
      <c r="V225" s="5"/>
      <c r="W225" s="5">
        <v>4</v>
      </c>
      <c r="X225" s="5"/>
      <c r="Y225" s="5" t="s">
        <v>719</v>
      </c>
      <c r="Z225" s="5" t="s">
        <v>505</v>
      </c>
      <c r="AA225" s="5" t="s">
        <v>1285</v>
      </c>
      <c r="AB225" s="5" t="s">
        <v>46</v>
      </c>
      <c r="AC225" s="5" t="s">
        <v>172</v>
      </c>
      <c r="AD225" s="5" t="b">
        <v>0</v>
      </c>
      <c r="AE225" s="5"/>
      <c r="AF225" s="5"/>
      <c r="AG225" s="9">
        <f t="shared" si="3"/>
        <v>43266</v>
      </c>
    </row>
    <row r="226" s="6" customFormat="1" spans="1:33">
      <c r="A226" s="5" t="s">
        <v>1288</v>
      </c>
      <c r="B226" s="5" t="s">
        <v>1288</v>
      </c>
      <c r="C226" s="5" t="s">
        <v>1289</v>
      </c>
      <c r="D226" s="5" t="s">
        <v>1290</v>
      </c>
      <c r="E226" s="5" t="s">
        <v>36</v>
      </c>
      <c r="F226" s="5" t="s">
        <v>37</v>
      </c>
      <c r="G226" s="5" t="s">
        <v>38</v>
      </c>
      <c r="H226" s="5"/>
      <c r="I226" s="5"/>
      <c r="J226" s="5" t="s">
        <v>39</v>
      </c>
      <c r="K226" s="5" t="s">
        <v>1291</v>
      </c>
      <c r="L226" s="5" t="s">
        <v>1292</v>
      </c>
      <c r="M226" s="5" t="s">
        <v>1293</v>
      </c>
      <c r="N226" s="5" t="s">
        <v>36</v>
      </c>
      <c r="O226" s="5">
        <v>1</v>
      </c>
      <c r="P226" s="5" t="s">
        <v>43</v>
      </c>
      <c r="Q226" s="5">
        <v>12.99</v>
      </c>
      <c r="R226" s="5"/>
      <c r="S226" s="5"/>
      <c r="T226" s="5"/>
      <c r="U226" s="5"/>
      <c r="V226" s="5"/>
      <c r="W226" s="5"/>
      <c r="X226" s="5"/>
      <c r="Y226" s="5" t="s">
        <v>1294</v>
      </c>
      <c r="Z226" s="5" t="s">
        <v>54</v>
      </c>
      <c r="AA226" s="5" t="s">
        <v>1295</v>
      </c>
      <c r="AB226" s="5" t="s">
        <v>46</v>
      </c>
      <c r="AC226" s="5"/>
      <c r="AD226" s="5" t="b">
        <v>0</v>
      </c>
      <c r="AE226" s="5"/>
      <c r="AF226" s="5"/>
      <c r="AG226" s="9">
        <f t="shared" si="3"/>
        <v>43266</v>
      </c>
    </row>
    <row r="227" s="6" customFormat="1" spans="1:33">
      <c r="A227" s="5" t="s">
        <v>1296</v>
      </c>
      <c r="B227" s="5" t="s">
        <v>1296</v>
      </c>
      <c r="C227" s="5" t="s">
        <v>1297</v>
      </c>
      <c r="D227" s="5" t="s">
        <v>1298</v>
      </c>
      <c r="E227" s="5" t="s">
        <v>36</v>
      </c>
      <c r="F227" s="5" t="s">
        <v>37</v>
      </c>
      <c r="G227" s="5" t="s">
        <v>38</v>
      </c>
      <c r="H227" s="5"/>
      <c r="I227" s="5"/>
      <c r="J227" s="5" t="s">
        <v>39</v>
      </c>
      <c r="K227" s="5" t="s">
        <v>533</v>
      </c>
      <c r="L227" s="5" t="s">
        <v>1048</v>
      </c>
      <c r="M227" s="5" t="s">
        <v>535</v>
      </c>
      <c r="N227" s="5" t="s">
        <v>36</v>
      </c>
      <c r="O227" s="5">
        <v>1</v>
      </c>
      <c r="P227" s="5" t="s">
        <v>43</v>
      </c>
      <c r="Q227" s="5">
        <v>25.99</v>
      </c>
      <c r="R227" s="5"/>
      <c r="S227" s="5"/>
      <c r="T227" s="5"/>
      <c r="U227" s="5"/>
      <c r="V227" s="5"/>
      <c r="W227" s="5"/>
      <c r="X227" s="5"/>
      <c r="Y227" s="5" t="s">
        <v>1299</v>
      </c>
      <c r="Z227" s="5" t="s">
        <v>1300</v>
      </c>
      <c r="AA227" s="5" t="s">
        <v>1301</v>
      </c>
      <c r="AB227" s="5" t="s">
        <v>46</v>
      </c>
      <c r="AC227" s="5"/>
      <c r="AD227" s="5" t="b">
        <v>0</v>
      </c>
      <c r="AE227" s="5"/>
      <c r="AF227" s="5"/>
      <c r="AG227" s="9">
        <f t="shared" si="3"/>
        <v>43266</v>
      </c>
    </row>
    <row r="228" s="6" customFormat="1" spans="1:33">
      <c r="A228" s="5" t="s">
        <v>1302</v>
      </c>
      <c r="B228" s="5" t="s">
        <v>1302</v>
      </c>
      <c r="C228" s="5" t="s">
        <v>1303</v>
      </c>
      <c r="D228" s="5" t="s">
        <v>1304</v>
      </c>
      <c r="E228" s="5" t="s">
        <v>36</v>
      </c>
      <c r="F228" s="5" t="s">
        <v>37</v>
      </c>
      <c r="G228" s="5" t="s">
        <v>38</v>
      </c>
      <c r="H228" s="5"/>
      <c r="I228" s="5"/>
      <c r="J228" s="5" t="s">
        <v>39</v>
      </c>
      <c r="K228" s="5" t="s">
        <v>409</v>
      </c>
      <c r="L228" s="5" t="s">
        <v>1242</v>
      </c>
      <c r="M228" s="5" t="s">
        <v>1243</v>
      </c>
      <c r="N228" s="5" t="s">
        <v>36</v>
      </c>
      <c r="O228" s="5">
        <v>1</v>
      </c>
      <c r="P228" s="5" t="s">
        <v>43</v>
      </c>
      <c r="Q228" s="5">
        <v>9.9</v>
      </c>
      <c r="R228" s="5"/>
      <c r="S228" s="5"/>
      <c r="T228" s="5"/>
      <c r="U228" s="5"/>
      <c r="V228" s="5"/>
      <c r="W228" s="5"/>
      <c r="X228" s="5"/>
      <c r="Y228" s="5" t="s">
        <v>1305</v>
      </c>
      <c r="Z228" s="5" t="s">
        <v>87</v>
      </c>
      <c r="AA228" s="5">
        <v>23901</v>
      </c>
      <c r="AB228" s="5" t="s">
        <v>46</v>
      </c>
      <c r="AC228" s="5"/>
      <c r="AD228" s="5" t="b">
        <v>0</v>
      </c>
      <c r="AE228" s="5"/>
      <c r="AF228" s="5"/>
      <c r="AG228" s="9">
        <f t="shared" si="3"/>
        <v>43266</v>
      </c>
    </row>
    <row r="229" s="6" customFormat="1" spans="1:33">
      <c r="A229" s="5" t="s">
        <v>1306</v>
      </c>
      <c r="B229" s="5" t="s">
        <v>1306</v>
      </c>
      <c r="C229" s="5" t="s">
        <v>1307</v>
      </c>
      <c r="D229" s="5" t="s">
        <v>1308</v>
      </c>
      <c r="E229" s="5" t="s">
        <v>36</v>
      </c>
      <c r="F229" s="5" t="s">
        <v>37</v>
      </c>
      <c r="G229" s="5" t="s">
        <v>38</v>
      </c>
      <c r="H229" s="5"/>
      <c r="I229" s="5"/>
      <c r="J229" s="5" t="s">
        <v>39</v>
      </c>
      <c r="K229" s="5" t="s">
        <v>243</v>
      </c>
      <c r="L229" s="5" t="s">
        <v>244</v>
      </c>
      <c r="M229" s="5" t="s">
        <v>245</v>
      </c>
      <c r="N229" s="5" t="s">
        <v>36</v>
      </c>
      <c r="O229" s="5">
        <v>1</v>
      </c>
      <c r="P229" s="5" t="s">
        <v>43</v>
      </c>
      <c r="Q229" s="5">
        <v>18.99</v>
      </c>
      <c r="R229" s="5"/>
      <c r="S229" s="5"/>
      <c r="T229" s="5"/>
      <c r="U229" s="5"/>
      <c r="V229" s="5"/>
      <c r="W229" s="5"/>
      <c r="X229" s="5"/>
      <c r="Y229" s="5" t="s">
        <v>1101</v>
      </c>
      <c r="Z229" s="5" t="s">
        <v>377</v>
      </c>
      <c r="AA229" s="5" t="s">
        <v>1309</v>
      </c>
      <c r="AB229" s="5" t="s">
        <v>46</v>
      </c>
      <c r="AC229" s="5"/>
      <c r="AD229" s="5" t="b">
        <v>0</v>
      </c>
      <c r="AE229" s="5"/>
      <c r="AF229" s="5"/>
      <c r="AG229" s="9">
        <f t="shared" si="3"/>
        <v>43266</v>
      </c>
    </row>
    <row r="230" s="6" customFormat="1" spans="1:33">
      <c r="A230" s="5" t="s">
        <v>1310</v>
      </c>
      <c r="B230" s="5" t="s">
        <v>1310</v>
      </c>
      <c r="C230" s="5" t="s">
        <v>1311</v>
      </c>
      <c r="D230" s="5" t="s">
        <v>1312</v>
      </c>
      <c r="E230" s="5" t="s">
        <v>614</v>
      </c>
      <c r="F230" s="5" t="s">
        <v>37</v>
      </c>
      <c r="G230" s="5" t="s">
        <v>38</v>
      </c>
      <c r="H230" s="5"/>
      <c r="I230" s="5"/>
      <c r="J230" s="5" t="s">
        <v>39</v>
      </c>
      <c r="K230" s="5" t="s">
        <v>1291</v>
      </c>
      <c r="L230" s="5" t="s">
        <v>1292</v>
      </c>
      <c r="M230" s="5" t="s">
        <v>1293</v>
      </c>
      <c r="N230" s="5" t="s">
        <v>614</v>
      </c>
      <c r="O230" s="5">
        <v>0</v>
      </c>
      <c r="P230" s="5"/>
      <c r="Q230" s="5"/>
      <c r="R230" s="5"/>
      <c r="S230" s="5"/>
      <c r="T230" s="5"/>
      <c r="U230" s="5"/>
      <c r="V230" s="5"/>
      <c r="W230" s="5"/>
      <c r="X230" s="5"/>
      <c r="Y230" s="5" t="s">
        <v>1101</v>
      </c>
      <c r="Z230" s="5" t="s">
        <v>377</v>
      </c>
      <c r="AA230" s="5" t="s">
        <v>1309</v>
      </c>
      <c r="AB230" s="5" t="s">
        <v>46</v>
      </c>
      <c r="AC230" s="5"/>
      <c r="AD230" s="5" t="b">
        <v>0</v>
      </c>
      <c r="AE230" s="5"/>
      <c r="AF230" s="5"/>
      <c r="AG230" s="9">
        <f t="shared" si="3"/>
        <v>43266</v>
      </c>
    </row>
    <row r="231" s="6" customFormat="1" spans="1:33">
      <c r="A231" s="5" t="s">
        <v>1313</v>
      </c>
      <c r="B231" s="5" t="s">
        <v>1313</v>
      </c>
      <c r="C231" s="5" t="s">
        <v>1314</v>
      </c>
      <c r="D231" s="5" t="s">
        <v>1315</v>
      </c>
      <c r="E231" s="5" t="s">
        <v>36</v>
      </c>
      <c r="F231" s="5" t="s">
        <v>37</v>
      </c>
      <c r="G231" s="5" t="s">
        <v>38</v>
      </c>
      <c r="H231" s="5"/>
      <c r="I231" s="5"/>
      <c r="J231" s="5" t="s">
        <v>39</v>
      </c>
      <c r="K231" s="5" t="s">
        <v>365</v>
      </c>
      <c r="L231" s="5" t="s">
        <v>419</v>
      </c>
      <c r="M231" s="5" t="s">
        <v>367</v>
      </c>
      <c r="N231" s="5" t="s">
        <v>36</v>
      </c>
      <c r="O231" s="5">
        <v>1</v>
      </c>
      <c r="P231" s="5" t="s">
        <v>43</v>
      </c>
      <c r="Q231" s="5">
        <v>18.99</v>
      </c>
      <c r="R231" s="5"/>
      <c r="S231" s="5"/>
      <c r="T231" s="5"/>
      <c r="U231" s="5"/>
      <c r="V231" s="5"/>
      <c r="W231" s="5"/>
      <c r="X231" s="5"/>
      <c r="Y231" s="5" t="s">
        <v>1316</v>
      </c>
      <c r="Z231" s="5" t="s">
        <v>54</v>
      </c>
      <c r="AA231" s="5" t="s">
        <v>1317</v>
      </c>
      <c r="AB231" s="5" t="s">
        <v>46</v>
      </c>
      <c r="AC231" s="5"/>
      <c r="AD231" s="5" t="b">
        <v>0</v>
      </c>
      <c r="AE231" s="5"/>
      <c r="AF231" s="5"/>
      <c r="AG231" s="9">
        <f t="shared" si="3"/>
        <v>43266</v>
      </c>
    </row>
    <row r="232" s="6" customFormat="1" spans="1:33">
      <c r="A232" s="5" t="s">
        <v>1318</v>
      </c>
      <c r="B232" s="5" t="s">
        <v>1318</v>
      </c>
      <c r="C232" s="5" t="s">
        <v>1319</v>
      </c>
      <c r="D232" s="5" t="s">
        <v>1320</v>
      </c>
      <c r="E232" s="5" t="s">
        <v>36</v>
      </c>
      <c r="F232" s="5" t="s">
        <v>37</v>
      </c>
      <c r="G232" s="5" t="s">
        <v>38</v>
      </c>
      <c r="H232" s="5"/>
      <c r="I232" s="5"/>
      <c r="J232" s="5" t="s">
        <v>39</v>
      </c>
      <c r="K232" s="5" t="s">
        <v>75</v>
      </c>
      <c r="L232" s="5" t="s">
        <v>76</v>
      </c>
      <c r="M232" s="5" t="s">
        <v>77</v>
      </c>
      <c r="N232" s="5" t="s">
        <v>36</v>
      </c>
      <c r="O232" s="5">
        <v>1</v>
      </c>
      <c r="P232" s="5" t="s">
        <v>43</v>
      </c>
      <c r="Q232" s="5">
        <v>12.99</v>
      </c>
      <c r="R232" s="5"/>
      <c r="S232" s="5"/>
      <c r="T232" s="5"/>
      <c r="U232" s="5"/>
      <c r="V232" s="5"/>
      <c r="W232" s="5"/>
      <c r="X232" s="5"/>
      <c r="Y232" s="5" t="s">
        <v>1321</v>
      </c>
      <c r="Z232" s="5" t="s">
        <v>264</v>
      </c>
      <c r="AA232" s="5" t="s">
        <v>1322</v>
      </c>
      <c r="AB232" s="5" t="s">
        <v>46</v>
      </c>
      <c r="AC232" s="5"/>
      <c r="AD232" s="5" t="b">
        <v>0</v>
      </c>
      <c r="AE232" s="5"/>
      <c r="AF232" s="5"/>
      <c r="AG232" s="9">
        <f t="shared" si="3"/>
        <v>43266</v>
      </c>
    </row>
    <row r="233" s="6" customFormat="1" spans="1:33">
      <c r="A233" s="5" t="s">
        <v>1323</v>
      </c>
      <c r="B233" s="5" t="s">
        <v>1323</v>
      </c>
      <c r="C233" s="5" t="s">
        <v>1324</v>
      </c>
      <c r="D233" s="5" t="s">
        <v>1325</v>
      </c>
      <c r="E233" s="5" t="s">
        <v>36</v>
      </c>
      <c r="F233" s="5" t="s">
        <v>37</v>
      </c>
      <c r="G233" s="5" t="s">
        <v>38</v>
      </c>
      <c r="H233" s="5"/>
      <c r="I233" s="5"/>
      <c r="J233" s="5" t="s">
        <v>39</v>
      </c>
      <c r="K233" s="5" t="s">
        <v>201</v>
      </c>
      <c r="L233" s="5" t="s">
        <v>202</v>
      </c>
      <c r="M233" s="5" t="s">
        <v>203</v>
      </c>
      <c r="N233" s="5" t="s">
        <v>36</v>
      </c>
      <c r="O233" s="5">
        <v>1</v>
      </c>
      <c r="P233" s="5" t="s">
        <v>43</v>
      </c>
      <c r="Q233" s="5">
        <v>18.99</v>
      </c>
      <c r="R233" s="5"/>
      <c r="S233" s="5"/>
      <c r="T233" s="5"/>
      <c r="U233" s="5"/>
      <c r="V233" s="5"/>
      <c r="W233" s="5"/>
      <c r="X233" s="5"/>
      <c r="Y233" s="5" t="s">
        <v>1326</v>
      </c>
      <c r="Z233" s="5" t="s">
        <v>247</v>
      </c>
      <c r="AA233" s="5" t="s">
        <v>1327</v>
      </c>
      <c r="AB233" s="5" t="s">
        <v>46</v>
      </c>
      <c r="AC233" s="5"/>
      <c r="AD233" s="5" t="b">
        <v>0</v>
      </c>
      <c r="AE233" s="5"/>
      <c r="AF233" s="5"/>
      <c r="AG233" s="9">
        <f t="shared" si="3"/>
        <v>43267</v>
      </c>
    </row>
    <row r="234" s="6" customFormat="1" spans="1:33">
      <c r="A234" s="5" t="s">
        <v>1328</v>
      </c>
      <c r="B234" s="5" t="s">
        <v>1328</v>
      </c>
      <c r="C234" s="5" t="s">
        <v>1329</v>
      </c>
      <c r="D234" s="5" t="s">
        <v>1330</v>
      </c>
      <c r="E234" s="5" t="s">
        <v>36</v>
      </c>
      <c r="F234" s="5" t="s">
        <v>37</v>
      </c>
      <c r="G234" s="5" t="s">
        <v>38</v>
      </c>
      <c r="H234" s="5"/>
      <c r="I234" s="5"/>
      <c r="J234" s="5" t="s">
        <v>39</v>
      </c>
      <c r="K234" s="5" t="s">
        <v>50</v>
      </c>
      <c r="L234" s="5" t="s">
        <v>51</v>
      </c>
      <c r="M234" s="5" t="s">
        <v>52</v>
      </c>
      <c r="N234" s="5" t="s">
        <v>36</v>
      </c>
      <c r="O234" s="5">
        <v>1</v>
      </c>
      <c r="P234" s="5" t="s">
        <v>43</v>
      </c>
      <c r="Q234" s="5">
        <v>18.99</v>
      </c>
      <c r="R234" s="5"/>
      <c r="S234" s="5"/>
      <c r="T234" s="5"/>
      <c r="U234" s="5"/>
      <c r="V234" s="5"/>
      <c r="W234" s="5"/>
      <c r="X234" s="5"/>
      <c r="Y234" s="5" t="s">
        <v>1331</v>
      </c>
      <c r="Z234" s="5" t="s">
        <v>307</v>
      </c>
      <c r="AA234" s="5" t="s">
        <v>1332</v>
      </c>
      <c r="AB234" s="5" t="s">
        <v>46</v>
      </c>
      <c r="AC234" s="5"/>
      <c r="AD234" s="5" t="b">
        <v>0</v>
      </c>
      <c r="AE234" s="5"/>
      <c r="AF234" s="5"/>
      <c r="AG234" s="9">
        <f t="shared" si="3"/>
        <v>43267</v>
      </c>
    </row>
    <row r="235" s="6" customFormat="1" spans="1:33">
      <c r="A235" s="5" t="s">
        <v>1333</v>
      </c>
      <c r="B235" s="5" t="s">
        <v>1333</v>
      </c>
      <c r="C235" s="5" t="s">
        <v>1334</v>
      </c>
      <c r="D235" s="5" t="s">
        <v>1335</v>
      </c>
      <c r="E235" s="5" t="s">
        <v>36</v>
      </c>
      <c r="F235" s="5" t="s">
        <v>37</v>
      </c>
      <c r="G235" s="5" t="s">
        <v>38</v>
      </c>
      <c r="H235" s="5"/>
      <c r="I235" s="5"/>
      <c r="J235" s="5" t="s">
        <v>39</v>
      </c>
      <c r="K235" s="5" t="s">
        <v>1336</v>
      </c>
      <c r="L235" s="5" t="s">
        <v>374</v>
      </c>
      <c r="M235" s="5" t="s">
        <v>375</v>
      </c>
      <c r="N235" s="5" t="s">
        <v>36</v>
      </c>
      <c r="O235" s="5">
        <v>1</v>
      </c>
      <c r="P235" s="5" t="s">
        <v>43</v>
      </c>
      <c r="Q235" s="5">
        <v>9.99</v>
      </c>
      <c r="R235" s="5"/>
      <c r="S235" s="5"/>
      <c r="T235" s="5"/>
      <c r="U235" s="5"/>
      <c r="V235" s="5"/>
      <c r="W235" s="5"/>
      <c r="X235" s="5"/>
      <c r="Y235" s="5" t="s">
        <v>1337</v>
      </c>
      <c r="Z235" s="5" t="s">
        <v>54</v>
      </c>
      <c r="AA235" s="5" t="s">
        <v>1338</v>
      </c>
      <c r="AB235" s="5" t="s">
        <v>46</v>
      </c>
      <c r="AC235" s="5"/>
      <c r="AD235" s="5" t="b">
        <v>0</v>
      </c>
      <c r="AE235" s="5"/>
      <c r="AF235" s="5"/>
      <c r="AG235" s="9">
        <f t="shared" si="3"/>
        <v>43267</v>
      </c>
    </row>
    <row r="236" s="6" customFormat="1" spans="1:33">
      <c r="A236" s="5" t="s">
        <v>1339</v>
      </c>
      <c r="B236" s="5" t="s">
        <v>1339</v>
      </c>
      <c r="C236" s="5" t="s">
        <v>1340</v>
      </c>
      <c r="D236" s="5" t="s">
        <v>1341</v>
      </c>
      <c r="E236" s="5" t="s">
        <v>36</v>
      </c>
      <c r="F236" s="5" t="s">
        <v>37</v>
      </c>
      <c r="G236" s="5" t="s">
        <v>38</v>
      </c>
      <c r="H236" s="5"/>
      <c r="I236" s="5"/>
      <c r="J236" s="5" t="s">
        <v>39</v>
      </c>
      <c r="K236" s="5" t="s">
        <v>278</v>
      </c>
      <c r="L236" s="5" t="s">
        <v>279</v>
      </c>
      <c r="M236" s="5" t="s">
        <v>280</v>
      </c>
      <c r="N236" s="5" t="s">
        <v>36</v>
      </c>
      <c r="O236" s="5">
        <v>1</v>
      </c>
      <c r="P236" s="5" t="s">
        <v>43</v>
      </c>
      <c r="Q236" s="5">
        <v>24.99</v>
      </c>
      <c r="R236" s="5"/>
      <c r="S236" s="5"/>
      <c r="T236" s="5"/>
      <c r="U236" s="5"/>
      <c r="V236" s="5"/>
      <c r="W236" s="5"/>
      <c r="X236" s="5"/>
      <c r="Y236" s="5" t="s">
        <v>1342</v>
      </c>
      <c r="Z236" s="5" t="s">
        <v>130</v>
      </c>
      <c r="AA236" s="5">
        <v>24946</v>
      </c>
      <c r="AB236" s="5" t="s">
        <v>46</v>
      </c>
      <c r="AC236" s="5"/>
      <c r="AD236" s="5" t="b">
        <v>0</v>
      </c>
      <c r="AE236" s="5"/>
      <c r="AF236" s="5"/>
      <c r="AG236" s="9">
        <f t="shared" si="3"/>
        <v>43267</v>
      </c>
    </row>
    <row r="237" s="6" customFormat="1" spans="1:33">
      <c r="A237" s="5" t="s">
        <v>1343</v>
      </c>
      <c r="B237" s="5" t="s">
        <v>1343</v>
      </c>
      <c r="C237" s="5" t="s">
        <v>1344</v>
      </c>
      <c r="D237" s="5" t="s">
        <v>1345</v>
      </c>
      <c r="E237" s="5" t="s">
        <v>36</v>
      </c>
      <c r="F237" s="5" t="s">
        <v>37</v>
      </c>
      <c r="G237" s="5" t="s">
        <v>38</v>
      </c>
      <c r="H237" s="5"/>
      <c r="I237" s="5"/>
      <c r="J237" s="5" t="s">
        <v>39</v>
      </c>
      <c r="K237" s="5" t="s">
        <v>75</v>
      </c>
      <c r="L237" s="5" t="s">
        <v>76</v>
      </c>
      <c r="M237" s="5" t="s">
        <v>77</v>
      </c>
      <c r="N237" s="5" t="s">
        <v>36</v>
      </c>
      <c r="O237" s="5">
        <v>1</v>
      </c>
      <c r="P237" s="5" t="s">
        <v>43</v>
      </c>
      <c r="Q237" s="5">
        <v>12.99</v>
      </c>
      <c r="R237" s="5">
        <v>0.78</v>
      </c>
      <c r="S237" s="5"/>
      <c r="T237" s="5"/>
      <c r="U237" s="5"/>
      <c r="V237" s="5"/>
      <c r="W237" s="5"/>
      <c r="X237" s="5"/>
      <c r="Y237" s="5" t="s">
        <v>1346</v>
      </c>
      <c r="Z237" s="5" t="s">
        <v>255</v>
      </c>
      <c r="AA237" s="5" t="s">
        <v>1347</v>
      </c>
      <c r="AB237" s="5" t="s">
        <v>46</v>
      </c>
      <c r="AC237" s="5"/>
      <c r="AD237" s="5" t="b">
        <v>0</v>
      </c>
      <c r="AE237" s="5"/>
      <c r="AF237" s="5"/>
      <c r="AG237" s="9">
        <f t="shared" si="3"/>
        <v>43267</v>
      </c>
    </row>
    <row r="238" s="6" customFormat="1" spans="1:33">
      <c r="A238" s="5" t="s">
        <v>1348</v>
      </c>
      <c r="B238" s="5" t="s">
        <v>1348</v>
      </c>
      <c r="C238" s="5" t="s">
        <v>1349</v>
      </c>
      <c r="D238" s="5" t="s">
        <v>1350</v>
      </c>
      <c r="E238" s="5" t="s">
        <v>36</v>
      </c>
      <c r="F238" s="5" t="s">
        <v>37</v>
      </c>
      <c r="G238" s="5" t="s">
        <v>38</v>
      </c>
      <c r="H238" s="5"/>
      <c r="I238" s="5"/>
      <c r="J238" s="5" t="s">
        <v>39</v>
      </c>
      <c r="K238" s="5" t="s">
        <v>570</v>
      </c>
      <c r="L238" s="5" t="s">
        <v>578</v>
      </c>
      <c r="M238" s="5" t="s">
        <v>572</v>
      </c>
      <c r="N238" s="5" t="s">
        <v>36</v>
      </c>
      <c r="O238" s="5">
        <v>1</v>
      </c>
      <c r="P238" s="5" t="s">
        <v>43</v>
      </c>
      <c r="Q238" s="5">
        <v>24.99</v>
      </c>
      <c r="R238" s="5"/>
      <c r="S238" s="5"/>
      <c r="T238" s="5"/>
      <c r="U238" s="5"/>
      <c r="V238" s="5"/>
      <c r="W238" s="5"/>
      <c r="X238" s="5"/>
      <c r="Y238" s="5" t="s">
        <v>1351</v>
      </c>
      <c r="Z238" s="5" t="s">
        <v>142</v>
      </c>
      <c r="AA238" s="5" t="s">
        <v>1352</v>
      </c>
      <c r="AB238" s="5" t="s">
        <v>46</v>
      </c>
      <c r="AC238" s="5"/>
      <c r="AD238" s="5" t="b">
        <v>0</v>
      </c>
      <c r="AE238" s="5"/>
      <c r="AF238" s="5"/>
      <c r="AG238" s="9">
        <f t="shared" si="3"/>
        <v>43267</v>
      </c>
    </row>
    <row r="239" s="6" customFormat="1" spans="1:33">
      <c r="A239" s="5" t="s">
        <v>1353</v>
      </c>
      <c r="B239" s="5" t="s">
        <v>1353</v>
      </c>
      <c r="C239" s="5" t="s">
        <v>1354</v>
      </c>
      <c r="D239" s="5" t="s">
        <v>1355</v>
      </c>
      <c r="E239" s="5" t="s">
        <v>36</v>
      </c>
      <c r="F239" s="5" t="s">
        <v>37</v>
      </c>
      <c r="G239" s="5" t="s">
        <v>38</v>
      </c>
      <c r="H239" s="5"/>
      <c r="I239" s="5"/>
      <c r="J239" s="5" t="s">
        <v>128</v>
      </c>
      <c r="K239" s="5" t="s">
        <v>110</v>
      </c>
      <c r="L239" s="5" t="s">
        <v>111</v>
      </c>
      <c r="M239" s="5" t="s">
        <v>112</v>
      </c>
      <c r="N239" s="5" t="s">
        <v>36</v>
      </c>
      <c r="O239" s="5">
        <v>1</v>
      </c>
      <c r="P239" s="5" t="s">
        <v>43</v>
      </c>
      <c r="Q239" s="5">
        <v>12.99</v>
      </c>
      <c r="R239" s="5"/>
      <c r="S239" s="5">
        <v>1.03</v>
      </c>
      <c r="T239" s="5"/>
      <c r="U239" s="5"/>
      <c r="V239" s="5"/>
      <c r="W239" s="5"/>
      <c r="X239" s="5">
        <v>1.03</v>
      </c>
      <c r="Y239" s="5" t="s">
        <v>1356</v>
      </c>
      <c r="Z239" s="5" t="s">
        <v>606</v>
      </c>
      <c r="AA239" s="5" t="s">
        <v>1357</v>
      </c>
      <c r="AB239" s="5" t="s">
        <v>46</v>
      </c>
      <c r="AC239" s="5" t="s">
        <v>225</v>
      </c>
      <c r="AD239" s="5" t="b">
        <v>0</v>
      </c>
      <c r="AE239" s="5"/>
      <c r="AF239" s="5"/>
      <c r="AG239" s="9">
        <f t="shared" si="3"/>
        <v>43267</v>
      </c>
    </row>
    <row r="240" s="6" customFormat="1" spans="1:33">
      <c r="A240" s="5" t="s">
        <v>1358</v>
      </c>
      <c r="B240" s="5" t="s">
        <v>1358</v>
      </c>
      <c r="C240" s="5" t="s">
        <v>1359</v>
      </c>
      <c r="D240" s="5" t="s">
        <v>1360</v>
      </c>
      <c r="E240" s="5" t="s">
        <v>36</v>
      </c>
      <c r="F240" s="5" t="s">
        <v>37</v>
      </c>
      <c r="G240" s="5" t="s">
        <v>38</v>
      </c>
      <c r="H240" s="5"/>
      <c r="I240" s="5"/>
      <c r="J240" s="5" t="s">
        <v>39</v>
      </c>
      <c r="K240" s="5" t="s">
        <v>147</v>
      </c>
      <c r="L240" s="5" t="s">
        <v>148</v>
      </c>
      <c r="M240" s="5" t="s">
        <v>149</v>
      </c>
      <c r="N240" s="5" t="s">
        <v>36</v>
      </c>
      <c r="O240" s="5">
        <v>1</v>
      </c>
      <c r="P240" s="5" t="s">
        <v>43</v>
      </c>
      <c r="Q240" s="5">
        <v>12.98</v>
      </c>
      <c r="R240" s="5"/>
      <c r="S240" s="5"/>
      <c r="T240" s="5"/>
      <c r="U240" s="5"/>
      <c r="V240" s="5"/>
      <c r="W240" s="5">
        <v>0.65</v>
      </c>
      <c r="X240" s="5"/>
      <c r="Y240" s="5" t="s">
        <v>1361</v>
      </c>
      <c r="Z240" s="5" t="s">
        <v>105</v>
      </c>
      <c r="AA240" s="5" t="s">
        <v>1362</v>
      </c>
      <c r="AB240" s="5" t="s">
        <v>46</v>
      </c>
      <c r="AC240" s="5" t="s">
        <v>115</v>
      </c>
      <c r="AD240" s="5" t="b">
        <v>0</v>
      </c>
      <c r="AE240" s="5"/>
      <c r="AF240" s="5"/>
      <c r="AG240" s="9">
        <f t="shared" si="3"/>
        <v>43267</v>
      </c>
    </row>
    <row r="241" s="6" customFormat="1" spans="1:33">
      <c r="A241" s="5" t="s">
        <v>1358</v>
      </c>
      <c r="B241" s="5" t="s">
        <v>1358</v>
      </c>
      <c r="C241" s="5" t="s">
        <v>1359</v>
      </c>
      <c r="D241" s="5" t="s">
        <v>1360</v>
      </c>
      <c r="E241" s="5" t="s">
        <v>36</v>
      </c>
      <c r="F241" s="5" t="s">
        <v>37</v>
      </c>
      <c r="G241" s="5" t="s">
        <v>38</v>
      </c>
      <c r="H241" s="5"/>
      <c r="I241" s="5"/>
      <c r="J241" s="5" t="s">
        <v>39</v>
      </c>
      <c r="K241" s="5" t="s">
        <v>1291</v>
      </c>
      <c r="L241" s="5" t="s">
        <v>1292</v>
      </c>
      <c r="M241" s="5" t="s">
        <v>1293</v>
      </c>
      <c r="N241" s="5" t="s">
        <v>36</v>
      </c>
      <c r="O241" s="5">
        <v>1</v>
      </c>
      <c r="P241" s="5" t="s">
        <v>43</v>
      </c>
      <c r="Q241" s="5">
        <v>12.99</v>
      </c>
      <c r="R241" s="5"/>
      <c r="S241" s="5"/>
      <c r="T241" s="5"/>
      <c r="U241" s="5"/>
      <c r="V241" s="5"/>
      <c r="W241" s="5">
        <v>0.65</v>
      </c>
      <c r="X241" s="5"/>
      <c r="Y241" s="5" t="s">
        <v>1361</v>
      </c>
      <c r="Z241" s="5" t="s">
        <v>105</v>
      </c>
      <c r="AA241" s="5" t="s">
        <v>1362</v>
      </c>
      <c r="AB241" s="5" t="s">
        <v>46</v>
      </c>
      <c r="AC241" s="5" t="s">
        <v>115</v>
      </c>
      <c r="AD241" s="5" t="b">
        <v>0</v>
      </c>
      <c r="AE241" s="5"/>
      <c r="AF241" s="5"/>
      <c r="AG241" s="9">
        <f t="shared" si="3"/>
        <v>43267</v>
      </c>
    </row>
    <row r="242" s="6" customFormat="1" spans="1:33">
      <c r="A242" s="5" t="s">
        <v>1363</v>
      </c>
      <c r="B242" s="5" t="s">
        <v>1363</v>
      </c>
      <c r="C242" s="5" t="s">
        <v>1364</v>
      </c>
      <c r="D242" s="5" t="s">
        <v>1365</v>
      </c>
      <c r="E242" s="5" t="s">
        <v>614</v>
      </c>
      <c r="F242" s="5" t="s">
        <v>37</v>
      </c>
      <c r="G242" s="5" t="s">
        <v>38</v>
      </c>
      <c r="H242" s="5"/>
      <c r="I242" s="5"/>
      <c r="J242" s="5" t="s">
        <v>39</v>
      </c>
      <c r="K242" s="5" t="s">
        <v>312</v>
      </c>
      <c r="L242" s="5" t="s">
        <v>313</v>
      </c>
      <c r="M242" s="5" t="s">
        <v>314</v>
      </c>
      <c r="N242" s="5" t="s">
        <v>614</v>
      </c>
      <c r="O242" s="5">
        <v>0</v>
      </c>
      <c r="P242" s="5"/>
      <c r="Q242" s="5"/>
      <c r="R242" s="5"/>
      <c r="S242" s="5"/>
      <c r="T242" s="5"/>
      <c r="U242" s="5"/>
      <c r="V242" s="5"/>
      <c r="W242" s="5"/>
      <c r="X242" s="5"/>
      <c r="Y242" s="5" t="s">
        <v>1366</v>
      </c>
      <c r="Z242" s="5" t="s">
        <v>307</v>
      </c>
      <c r="AA242" s="5" t="s">
        <v>1367</v>
      </c>
      <c r="AB242" s="5" t="s">
        <v>46</v>
      </c>
      <c r="AC242" s="5"/>
      <c r="AD242" s="5" t="b">
        <v>0</v>
      </c>
      <c r="AE242" s="5"/>
      <c r="AF242" s="5"/>
      <c r="AG242" s="9">
        <f t="shared" si="3"/>
        <v>43267</v>
      </c>
    </row>
    <row r="243" s="6" customFormat="1" spans="1:33">
      <c r="A243" s="5" t="s">
        <v>1368</v>
      </c>
      <c r="B243" s="5" t="s">
        <v>1368</v>
      </c>
      <c r="C243" s="5" t="s">
        <v>1369</v>
      </c>
      <c r="D243" s="5" t="s">
        <v>1370</v>
      </c>
      <c r="E243" s="5" t="s">
        <v>614</v>
      </c>
      <c r="F243" s="5" t="s">
        <v>37</v>
      </c>
      <c r="G243" s="5" t="s">
        <v>38</v>
      </c>
      <c r="H243" s="5"/>
      <c r="I243" s="5"/>
      <c r="J243" s="5" t="s">
        <v>39</v>
      </c>
      <c r="K243" s="5" t="s">
        <v>50</v>
      </c>
      <c r="L243" s="5" t="s">
        <v>51</v>
      </c>
      <c r="M243" s="5" t="s">
        <v>52</v>
      </c>
      <c r="N243" s="5" t="s">
        <v>614</v>
      </c>
      <c r="O243" s="5">
        <v>0</v>
      </c>
      <c r="P243" s="5"/>
      <c r="Q243" s="5"/>
      <c r="R243" s="5"/>
      <c r="S243" s="5"/>
      <c r="T243" s="5"/>
      <c r="U243" s="5"/>
      <c r="V243" s="5"/>
      <c r="W243" s="5"/>
      <c r="X243" s="5"/>
      <c r="Y243" s="5" t="s">
        <v>1278</v>
      </c>
      <c r="Z243" s="5" t="s">
        <v>923</v>
      </c>
      <c r="AA243" s="5" t="s">
        <v>1371</v>
      </c>
      <c r="AB243" s="5" t="s">
        <v>46</v>
      </c>
      <c r="AC243" s="5"/>
      <c r="AD243" s="5" t="b">
        <v>0</v>
      </c>
      <c r="AE243" s="5"/>
      <c r="AF243" s="5"/>
      <c r="AG243" s="9">
        <f t="shared" si="3"/>
        <v>43267</v>
      </c>
    </row>
    <row r="244" s="6" customFormat="1" spans="1:33">
      <c r="A244" s="5" t="s">
        <v>1372</v>
      </c>
      <c r="B244" s="5" t="s">
        <v>1372</v>
      </c>
      <c r="C244" s="5" t="s">
        <v>1373</v>
      </c>
      <c r="D244" s="5" t="s">
        <v>1374</v>
      </c>
      <c r="E244" s="5" t="s">
        <v>36</v>
      </c>
      <c r="F244" s="5" t="s">
        <v>37</v>
      </c>
      <c r="G244" s="5" t="s">
        <v>38</v>
      </c>
      <c r="H244" s="5"/>
      <c r="I244" s="5"/>
      <c r="J244" s="5" t="s">
        <v>39</v>
      </c>
      <c r="K244" s="5" t="s">
        <v>147</v>
      </c>
      <c r="L244" s="5" t="s">
        <v>148</v>
      </c>
      <c r="M244" s="5" t="s">
        <v>149</v>
      </c>
      <c r="N244" s="5" t="s">
        <v>36</v>
      </c>
      <c r="O244" s="5">
        <v>1</v>
      </c>
      <c r="P244" s="5" t="s">
        <v>43</v>
      </c>
      <c r="Q244" s="5">
        <v>12.98</v>
      </c>
      <c r="R244" s="5"/>
      <c r="S244" s="5"/>
      <c r="T244" s="5"/>
      <c r="U244" s="5"/>
      <c r="V244" s="5"/>
      <c r="W244" s="5"/>
      <c r="X244" s="5"/>
      <c r="Y244" s="5" t="s">
        <v>1375</v>
      </c>
      <c r="Z244" s="5" t="s">
        <v>54</v>
      </c>
      <c r="AA244" s="5">
        <v>91367</v>
      </c>
      <c r="AB244" s="5" t="s">
        <v>46</v>
      </c>
      <c r="AC244" s="5"/>
      <c r="AD244" s="5" t="b">
        <v>0</v>
      </c>
      <c r="AE244" s="5"/>
      <c r="AF244" s="5"/>
      <c r="AG244" s="9">
        <f t="shared" si="3"/>
        <v>43267</v>
      </c>
    </row>
    <row r="245" s="6" customFormat="1" spans="1:33">
      <c r="A245" s="5" t="s">
        <v>1376</v>
      </c>
      <c r="B245" s="5" t="s">
        <v>1376</v>
      </c>
      <c r="C245" s="5" t="s">
        <v>1377</v>
      </c>
      <c r="D245" s="5" t="s">
        <v>1378</v>
      </c>
      <c r="E245" s="5" t="s">
        <v>36</v>
      </c>
      <c r="F245" s="5" t="s">
        <v>37</v>
      </c>
      <c r="G245" s="5" t="s">
        <v>38</v>
      </c>
      <c r="H245" s="5"/>
      <c r="I245" s="5"/>
      <c r="J245" s="5" t="s">
        <v>128</v>
      </c>
      <c r="K245" s="5" t="s">
        <v>75</v>
      </c>
      <c r="L245" s="5" t="s">
        <v>76</v>
      </c>
      <c r="M245" s="5" t="s">
        <v>77</v>
      </c>
      <c r="N245" s="5" t="s">
        <v>36</v>
      </c>
      <c r="O245" s="5">
        <v>1</v>
      </c>
      <c r="P245" s="5" t="s">
        <v>43</v>
      </c>
      <c r="Q245" s="5">
        <v>12.99</v>
      </c>
      <c r="R245" s="5"/>
      <c r="S245" s="5">
        <v>1.99</v>
      </c>
      <c r="T245" s="5"/>
      <c r="U245" s="5"/>
      <c r="V245" s="5"/>
      <c r="W245" s="5"/>
      <c r="X245" s="5">
        <v>1.99</v>
      </c>
      <c r="Y245" s="5" t="s">
        <v>1379</v>
      </c>
      <c r="Z245" s="5" t="s">
        <v>54</v>
      </c>
      <c r="AA245" s="5" t="s">
        <v>1380</v>
      </c>
      <c r="AB245" s="5" t="s">
        <v>46</v>
      </c>
      <c r="AC245" s="5" t="s">
        <v>225</v>
      </c>
      <c r="AD245" s="5" t="b">
        <v>0</v>
      </c>
      <c r="AE245" s="5"/>
      <c r="AF245" s="5"/>
      <c r="AG245" s="9">
        <f t="shared" si="3"/>
        <v>43267</v>
      </c>
    </row>
    <row r="246" s="6" customFormat="1" spans="1:33">
      <c r="A246" s="5" t="s">
        <v>1381</v>
      </c>
      <c r="B246" s="5" t="s">
        <v>1381</v>
      </c>
      <c r="C246" s="5" t="s">
        <v>1382</v>
      </c>
      <c r="D246" s="5" t="s">
        <v>1383</v>
      </c>
      <c r="E246" s="5" t="s">
        <v>614</v>
      </c>
      <c r="F246" s="5" t="s">
        <v>37</v>
      </c>
      <c r="G246" s="5" t="s">
        <v>38</v>
      </c>
      <c r="H246" s="5"/>
      <c r="I246" s="5"/>
      <c r="J246" s="5" t="s">
        <v>39</v>
      </c>
      <c r="K246" s="5" t="s">
        <v>119</v>
      </c>
      <c r="L246" s="5" t="s">
        <v>120</v>
      </c>
      <c r="M246" s="5" t="s">
        <v>121</v>
      </c>
      <c r="N246" s="5" t="s">
        <v>614</v>
      </c>
      <c r="O246" s="5">
        <v>0</v>
      </c>
      <c r="P246" s="5"/>
      <c r="Q246" s="5"/>
      <c r="R246" s="5"/>
      <c r="S246" s="5"/>
      <c r="T246" s="5"/>
      <c r="U246" s="5"/>
      <c r="V246" s="5"/>
      <c r="W246" s="5"/>
      <c r="X246" s="5"/>
      <c r="Y246" s="5" t="s">
        <v>1384</v>
      </c>
      <c r="Z246" s="5" t="s">
        <v>151</v>
      </c>
      <c r="AA246" s="5" t="s">
        <v>1385</v>
      </c>
      <c r="AB246" s="5" t="s">
        <v>46</v>
      </c>
      <c r="AC246" s="5"/>
      <c r="AD246" s="5" t="b">
        <v>0</v>
      </c>
      <c r="AE246" s="5"/>
      <c r="AF246" s="5"/>
      <c r="AG246" s="9">
        <f t="shared" si="3"/>
        <v>43267</v>
      </c>
    </row>
    <row r="247" s="6" customFormat="1" spans="1:33">
      <c r="A247" s="5" t="s">
        <v>1386</v>
      </c>
      <c r="B247" s="5" t="s">
        <v>1386</v>
      </c>
      <c r="C247" s="5" t="s">
        <v>1387</v>
      </c>
      <c r="D247" s="5" t="s">
        <v>1388</v>
      </c>
      <c r="E247" s="5" t="s">
        <v>36</v>
      </c>
      <c r="F247" s="5" t="s">
        <v>37</v>
      </c>
      <c r="G247" s="5" t="s">
        <v>38</v>
      </c>
      <c r="H247" s="5"/>
      <c r="I247" s="5"/>
      <c r="J247" s="5" t="s">
        <v>39</v>
      </c>
      <c r="K247" s="5" t="s">
        <v>75</v>
      </c>
      <c r="L247" s="5" t="s">
        <v>76</v>
      </c>
      <c r="M247" s="5" t="s">
        <v>77</v>
      </c>
      <c r="N247" s="5" t="s">
        <v>36</v>
      </c>
      <c r="O247" s="5">
        <v>1</v>
      </c>
      <c r="P247" s="5" t="s">
        <v>43</v>
      </c>
      <c r="Q247" s="5">
        <v>12.99</v>
      </c>
      <c r="R247" s="5"/>
      <c r="S247" s="5"/>
      <c r="T247" s="5"/>
      <c r="U247" s="5"/>
      <c r="V247" s="5"/>
      <c r="W247" s="5"/>
      <c r="X247" s="5"/>
      <c r="Y247" s="5" t="s">
        <v>1389</v>
      </c>
      <c r="Z247" s="5" t="s">
        <v>377</v>
      </c>
      <c r="AA247" s="5" t="s">
        <v>1390</v>
      </c>
      <c r="AB247" s="5" t="s">
        <v>46</v>
      </c>
      <c r="AC247" s="5"/>
      <c r="AD247" s="5" t="b">
        <v>0</v>
      </c>
      <c r="AE247" s="5"/>
      <c r="AF247" s="5"/>
      <c r="AG247" s="9">
        <f t="shared" si="3"/>
        <v>43267</v>
      </c>
    </row>
    <row r="248" s="6" customFormat="1" spans="1:33">
      <c r="A248" s="5" t="s">
        <v>1391</v>
      </c>
      <c r="B248" s="5" t="s">
        <v>1391</v>
      </c>
      <c r="C248" s="5" t="s">
        <v>1392</v>
      </c>
      <c r="D248" s="5" t="s">
        <v>1393</v>
      </c>
      <c r="E248" s="5" t="s">
        <v>36</v>
      </c>
      <c r="F248" s="5" t="s">
        <v>37</v>
      </c>
      <c r="G248" s="5" t="s">
        <v>38</v>
      </c>
      <c r="H248" s="5"/>
      <c r="I248" s="5"/>
      <c r="J248" s="5" t="s">
        <v>39</v>
      </c>
      <c r="K248" s="5" t="s">
        <v>147</v>
      </c>
      <c r="L248" s="5" t="s">
        <v>148</v>
      </c>
      <c r="M248" s="5" t="s">
        <v>149</v>
      </c>
      <c r="N248" s="5" t="s">
        <v>36</v>
      </c>
      <c r="O248" s="5">
        <v>1</v>
      </c>
      <c r="P248" s="5" t="s">
        <v>43</v>
      </c>
      <c r="Q248" s="5">
        <v>12.98</v>
      </c>
      <c r="R248" s="5"/>
      <c r="S248" s="5"/>
      <c r="T248" s="5"/>
      <c r="U248" s="5"/>
      <c r="V248" s="5"/>
      <c r="W248" s="5"/>
      <c r="X248" s="5"/>
      <c r="Y248" s="5" t="s">
        <v>1394</v>
      </c>
      <c r="Z248" s="5" t="s">
        <v>87</v>
      </c>
      <c r="AA248" s="5" t="s">
        <v>1395</v>
      </c>
      <c r="AB248" s="5" t="s">
        <v>46</v>
      </c>
      <c r="AC248" s="5"/>
      <c r="AD248" s="5" t="b">
        <v>0</v>
      </c>
      <c r="AE248" s="5"/>
      <c r="AF248" s="5"/>
      <c r="AG248" s="9">
        <f t="shared" si="3"/>
        <v>43267</v>
      </c>
    </row>
    <row r="249" s="6" customFormat="1" spans="1:33">
      <c r="A249" s="5" t="s">
        <v>1396</v>
      </c>
      <c r="B249" s="5" t="s">
        <v>1396</v>
      </c>
      <c r="C249" s="5" t="s">
        <v>1397</v>
      </c>
      <c r="D249" s="5" t="s">
        <v>1398</v>
      </c>
      <c r="E249" s="5" t="s">
        <v>36</v>
      </c>
      <c r="F249" s="5" t="s">
        <v>37</v>
      </c>
      <c r="G249" s="5" t="s">
        <v>38</v>
      </c>
      <c r="H249" s="5"/>
      <c r="I249" s="5"/>
      <c r="J249" s="5" t="s">
        <v>39</v>
      </c>
      <c r="K249" s="5" t="s">
        <v>101</v>
      </c>
      <c r="L249" s="5" t="s">
        <v>102</v>
      </c>
      <c r="M249" s="5" t="s">
        <v>103</v>
      </c>
      <c r="N249" s="5" t="s">
        <v>36</v>
      </c>
      <c r="O249" s="5">
        <v>1</v>
      </c>
      <c r="P249" s="5" t="s">
        <v>43</v>
      </c>
      <c r="Q249" s="5">
        <v>12.99</v>
      </c>
      <c r="R249" s="5"/>
      <c r="S249" s="5"/>
      <c r="T249" s="5"/>
      <c r="U249" s="5"/>
      <c r="V249" s="5"/>
      <c r="W249" s="5"/>
      <c r="X249" s="5"/>
      <c r="Y249" s="5" t="s">
        <v>796</v>
      </c>
      <c r="Z249" s="5" t="s">
        <v>54</v>
      </c>
      <c r="AA249" s="5" t="s">
        <v>1399</v>
      </c>
      <c r="AB249" s="5" t="s">
        <v>46</v>
      </c>
      <c r="AC249" s="5"/>
      <c r="AD249" s="5" t="b">
        <v>0</v>
      </c>
      <c r="AE249" s="5"/>
      <c r="AF249" s="5"/>
      <c r="AG249" s="9">
        <f t="shared" si="3"/>
        <v>43267</v>
      </c>
    </row>
    <row r="250" s="6" customFormat="1" spans="1:33">
      <c r="A250" s="5" t="s">
        <v>1400</v>
      </c>
      <c r="B250" s="5" t="s">
        <v>1400</v>
      </c>
      <c r="C250" s="5" t="s">
        <v>1401</v>
      </c>
      <c r="D250" s="5" t="s">
        <v>1402</v>
      </c>
      <c r="E250" s="5" t="s">
        <v>36</v>
      </c>
      <c r="F250" s="5" t="s">
        <v>37</v>
      </c>
      <c r="G250" s="5" t="s">
        <v>38</v>
      </c>
      <c r="H250" s="5"/>
      <c r="I250" s="5"/>
      <c r="J250" s="5" t="s">
        <v>39</v>
      </c>
      <c r="K250" s="5" t="s">
        <v>278</v>
      </c>
      <c r="L250" s="5" t="s">
        <v>279</v>
      </c>
      <c r="M250" s="5" t="s">
        <v>280</v>
      </c>
      <c r="N250" s="5" t="s">
        <v>36</v>
      </c>
      <c r="O250" s="5">
        <v>1</v>
      </c>
      <c r="P250" s="5" t="s">
        <v>43</v>
      </c>
      <c r="Q250" s="5">
        <v>24.99</v>
      </c>
      <c r="R250" s="5"/>
      <c r="S250" s="5"/>
      <c r="T250" s="5"/>
      <c r="U250" s="5"/>
      <c r="V250" s="5"/>
      <c r="W250" s="5"/>
      <c r="X250" s="5"/>
      <c r="Y250" s="5" t="s">
        <v>1403</v>
      </c>
      <c r="Z250" s="5" t="s">
        <v>151</v>
      </c>
      <c r="AA250" s="5">
        <v>11412</v>
      </c>
      <c r="AB250" s="5" t="s">
        <v>46</v>
      </c>
      <c r="AC250" s="5"/>
      <c r="AD250" s="5" t="b">
        <v>0</v>
      </c>
      <c r="AE250" s="5"/>
      <c r="AF250" s="5"/>
      <c r="AG250" s="9">
        <f t="shared" si="3"/>
        <v>43267</v>
      </c>
    </row>
    <row r="251" s="6" customFormat="1" spans="1:33">
      <c r="A251" s="5" t="s">
        <v>1404</v>
      </c>
      <c r="B251" s="5" t="s">
        <v>1404</v>
      </c>
      <c r="C251" s="5" t="s">
        <v>1405</v>
      </c>
      <c r="D251" s="5" t="s">
        <v>1406</v>
      </c>
      <c r="E251" s="5" t="s">
        <v>36</v>
      </c>
      <c r="F251" s="5" t="s">
        <v>37</v>
      </c>
      <c r="G251" s="5" t="s">
        <v>38</v>
      </c>
      <c r="H251" s="5"/>
      <c r="I251" s="5"/>
      <c r="J251" s="5" t="s">
        <v>39</v>
      </c>
      <c r="K251" s="5" t="s">
        <v>1407</v>
      </c>
      <c r="L251" s="5" t="s">
        <v>1408</v>
      </c>
      <c r="M251" s="5" t="s">
        <v>1409</v>
      </c>
      <c r="N251" s="5" t="s">
        <v>36</v>
      </c>
      <c r="O251" s="5">
        <v>1</v>
      </c>
      <c r="P251" s="5" t="s">
        <v>43</v>
      </c>
      <c r="Q251" s="5">
        <v>29.99</v>
      </c>
      <c r="R251" s="5"/>
      <c r="S251" s="5"/>
      <c r="T251" s="5"/>
      <c r="U251" s="5"/>
      <c r="V251" s="5"/>
      <c r="W251" s="5"/>
      <c r="X251" s="5"/>
      <c r="Y251" s="5" t="s">
        <v>1410</v>
      </c>
      <c r="Z251" s="5" t="s">
        <v>183</v>
      </c>
      <c r="AA251" s="5">
        <v>27215</v>
      </c>
      <c r="AB251" s="5" t="s">
        <v>46</v>
      </c>
      <c r="AC251" s="5"/>
      <c r="AD251" s="5" t="b">
        <v>0</v>
      </c>
      <c r="AE251" s="5"/>
      <c r="AF251" s="5"/>
      <c r="AG251" s="9">
        <f t="shared" si="3"/>
        <v>43267</v>
      </c>
    </row>
    <row r="252" s="6" customFormat="1" spans="1:33">
      <c r="A252" s="5" t="s">
        <v>1411</v>
      </c>
      <c r="B252" s="5" t="s">
        <v>1411</v>
      </c>
      <c r="C252" s="5" t="s">
        <v>1412</v>
      </c>
      <c r="D252" s="5" t="s">
        <v>1413</v>
      </c>
      <c r="E252" s="5" t="s">
        <v>36</v>
      </c>
      <c r="F252" s="5" t="s">
        <v>37</v>
      </c>
      <c r="G252" s="5" t="s">
        <v>38</v>
      </c>
      <c r="H252" s="5"/>
      <c r="I252" s="5"/>
      <c r="J252" s="5" t="s">
        <v>39</v>
      </c>
      <c r="K252" s="5" t="s">
        <v>243</v>
      </c>
      <c r="L252" s="5" t="s">
        <v>301</v>
      </c>
      <c r="M252" s="5" t="s">
        <v>245</v>
      </c>
      <c r="N252" s="5" t="s">
        <v>36</v>
      </c>
      <c r="O252" s="5">
        <v>1</v>
      </c>
      <c r="P252" s="5" t="s">
        <v>43</v>
      </c>
      <c r="Q252" s="5">
        <v>18.99</v>
      </c>
      <c r="R252" s="5"/>
      <c r="S252" s="5"/>
      <c r="T252" s="5"/>
      <c r="U252" s="5"/>
      <c r="V252" s="5"/>
      <c r="W252" s="5"/>
      <c r="X252" s="5"/>
      <c r="Y252" s="5" t="s">
        <v>1414</v>
      </c>
      <c r="Z252" s="5" t="s">
        <v>142</v>
      </c>
      <c r="AA252" s="5" t="s">
        <v>1415</v>
      </c>
      <c r="AB252" s="5" t="s">
        <v>46</v>
      </c>
      <c r="AC252" s="5"/>
      <c r="AD252" s="5" t="b">
        <v>0</v>
      </c>
      <c r="AE252" s="5"/>
      <c r="AF252" s="5"/>
      <c r="AG252" s="9">
        <f t="shared" si="3"/>
        <v>43267</v>
      </c>
    </row>
    <row r="253" s="6" customFormat="1" spans="1:33">
      <c r="A253" s="5" t="s">
        <v>1416</v>
      </c>
      <c r="B253" s="5" t="s">
        <v>1416</v>
      </c>
      <c r="C253" s="5" t="s">
        <v>1417</v>
      </c>
      <c r="D253" s="5" t="s">
        <v>1418</v>
      </c>
      <c r="E253" s="5" t="s">
        <v>36</v>
      </c>
      <c r="F253" s="5" t="s">
        <v>37</v>
      </c>
      <c r="G253" s="5" t="s">
        <v>38</v>
      </c>
      <c r="H253" s="5"/>
      <c r="I253" s="5"/>
      <c r="J253" s="5" t="s">
        <v>39</v>
      </c>
      <c r="K253" s="5" t="s">
        <v>570</v>
      </c>
      <c r="L253" s="5" t="s">
        <v>578</v>
      </c>
      <c r="M253" s="5" t="s">
        <v>572</v>
      </c>
      <c r="N253" s="5" t="s">
        <v>36</v>
      </c>
      <c r="O253" s="5">
        <v>1</v>
      </c>
      <c r="P253" s="5" t="s">
        <v>43</v>
      </c>
      <c r="Q253" s="5">
        <v>24.99</v>
      </c>
      <c r="R253" s="5"/>
      <c r="S253" s="5"/>
      <c r="T253" s="5"/>
      <c r="U253" s="5"/>
      <c r="V253" s="5"/>
      <c r="W253" s="5"/>
      <c r="X253" s="5"/>
      <c r="Y253" s="5" t="s">
        <v>150</v>
      </c>
      <c r="Z253" s="5" t="s">
        <v>151</v>
      </c>
      <c r="AA253" s="5" t="s">
        <v>1419</v>
      </c>
      <c r="AB253" s="5" t="s">
        <v>46</v>
      </c>
      <c r="AC253" s="5"/>
      <c r="AD253" s="5" t="b">
        <v>0</v>
      </c>
      <c r="AE253" s="5"/>
      <c r="AF253" s="5"/>
      <c r="AG253" s="9">
        <f t="shared" si="3"/>
        <v>43267</v>
      </c>
    </row>
    <row r="254" s="6" customFormat="1" spans="1:33">
      <c r="A254" s="5" t="s">
        <v>1420</v>
      </c>
      <c r="B254" s="5" t="s">
        <v>1420</v>
      </c>
      <c r="C254" s="5" t="s">
        <v>1421</v>
      </c>
      <c r="D254" s="5" t="s">
        <v>1422</v>
      </c>
      <c r="E254" s="5" t="s">
        <v>36</v>
      </c>
      <c r="F254" s="5" t="s">
        <v>37</v>
      </c>
      <c r="G254" s="5" t="s">
        <v>38</v>
      </c>
      <c r="H254" s="5"/>
      <c r="I254" s="5"/>
      <c r="J254" s="5" t="s">
        <v>39</v>
      </c>
      <c r="K254" s="5" t="s">
        <v>641</v>
      </c>
      <c r="L254" s="5" t="s">
        <v>1423</v>
      </c>
      <c r="M254" s="5" t="s">
        <v>1424</v>
      </c>
      <c r="N254" s="5" t="s">
        <v>36</v>
      </c>
      <c r="O254" s="5">
        <v>1</v>
      </c>
      <c r="P254" s="5" t="s">
        <v>43</v>
      </c>
      <c r="Q254" s="5">
        <v>20</v>
      </c>
      <c r="R254" s="5"/>
      <c r="S254" s="5"/>
      <c r="T254" s="5"/>
      <c r="U254" s="5"/>
      <c r="V254" s="5"/>
      <c r="W254" s="5">
        <v>4</v>
      </c>
      <c r="X254" s="5"/>
      <c r="Y254" s="5" t="s">
        <v>1425</v>
      </c>
      <c r="Z254" s="5" t="s">
        <v>505</v>
      </c>
      <c r="AA254" s="5">
        <v>55446</v>
      </c>
      <c r="AB254" s="5" t="s">
        <v>46</v>
      </c>
      <c r="AC254" s="5" t="s">
        <v>172</v>
      </c>
      <c r="AD254" s="5" t="b">
        <v>0</v>
      </c>
      <c r="AE254" s="5"/>
      <c r="AF254" s="5"/>
      <c r="AG254" s="9">
        <f t="shared" si="3"/>
        <v>43267</v>
      </c>
    </row>
    <row r="255" s="6" customFormat="1" spans="1:33">
      <c r="A255" s="5" t="s">
        <v>1426</v>
      </c>
      <c r="B255" s="5" t="s">
        <v>1426</v>
      </c>
      <c r="C255" s="5" t="s">
        <v>1427</v>
      </c>
      <c r="D255" s="5" t="s">
        <v>1428</v>
      </c>
      <c r="E255" s="5" t="s">
        <v>36</v>
      </c>
      <c r="F255" s="5" t="s">
        <v>37</v>
      </c>
      <c r="G255" s="5" t="s">
        <v>38</v>
      </c>
      <c r="H255" s="5"/>
      <c r="I255" s="5"/>
      <c r="J255" s="5" t="s">
        <v>128</v>
      </c>
      <c r="K255" s="5" t="s">
        <v>570</v>
      </c>
      <c r="L255" s="5" t="s">
        <v>578</v>
      </c>
      <c r="M255" s="5" t="s">
        <v>572</v>
      </c>
      <c r="N255" s="5" t="s">
        <v>36</v>
      </c>
      <c r="O255" s="5">
        <v>1</v>
      </c>
      <c r="P255" s="5" t="s">
        <v>43</v>
      </c>
      <c r="Q255" s="5">
        <v>24.99</v>
      </c>
      <c r="R255" s="5"/>
      <c r="S255" s="5">
        <v>3.54</v>
      </c>
      <c r="T255" s="5"/>
      <c r="U255" s="5"/>
      <c r="V255" s="5"/>
      <c r="W255" s="5"/>
      <c r="X255" s="5">
        <v>3.54</v>
      </c>
      <c r="Y255" s="5" t="s">
        <v>1429</v>
      </c>
      <c r="Z255" s="5" t="s">
        <v>247</v>
      </c>
      <c r="AA255" s="5" t="s">
        <v>1430</v>
      </c>
      <c r="AB255" s="5" t="s">
        <v>46</v>
      </c>
      <c r="AC255" s="5" t="s">
        <v>225</v>
      </c>
      <c r="AD255" s="5" t="b">
        <v>0</v>
      </c>
      <c r="AE255" s="5"/>
      <c r="AF255" s="5"/>
      <c r="AG255" s="9">
        <f t="shared" si="3"/>
        <v>43267</v>
      </c>
    </row>
    <row r="256" s="6" customFormat="1" spans="1:33">
      <c r="A256" s="5" t="s">
        <v>1431</v>
      </c>
      <c r="B256" s="5" t="s">
        <v>1431</v>
      </c>
      <c r="C256" s="5" t="s">
        <v>1432</v>
      </c>
      <c r="D256" s="5" t="s">
        <v>1433</v>
      </c>
      <c r="E256" s="5" t="s">
        <v>36</v>
      </c>
      <c r="F256" s="5" t="s">
        <v>37</v>
      </c>
      <c r="G256" s="5" t="s">
        <v>38</v>
      </c>
      <c r="H256" s="5"/>
      <c r="I256" s="5"/>
      <c r="J256" s="5" t="s">
        <v>39</v>
      </c>
      <c r="K256" s="5" t="s">
        <v>147</v>
      </c>
      <c r="L256" s="5" t="s">
        <v>148</v>
      </c>
      <c r="M256" s="5" t="s">
        <v>149</v>
      </c>
      <c r="N256" s="5" t="s">
        <v>36</v>
      </c>
      <c r="O256" s="5">
        <v>1</v>
      </c>
      <c r="P256" s="5" t="s">
        <v>43</v>
      </c>
      <c r="Q256" s="5">
        <v>12.98</v>
      </c>
      <c r="R256" s="5"/>
      <c r="S256" s="5"/>
      <c r="T256" s="5"/>
      <c r="U256" s="5"/>
      <c r="V256" s="5"/>
      <c r="W256" s="5"/>
      <c r="X256" s="5"/>
      <c r="Y256" s="5" t="s">
        <v>1434</v>
      </c>
      <c r="Z256" s="5" t="s">
        <v>307</v>
      </c>
      <c r="AA256" s="5" t="s">
        <v>1435</v>
      </c>
      <c r="AB256" s="5" t="s">
        <v>46</v>
      </c>
      <c r="AC256" s="5"/>
      <c r="AD256" s="5" t="b">
        <v>0</v>
      </c>
      <c r="AE256" s="5"/>
      <c r="AF256" s="5"/>
      <c r="AG256" s="9">
        <f t="shared" si="3"/>
        <v>43267</v>
      </c>
    </row>
    <row r="257" s="6" customFormat="1" spans="1:33">
      <c r="A257" s="5" t="s">
        <v>1436</v>
      </c>
      <c r="B257" s="5" t="s">
        <v>1436</v>
      </c>
      <c r="C257" s="5" t="s">
        <v>1437</v>
      </c>
      <c r="D257" s="5" t="s">
        <v>1438</v>
      </c>
      <c r="E257" s="5" t="s">
        <v>36</v>
      </c>
      <c r="F257" s="5" t="s">
        <v>37</v>
      </c>
      <c r="G257" s="5" t="s">
        <v>38</v>
      </c>
      <c r="H257" s="5"/>
      <c r="I257" s="5"/>
      <c r="J257" s="5" t="s">
        <v>287</v>
      </c>
      <c r="K257" s="5" t="s">
        <v>260</v>
      </c>
      <c r="L257" s="5" t="s">
        <v>1227</v>
      </c>
      <c r="M257" s="5" t="s">
        <v>262</v>
      </c>
      <c r="N257" s="5" t="s">
        <v>36</v>
      </c>
      <c r="O257" s="5">
        <v>1</v>
      </c>
      <c r="P257" s="5" t="s">
        <v>43</v>
      </c>
      <c r="Q257" s="5">
        <v>18.99</v>
      </c>
      <c r="R257" s="5"/>
      <c r="S257" s="5">
        <v>1.99</v>
      </c>
      <c r="T257" s="5"/>
      <c r="U257" s="5"/>
      <c r="V257" s="5"/>
      <c r="W257" s="5"/>
      <c r="X257" s="5">
        <v>1.99</v>
      </c>
      <c r="Y257" s="5" t="s">
        <v>946</v>
      </c>
      <c r="Z257" s="5" t="s">
        <v>247</v>
      </c>
      <c r="AA257" s="5" t="s">
        <v>1439</v>
      </c>
      <c r="AB257" s="5" t="s">
        <v>46</v>
      </c>
      <c r="AC257" s="5"/>
      <c r="AD257" s="5" t="b">
        <v>0</v>
      </c>
      <c r="AE257" s="5"/>
      <c r="AF257" s="5"/>
      <c r="AG257" s="9">
        <f t="shared" si="3"/>
        <v>43267</v>
      </c>
    </row>
    <row r="258" s="6" customFormat="1" spans="1:33">
      <c r="A258" s="5" t="s">
        <v>1440</v>
      </c>
      <c r="B258" s="5" t="s">
        <v>1440</v>
      </c>
      <c r="C258" s="5" t="s">
        <v>1441</v>
      </c>
      <c r="D258" s="5" t="s">
        <v>1442</v>
      </c>
      <c r="E258" s="5" t="s">
        <v>36</v>
      </c>
      <c r="F258" s="5" t="s">
        <v>37</v>
      </c>
      <c r="G258" s="5" t="s">
        <v>38</v>
      </c>
      <c r="H258" s="5"/>
      <c r="I258" s="5"/>
      <c r="J258" s="5" t="s">
        <v>39</v>
      </c>
      <c r="K258" s="5" t="s">
        <v>312</v>
      </c>
      <c r="L258" s="5" t="s">
        <v>313</v>
      </c>
      <c r="M258" s="5" t="s">
        <v>314</v>
      </c>
      <c r="N258" s="5" t="s">
        <v>36</v>
      </c>
      <c r="O258" s="5">
        <v>1</v>
      </c>
      <c r="P258" s="5" t="s">
        <v>43</v>
      </c>
      <c r="Q258" s="5">
        <v>24.99</v>
      </c>
      <c r="R258" s="5"/>
      <c r="S258" s="5"/>
      <c r="T258" s="5"/>
      <c r="U258" s="5"/>
      <c r="V258" s="5"/>
      <c r="W258" s="5"/>
      <c r="X258" s="5"/>
      <c r="Y258" s="5" t="s">
        <v>1366</v>
      </c>
      <c r="Z258" s="5" t="s">
        <v>307</v>
      </c>
      <c r="AA258" s="5" t="s">
        <v>1367</v>
      </c>
      <c r="AB258" s="5" t="s">
        <v>46</v>
      </c>
      <c r="AC258" s="5"/>
      <c r="AD258" s="5" t="b">
        <v>0</v>
      </c>
      <c r="AE258" s="5"/>
      <c r="AF258" s="5"/>
      <c r="AG258" s="9">
        <f t="shared" ref="AG258:AG321" si="4">DATEVALUE(LEFT(C258,10))</f>
        <v>43267</v>
      </c>
    </row>
    <row r="259" s="6" customFormat="1" spans="1:33">
      <c r="A259" s="5" t="s">
        <v>1443</v>
      </c>
      <c r="B259" s="5" t="s">
        <v>1443</v>
      </c>
      <c r="C259" s="5" t="s">
        <v>1444</v>
      </c>
      <c r="D259" s="5" t="s">
        <v>1445</v>
      </c>
      <c r="E259" s="5" t="s">
        <v>36</v>
      </c>
      <c r="F259" s="5" t="s">
        <v>37</v>
      </c>
      <c r="G259" s="5" t="s">
        <v>38</v>
      </c>
      <c r="H259" s="5"/>
      <c r="I259" s="5"/>
      <c r="J259" s="5" t="s">
        <v>39</v>
      </c>
      <c r="K259" s="5" t="s">
        <v>243</v>
      </c>
      <c r="L259" s="5" t="s">
        <v>301</v>
      </c>
      <c r="M259" s="5" t="s">
        <v>245</v>
      </c>
      <c r="N259" s="5" t="s">
        <v>36</v>
      </c>
      <c r="O259" s="5">
        <v>1</v>
      </c>
      <c r="P259" s="5" t="s">
        <v>43</v>
      </c>
      <c r="Q259" s="5">
        <v>18.99</v>
      </c>
      <c r="R259" s="5"/>
      <c r="S259" s="5"/>
      <c r="T259" s="5"/>
      <c r="U259" s="5"/>
      <c r="V259" s="5"/>
      <c r="W259" s="5">
        <v>0.95</v>
      </c>
      <c r="X259" s="5"/>
      <c r="Y259" s="5" t="s">
        <v>1446</v>
      </c>
      <c r="Z259" s="5" t="s">
        <v>1447</v>
      </c>
      <c r="AA259" s="5" t="s">
        <v>1448</v>
      </c>
      <c r="AB259" s="5" t="s">
        <v>46</v>
      </c>
      <c r="AC259" s="5" t="s">
        <v>115</v>
      </c>
      <c r="AD259" s="5" t="b">
        <v>0</v>
      </c>
      <c r="AE259" s="5"/>
      <c r="AF259" s="5"/>
      <c r="AG259" s="9">
        <f t="shared" si="4"/>
        <v>43267</v>
      </c>
    </row>
    <row r="260" s="6" customFormat="1" spans="1:33">
      <c r="A260" s="5" t="s">
        <v>1443</v>
      </c>
      <c r="B260" s="5" t="s">
        <v>1443</v>
      </c>
      <c r="C260" s="5" t="s">
        <v>1444</v>
      </c>
      <c r="D260" s="5" t="s">
        <v>1445</v>
      </c>
      <c r="E260" s="5" t="s">
        <v>36</v>
      </c>
      <c r="F260" s="5" t="s">
        <v>37</v>
      </c>
      <c r="G260" s="5" t="s">
        <v>38</v>
      </c>
      <c r="H260" s="5"/>
      <c r="I260" s="5"/>
      <c r="J260" s="5" t="s">
        <v>39</v>
      </c>
      <c r="K260" s="5" t="s">
        <v>201</v>
      </c>
      <c r="L260" s="5" t="s">
        <v>202</v>
      </c>
      <c r="M260" s="5" t="s">
        <v>203</v>
      </c>
      <c r="N260" s="5" t="s">
        <v>36</v>
      </c>
      <c r="O260" s="5">
        <v>1</v>
      </c>
      <c r="P260" s="5" t="s">
        <v>43</v>
      </c>
      <c r="Q260" s="5">
        <v>18.99</v>
      </c>
      <c r="R260" s="5"/>
      <c r="S260" s="5"/>
      <c r="T260" s="5"/>
      <c r="U260" s="5"/>
      <c r="V260" s="5"/>
      <c r="W260" s="5">
        <v>0.95</v>
      </c>
      <c r="X260" s="5"/>
      <c r="Y260" s="5" t="s">
        <v>1446</v>
      </c>
      <c r="Z260" s="5" t="s">
        <v>1447</v>
      </c>
      <c r="AA260" s="5" t="s">
        <v>1448</v>
      </c>
      <c r="AB260" s="5" t="s">
        <v>46</v>
      </c>
      <c r="AC260" s="5" t="s">
        <v>115</v>
      </c>
      <c r="AD260" s="5" t="b">
        <v>0</v>
      </c>
      <c r="AE260" s="5"/>
      <c r="AF260" s="5"/>
      <c r="AG260" s="9">
        <f t="shared" si="4"/>
        <v>43267</v>
      </c>
    </row>
    <row r="261" s="6" customFormat="1" spans="1:33">
      <c r="A261" s="5" t="s">
        <v>1449</v>
      </c>
      <c r="B261" s="5" t="s">
        <v>1449</v>
      </c>
      <c r="C261" s="5" t="s">
        <v>1450</v>
      </c>
      <c r="D261" s="5" t="s">
        <v>1451</v>
      </c>
      <c r="E261" s="5" t="s">
        <v>36</v>
      </c>
      <c r="F261" s="5" t="s">
        <v>37</v>
      </c>
      <c r="G261" s="5" t="s">
        <v>38</v>
      </c>
      <c r="H261" s="5"/>
      <c r="I261" s="5"/>
      <c r="J261" s="5" t="s">
        <v>39</v>
      </c>
      <c r="K261" s="5" t="s">
        <v>50</v>
      </c>
      <c r="L261" s="5" t="s">
        <v>51</v>
      </c>
      <c r="M261" s="5" t="s">
        <v>52</v>
      </c>
      <c r="N261" s="5" t="s">
        <v>36</v>
      </c>
      <c r="O261" s="5">
        <v>1</v>
      </c>
      <c r="P261" s="5" t="s">
        <v>43</v>
      </c>
      <c r="Q261" s="5">
        <v>18.99</v>
      </c>
      <c r="R261" s="5"/>
      <c r="S261" s="5"/>
      <c r="T261" s="5"/>
      <c r="U261" s="5"/>
      <c r="V261" s="5"/>
      <c r="W261" s="5"/>
      <c r="X261" s="5"/>
      <c r="Y261" s="5" t="s">
        <v>1452</v>
      </c>
      <c r="Z261" s="5" t="s">
        <v>238</v>
      </c>
      <c r="AA261" s="5" t="s">
        <v>1453</v>
      </c>
      <c r="AB261" s="5" t="s">
        <v>46</v>
      </c>
      <c r="AC261" s="5"/>
      <c r="AD261" s="5" t="b">
        <v>0</v>
      </c>
      <c r="AE261" s="5"/>
      <c r="AF261" s="5"/>
      <c r="AG261" s="9">
        <f t="shared" si="4"/>
        <v>43267</v>
      </c>
    </row>
    <row r="262" s="6" customFormat="1" spans="1:33">
      <c r="A262" s="5" t="s">
        <v>1454</v>
      </c>
      <c r="B262" s="5" t="s">
        <v>1454</v>
      </c>
      <c r="C262" s="5" t="s">
        <v>1455</v>
      </c>
      <c r="D262" s="5" t="s">
        <v>1456</v>
      </c>
      <c r="E262" s="5" t="s">
        <v>36</v>
      </c>
      <c r="F262" s="5" t="s">
        <v>37</v>
      </c>
      <c r="G262" s="5" t="s">
        <v>38</v>
      </c>
      <c r="H262" s="5"/>
      <c r="I262" s="5"/>
      <c r="J262" s="5" t="s">
        <v>39</v>
      </c>
      <c r="K262" s="5" t="s">
        <v>110</v>
      </c>
      <c r="L262" s="5" t="s">
        <v>111</v>
      </c>
      <c r="M262" s="5" t="s">
        <v>112</v>
      </c>
      <c r="N262" s="5" t="s">
        <v>36</v>
      </c>
      <c r="O262" s="5">
        <v>3</v>
      </c>
      <c r="P262" s="5" t="s">
        <v>43</v>
      </c>
      <c r="Q262" s="5">
        <v>38.97</v>
      </c>
      <c r="R262" s="5"/>
      <c r="S262" s="5"/>
      <c r="T262" s="5"/>
      <c r="U262" s="5"/>
      <c r="V262" s="5"/>
      <c r="W262" s="5">
        <v>1.95</v>
      </c>
      <c r="X262" s="5"/>
      <c r="Y262" s="5" t="s">
        <v>1457</v>
      </c>
      <c r="Z262" s="5" t="s">
        <v>123</v>
      </c>
      <c r="AA262" s="5" t="s">
        <v>1458</v>
      </c>
      <c r="AB262" s="5" t="s">
        <v>46</v>
      </c>
      <c r="AC262" s="5" t="s">
        <v>115</v>
      </c>
      <c r="AD262" s="5" t="b">
        <v>0</v>
      </c>
      <c r="AE262" s="5"/>
      <c r="AF262" s="5"/>
      <c r="AG262" s="9">
        <f t="shared" si="4"/>
        <v>43267</v>
      </c>
    </row>
    <row r="263" s="6" customFormat="1" spans="1:33">
      <c r="A263" s="5" t="s">
        <v>1459</v>
      </c>
      <c r="B263" s="5" t="s">
        <v>1459</v>
      </c>
      <c r="C263" s="5" t="s">
        <v>1460</v>
      </c>
      <c r="D263" s="5" t="s">
        <v>1461</v>
      </c>
      <c r="E263" s="5" t="s">
        <v>36</v>
      </c>
      <c r="F263" s="5" t="s">
        <v>37</v>
      </c>
      <c r="G263" s="5" t="s">
        <v>38</v>
      </c>
      <c r="H263" s="5"/>
      <c r="I263" s="5"/>
      <c r="J263" s="5" t="s">
        <v>39</v>
      </c>
      <c r="K263" s="5" t="s">
        <v>110</v>
      </c>
      <c r="L263" s="5" t="s">
        <v>111</v>
      </c>
      <c r="M263" s="5" t="s">
        <v>112</v>
      </c>
      <c r="N263" s="5" t="s">
        <v>36</v>
      </c>
      <c r="O263" s="5">
        <v>1</v>
      </c>
      <c r="P263" s="5" t="s">
        <v>43</v>
      </c>
      <c r="Q263" s="5">
        <v>12.99</v>
      </c>
      <c r="R263" s="5"/>
      <c r="S263" s="5"/>
      <c r="T263" s="5"/>
      <c r="U263" s="5"/>
      <c r="V263" s="5"/>
      <c r="W263" s="5"/>
      <c r="X263" s="5"/>
      <c r="Y263" s="5" t="s">
        <v>946</v>
      </c>
      <c r="Z263" s="5" t="s">
        <v>247</v>
      </c>
      <c r="AA263" s="5" t="s">
        <v>1462</v>
      </c>
      <c r="AB263" s="5" t="s">
        <v>46</v>
      </c>
      <c r="AC263" s="5"/>
      <c r="AD263" s="5" t="b">
        <v>0</v>
      </c>
      <c r="AE263" s="5"/>
      <c r="AF263" s="5"/>
      <c r="AG263" s="9">
        <f t="shared" si="4"/>
        <v>43267</v>
      </c>
    </row>
    <row r="264" s="6" customFormat="1" spans="1:33">
      <c r="A264" s="5" t="s">
        <v>1463</v>
      </c>
      <c r="B264" s="5" t="s">
        <v>1463</v>
      </c>
      <c r="C264" s="5" t="s">
        <v>1464</v>
      </c>
      <c r="D264" s="5" t="s">
        <v>1465</v>
      </c>
      <c r="E264" s="5" t="s">
        <v>36</v>
      </c>
      <c r="F264" s="5" t="s">
        <v>37</v>
      </c>
      <c r="G264" s="5" t="s">
        <v>38</v>
      </c>
      <c r="H264" s="5"/>
      <c r="I264" s="5"/>
      <c r="J264" s="5" t="s">
        <v>39</v>
      </c>
      <c r="K264" s="5" t="s">
        <v>40</v>
      </c>
      <c r="L264" s="5" t="s">
        <v>41</v>
      </c>
      <c r="M264" s="5" t="s">
        <v>42</v>
      </c>
      <c r="N264" s="5" t="s">
        <v>36</v>
      </c>
      <c r="O264" s="5">
        <v>1</v>
      </c>
      <c r="P264" s="5" t="s">
        <v>43</v>
      </c>
      <c r="Q264" s="5">
        <v>12.98</v>
      </c>
      <c r="R264" s="5"/>
      <c r="S264" s="5"/>
      <c r="T264" s="5"/>
      <c r="U264" s="5"/>
      <c r="V264" s="5"/>
      <c r="W264" s="5"/>
      <c r="X264" s="5"/>
      <c r="Y264" s="5" t="s">
        <v>1466</v>
      </c>
      <c r="Z264" s="5" t="s">
        <v>151</v>
      </c>
      <c r="AA264" s="5" t="s">
        <v>1467</v>
      </c>
      <c r="AB264" s="5" t="s">
        <v>46</v>
      </c>
      <c r="AC264" s="5"/>
      <c r="AD264" s="5" t="b">
        <v>0</v>
      </c>
      <c r="AE264" s="5"/>
      <c r="AF264" s="5"/>
      <c r="AG264" s="9">
        <f t="shared" si="4"/>
        <v>43267</v>
      </c>
    </row>
    <row r="265" s="6" customFormat="1" spans="1:33">
      <c r="A265" s="5" t="s">
        <v>1468</v>
      </c>
      <c r="B265" s="5" t="s">
        <v>1468</v>
      </c>
      <c r="C265" s="5" t="s">
        <v>1469</v>
      </c>
      <c r="D265" s="5" t="s">
        <v>1470</v>
      </c>
      <c r="E265" s="5" t="s">
        <v>36</v>
      </c>
      <c r="F265" s="5" t="s">
        <v>37</v>
      </c>
      <c r="G265" s="5" t="s">
        <v>38</v>
      </c>
      <c r="H265" s="5"/>
      <c r="I265" s="5"/>
      <c r="J265" s="5" t="s">
        <v>39</v>
      </c>
      <c r="K265" s="5" t="s">
        <v>570</v>
      </c>
      <c r="L265" s="5" t="s">
        <v>578</v>
      </c>
      <c r="M265" s="5" t="s">
        <v>572</v>
      </c>
      <c r="N265" s="5" t="s">
        <v>36</v>
      </c>
      <c r="O265" s="5">
        <v>1</v>
      </c>
      <c r="P265" s="5" t="s">
        <v>43</v>
      </c>
      <c r="Q265" s="5">
        <v>24.99</v>
      </c>
      <c r="R265" s="5">
        <v>2.22</v>
      </c>
      <c r="S265" s="5"/>
      <c r="T265" s="5"/>
      <c r="U265" s="5"/>
      <c r="V265" s="5"/>
      <c r="W265" s="5"/>
      <c r="X265" s="5"/>
      <c r="Y265" s="5" t="s">
        <v>1471</v>
      </c>
      <c r="Z265" s="5" t="s">
        <v>474</v>
      </c>
      <c r="AA265" s="5" t="s">
        <v>1472</v>
      </c>
      <c r="AB265" s="5" t="s">
        <v>46</v>
      </c>
      <c r="AC265" s="5"/>
      <c r="AD265" s="5" t="b">
        <v>0</v>
      </c>
      <c r="AE265" s="5"/>
      <c r="AF265" s="5"/>
      <c r="AG265" s="9">
        <f t="shared" si="4"/>
        <v>43267</v>
      </c>
    </row>
    <row r="266" s="6" customFormat="1" spans="1:33">
      <c r="A266" s="5" t="s">
        <v>1473</v>
      </c>
      <c r="B266" s="5" t="s">
        <v>1473</v>
      </c>
      <c r="C266" s="5" t="s">
        <v>1474</v>
      </c>
      <c r="D266" s="5" t="s">
        <v>1475</v>
      </c>
      <c r="E266" s="5" t="s">
        <v>36</v>
      </c>
      <c r="F266" s="5" t="s">
        <v>37</v>
      </c>
      <c r="G266" s="5" t="s">
        <v>38</v>
      </c>
      <c r="H266" s="5"/>
      <c r="I266" s="5"/>
      <c r="J266" s="5" t="s">
        <v>39</v>
      </c>
      <c r="K266" s="5" t="s">
        <v>75</v>
      </c>
      <c r="L266" s="5" t="s">
        <v>76</v>
      </c>
      <c r="M266" s="5" t="s">
        <v>77</v>
      </c>
      <c r="N266" s="5" t="s">
        <v>36</v>
      </c>
      <c r="O266" s="5">
        <v>1</v>
      </c>
      <c r="P266" s="5" t="s">
        <v>43</v>
      </c>
      <c r="Q266" s="5">
        <v>12.99</v>
      </c>
      <c r="R266" s="5">
        <v>1.14</v>
      </c>
      <c r="S266" s="5"/>
      <c r="T266" s="5"/>
      <c r="U266" s="5"/>
      <c r="V266" s="5"/>
      <c r="W266" s="5"/>
      <c r="X266" s="5"/>
      <c r="Y266" s="5" t="s">
        <v>1476</v>
      </c>
      <c r="Z266" s="5" t="s">
        <v>474</v>
      </c>
      <c r="AA266" s="5" t="s">
        <v>1477</v>
      </c>
      <c r="AB266" s="5" t="s">
        <v>46</v>
      </c>
      <c r="AC266" s="5"/>
      <c r="AD266" s="5" t="b">
        <v>0</v>
      </c>
      <c r="AE266" s="5"/>
      <c r="AF266" s="5"/>
      <c r="AG266" s="9">
        <f t="shared" si="4"/>
        <v>43267</v>
      </c>
    </row>
    <row r="267" s="6" customFormat="1" spans="1:33">
      <c r="A267" s="5" t="s">
        <v>1478</v>
      </c>
      <c r="B267" s="5" t="s">
        <v>1478</v>
      </c>
      <c r="C267" s="5" t="s">
        <v>1479</v>
      </c>
      <c r="D267" s="5" t="s">
        <v>1480</v>
      </c>
      <c r="E267" s="5" t="s">
        <v>36</v>
      </c>
      <c r="F267" s="5" t="s">
        <v>37</v>
      </c>
      <c r="G267" s="5" t="s">
        <v>38</v>
      </c>
      <c r="H267" s="5"/>
      <c r="I267" s="5"/>
      <c r="J267" s="5" t="s">
        <v>39</v>
      </c>
      <c r="K267" s="5" t="s">
        <v>293</v>
      </c>
      <c r="L267" s="5" t="s">
        <v>294</v>
      </c>
      <c r="M267" s="5" t="s">
        <v>295</v>
      </c>
      <c r="N267" s="5" t="s">
        <v>36</v>
      </c>
      <c r="O267" s="5">
        <v>1</v>
      </c>
      <c r="P267" s="5" t="s">
        <v>43</v>
      </c>
      <c r="Q267" s="5">
        <v>18.99</v>
      </c>
      <c r="R267" s="5"/>
      <c r="S267" s="5"/>
      <c r="T267" s="5"/>
      <c r="U267" s="5"/>
      <c r="V267" s="5"/>
      <c r="W267" s="5"/>
      <c r="X267" s="5"/>
      <c r="Y267" s="5" t="s">
        <v>1481</v>
      </c>
      <c r="Z267" s="5" t="s">
        <v>1050</v>
      </c>
      <c r="AA267" s="5" t="s">
        <v>1482</v>
      </c>
      <c r="AB267" s="5" t="s">
        <v>46</v>
      </c>
      <c r="AC267" s="5"/>
      <c r="AD267" s="5" t="b">
        <v>0</v>
      </c>
      <c r="AE267" s="5"/>
      <c r="AF267" s="5"/>
      <c r="AG267" s="9">
        <f t="shared" si="4"/>
        <v>43267</v>
      </c>
    </row>
    <row r="268" s="6" customFormat="1" spans="1:33">
      <c r="A268" s="5" t="s">
        <v>1483</v>
      </c>
      <c r="B268" s="5" t="s">
        <v>1483</v>
      </c>
      <c r="C268" s="5" t="s">
        <v>1484</v>
      </c>
      <c r="D268" s="5" t="s">
        <v>1485</v>
      </c>
      <c r="E268" s="5" t="s">
        <v>36</v>
      </c>
      <c r="F268" s="5" t="s">
        <v>37</v>
      </c>
      <c r="G268" s="5" t="s">
        <v>38</v>
      </c>
      <c r="H268" s="5"/>
      <c r="I268" s="5"/>
      <c r="J268" s="5" t="s">
        <v>128</v>
      </c>
      <c r="K268" s="5" t="s">
        <v>434</v>
      </c>
      <c r="L268" s="5" t="s">
        <v>435</v>
      </c>
      <c r="M268" s="5" t="s">
        <v>436</v>
      </c>
      <c r="N268" s="5" t="s">
        <v>36</v>
      </c>
      <c r="O268" s="5">
        <v>1</v>
      </c>
      <c r="P268" s="5" t="s">
        <v>43</v>
      </c>
      <c r="Q268" s="5">
        <v>13.99</v>
      </c>
      <c r="R268" s="5"/>
      <c r="S268" s="5">
        <v>2</v>
      </c>
      <c r="T268" s="5"/>
      <c r="U268" s="5"/>
      <c r="V268" s="5"/>
      <c r="W268" s="5"/>
      <c r="X268" s="5"/>
      <c r="Y268" s="5" t="s">
        <v>1486</v>
      </c>
      <c r="Z268" s="5" t="s">
        <v>183</v>
      </c>
      <c r="AA268" s="5" t="s">
        <v>1487</v>
      </c>
      <c r="AB268" s="5" t="s">
        <v>46</v>
      </c>
      <c r="AC268" s="5"/>
      <c r="AD268" s="5" t="b">
        <v>0</v>
      </c>
      <c r="AE268" s="5"/>
      <c r="AF268" s="5"/>
      <c r="AG268" s="9">
        <f t="shared" si="4"/>
        <v>43267</v>
      </c>
    </row>
    <row r="269" s="6" customFormat="1" spans="1:33">
      <c r="A269" s="5" t="s">
        <v>1488</v>
      </c>
      <c r="B269" s="5" t="s">
        <v>1488</v>
      </c>
      <c r="C269" s="5" t="s">
        <v>1489</v>
      </c>
      <c r="D269" s="5" t="s">
        <v>1490</v>
      </c>
      <c r="E269" s="5" t="s">
        <v>36</v>
      </c>
      <c r="F269" s="5" t="s">
        <v>37</v>
      </c>
      <c r="G269" s="5" t="s">
        <v>38</v>
      </c>
      <c r="H269" s="5"/>
      <c r="I269" s="5"/>
      <c r="J269" s="5" t="s">
        <v>39</v>
      </c>
      <c r="K269" s="5" t="s">
        <v>387</v>
      </c>
      <c r="L269" s="5" t="s">
        <v>388</v>
      </c>
      <c r="M269" s="5" t="s">
        <v>389</v>
      </c>
      <c r="N269" s="5" t="s">
        <v>36</v>
      </c>
      <c r="O269" s="5">
        <v>1</v>
      </c>
      <c r="P269" s="5" t="s">
        <v>43</v>
      </c>
      <c r="Q269" s="5">
        <v>18.99</v>
      </c>
      <c r="R269" s="5"/>
      <c r="S269" s="5"/>
      <c r="T269" s="5"/>
      <c r="U269" s="5"/>
      <c r="V269" s="5"/>
      <c r="W269" s="5"/>
      <c r="X269" s="5"/>
      <c r="Y269" s="5" t="s">
        <v>1491</v>
      </c>
      <c r="Z269" s="5" t="s">
        <v>54</v>
      </c>
      <c r="AA269" s="5" t="s">
        <v>1492</v>
      </c>
      <c r="AB269" s="5" t="s">
        <v>46</v>
      </c>
      <c r="AC269" s="5"/>
      <c r="AD269" s="5" t="b">
        <v>0</v>
      </c>
      <c r="AE269" s="5"/>
      <c r="AF269" s="5"/>
      <c r="AG269" s="9">
        <f t="shared" si="4"/>
        <v>43267</v>
      </c>
    </row>
    <row r="270" s="6" customFormat="1" spans="1:33">
      <c r="A270" s="5" t="s">
        <v>1493</v>
      </c>
      <c r="B270" s="5" t="s">
        <v>1493</v>
      </c>
      <c r="C270" s="5" t="s">
        <v>1494</v>
      </c>
      <c r="D270" s="5" t="s">
        <v>1495</v>
      </c>
      <c r="E270" s="5" t="s">
        <v>614</v>
      </c>
      <c r="F270" s="5" t="s">
        <v>37</v>
      </c>
      <c r="G270" s="5" t="s">
        <v>38</v>
      </c>
      <c r="H270" s="5"/>
      <c r="I270" s="5"/>
      <c r="J270" s="5" t="s">
        <v>128</v>
      </c>
      <c r="K270" s="5" t="s">
        <v>260</v>
      </c>
      <c r="L270" s="5" t="s">
        <v>261</v>
      </c>
      <c r="M270" s="5" t="s">
        <v>262</v>
      </c>
      <c r="N270" s="5" t="s">
        <v>614</v>
      </c>
      <c r="O270" s="5">
        <v>0</v>
      </c>
      <c r="P270" s="5"/>
      <c r="Q270" s="5"/>
      <c r="R270" s="5"/>
      <c r="S270" s="5"/>
      <c r="T270" s="5"/>
      <c r="U270" s="5"/>
      <c r="V270" s="5"/>
      <c r="W270" s="5"/>
      <c r="X270" s="5"/>
      <c r="Y270" s="5" t="s">
        <v>1496</v>
      </c>
      <c r="Z270" s="5" t="s">
        <v>142</v>
      </c>
      <c r="AA270" s="5" t="s">
        <v>1497</v>
      </c>
      <c r="AB270" s="5" t="s">
        <v>46</v>
      </c>
      <c r="AC270" s="5"/>
      <c r="AD270" s="5" t="b">
        <v>0</v>
      </c>
      <c r="AE270" s="5"/>
      <c r="AF270" s="5"/>
      <c r="AG270" s="9">
        <f t="shared" si="4"/>
        <v>43267</v>
      </c>
    </row>
    <row r="271" s="6" customFormat="1" spans="1:33">
      <c r="A271" s="5" t="s">
        <v>1498</v>
      </c>
      <c r="B271" s="5" t="s">
        <v>1498</v>
      </c>
      <c r="C271" s="5" t="s">
        <v>1499</v>
      </c>
      <c r="D271" s="5" t="s">
        <v>1500</v>
      </c>
      <c r="E271" s="5" t="s">
        <v>36</v>
      </c>
      <c r="F271" s="5" t="s">
        <v>37</v>
      </c>
      <c r="G271" s="5" t="s">
        <v>38</v>
      </c>
      <c r="H271" s="5"/>
      <c r="I271" s="5"/>
      <c r="J271" s="5" t="s">
        <v>39</v>
      </c>
      <c r="K271" s="5" t="s">
        <v>101</v>
      </c>
      <c r="L271" s="5" t="s">
        <v>102</v>
      </c>
      <c r="M271" s="5" t="s">
        <v>103</v>
      </c>
      <c r="N271" s="5" t="s">
        <v>36</v>
      </c>
      <c r="O271" s="5">
        <v>1</v>
      </c>
      <c r="P271" s="5" t="s">
        <v>43</v>
      </c>
      <c r="Q271" s="5">
        <v>12.99</v>
      </c>
      <c r="R271" s="5"/>
      <c r="S271" s="5"/>
      <c r="T271" s="5"/>
      <c r="U271" s="5"/>
      <c r="V271" s="5"/>
      <c r="W271" s="5"/>
      <c r="X271" s="5"/>
      <c r="Y271" s="5" t="s">
        <v>1501</v>
      </c>
      <c r="Z271" s="5" t="s">
        <v>596</v>
      </c>
      <c r="AA271" s="5" t="s">
        <v>1502</v>
      </c>
      <c r="AB271" s="5" t="s">
        <v>46</v>
      </c>
      <c r="AC271" s="5"/>
      <c r="AD271" s="5" t="b">
        <v>0</v>
      </c>
      <c r="AE271" s="5"/>
      <c r="AF271" s="5"/>
      <c r="AG271" s="9">
        <f t="shared" si="4"/>
        <v>43267</v>
      </c>
    </row>
    <row r="272" s="6" customFormat="1" spans="1:33">
      <c r="A272" s="5" t="s">
        <v>1503</v>
      </c>
      <c r="B272" s="5" t="s">
        <v>1503</v>
      </c>
      <c r="C272" s="5" t="s">
        <v>1504</v>
      </c>
      <c r="D272" s="5" t="s">
        <v>1505</v>
      </c>
      <c r="E272" s="5" t="s">
        <v>36</v>
      </c>
      <c r="F272" s="5" t="s">
        <v>37</v>
      </c>
      <c r="G272" s="5" t="s">
        <v>38</v>
      </c>
      <c r="H272" s="5"/>
      <c r="I272" s="5"/>
      <c r="J272" s="5" t="s">
        <v>39</v>
      </c>
      <c r="K272" s="5" t="s">
        <v>110</v>
      </c>
      <c r="L272" s="5" t="s">
        <v>111</v>
      </c>
      <c r="M272" s="5" t="s">
        <v>112</v>
      </c>
      <c r="N272" s="5" t="s">
        <v>36</v>
      </c>
      <c r="O272" s="5">
        <v>1</v>
      </c>
      <c r="P272" s="5" t="s">
        <v>43</v>
      </c>
      <c r="Q272" s="5">
        <v>12.99</v>
      </c>
      <c r="R272" s="5"/>
      <c r="S272" s="5"/>
      <c r="T272" s="5"/>
      <c r="U272" s="5"/>
      <c r="V272" s="5"/>
      <c r="W272" s="5"/>
      <c r="X272" s="5"/>
      <c r="Y272" s="5" t="s">
        <v>1506</v>
      </c>
      <c r="Z272" s="5" t="s">
        <v>247</v>
      </c>
      <c r="AA272" s="5">
        <v>76078</v>
      </c>
      <c r="AB272" s="5" t="s">
        <v>46</v>
      </c>
      <c r="AC272" s="5"/>
      <c r="AD272" s="5" t="b">
        <v>0</v>
      </c>
      <c r="AE272" s="5"/>
      <c r="AF272" s="5"/>
      <c r="AG272" s="9">
        <f t="shared" si="4"/>
        <v>43267</v>
      </c>
    </row>
    <row r="273" s="6" customFormat="1" spans="1:33">
      <c r="A273" s="5" t="s">
        <v>1507</v>
      </c>
      <c r="B273" s="5" t="s">
        <v>1507</v>
      </c>
      <c r="C273" s="5" t="s">
        <v>1508</v>
      </c>
      <c r="D273" s="5" t="s">
        <v>1509</v>
      </c>
      <c r="E273" s="5" t="s">
        <v>36</v>
      </c>
      <c r="F273" s="5" t="s">
        <v>37</v>
      </c>
      <c r="G273" s="5" t="s">
        <v>38</v>
      </c>
      <c r="H273" s="5"/>
      <c r="I273" s="5"/>
      <c r="J273" s="5" t="s">
        <v>39</v>
      </c>
      <c r="K273" s="5" t="s">
        <v>201</v>
      </c>
      <c r="L273" s="5" t="s">
        <v>202</v>
      </c>
      <c r="M273" s="5" t="s">
        <v>203</v>
      </c>
      <c r="N273" s="5" t="s">
        <v>36</v>
      </c>
      <c r="O273" s="5">
        <v>1</v>
      </c>
      <c r="P273" s="5" t="s">
        <v>43</v>
      </c>
      <c r="Q273" s="5">
        <v>18.99</v>
      </c>
      <c r="R273" s="5"/>
      <c r="S273" s="5"/>
      <c r="T273" s="5"/>
      <c r="U273" s="5"/>
      <c r="V273" s="5"/>
      <c r="W273" s="5"/>
      <c r="X273" s="5"/>
      <c r="Y273" s="5" t="s">
        <v>1510</v>
      </c>
      <c r="Z273" s="5" t="s">
        <v>130</v>
      </c>
      <c r="AA273" s="5" t="s">
        <v>1511</v>
      </c>
      <c r="AB273" s="5" t="s">
        <v>46</v>
      </c>
      <c r="AC273" s="5"/>
      <c r="AD273" s="5" t="b">
        <v>0</v>
      </c>
      <c r="AE273" s="5"/>
      <c r="AF273" s="5"/>
      <c r="AG273" s="9">
        <f t="shared" si="4"/>
        <v>43267</v>
      </c>
    </row>
    <row r="274" s="6" customFormat="1" spans="1:33">
      <c r="A274" s="5" t="s">
        <v>1512</v>
      </c>
      <c r="B274" s="5" t="s">
        <v>1512</v>
      </c>
      <c r="C274" s="5" t="s">
        <v>1513</v>
      </c>
      <c r="D274" s="5" t="s">
        <v>1514</v>
      </c>
      <c r="E274" s="5" t="s">
        <v>36</v>
      </c>
      <c r="F274" s="5" t="s">
        <v>37</v>
      </c>
      <c r="G274" s="5" t="s">
        <v>38</v>
      </c>
      <c r="H274" s="5"/>
      <c r="I274" s="5"/>
      <c r="J274" s="5" t="s">
        <v>39</v>
      </c>
      <c r="K274" s="5" t="s">
        <v>110</v>
      </c>
      <c r="L274" s="5" t="s">
        <v>111</v>
      </c>
      <c r="M274" s="5" t="s">
        <v>112</v>
      </c>
      <c r="N274" s="5" t="s">
        <v>36</v>
      </c>
      <c r="O274" s="5">
        <v>1</v>
      </c>
      <c r="P274" s="5" t="s">
        <v>43</v>
      </c>
      <c r="Q274" s="5">
        <v>12.99</v>
      </c>
      <c r="R274" s="5"/>
      <c r="S274" s="5"/>
      <c r="T274" s="5"/>
      <c r="U274" s="5"/>
      <c r="V274" s="5"/>
      <c r="W274" s="5"/>
      <c r="X274" s="5"/>
      <c r="Y274" s="5" t="s">
        <v>1515</v>
      </c>
      <c r="Z274" s="5" t="s">
        <v>142</v>
      </c>
      <c r="AA274" s="5" t="s">
        <v>1516</v>
      </c>
      <c r="AB274" s="5" t="s">
        <v>46</v>
      </c>
      <c r="AC274" s="5"/>
      <c r="AD274" s="5" t="b">
        <v>0</v>
      </c>
      <c r="AE274" s="5"/>
      <c r="AF274" s="5"/>
      <c r="AG274" s="9">
        <f t="shared" si="4"/>
        <v>43267</v>
      </c>
    </row>
    <row r="275" s="6" customFormat="1" spans="1:33">
      <c r="A275" s="5" t="s">
        <v>1517</v>
      </c>
      <c r="B275" s="5" t="s">
        <v>1517</v>
      </c>
      <c r="C275" s="5" t="s">
        <v>1518</v>
      </c>
      <c r="D275" s="5" t="s">
        <v>1519</v>
      </c>
      <c r="E275" s="5" t="s">
        <v>36</v>
      </c>
      <c r="F275" s="5" t="s">
        <v>37</v>
      </c>
      <c r="G275" s="5" t="s">
        <v>38</v>
      </c>
      <c r="H275" s="5"/>
      <c r="I275" s="5"/>
      <c r="J275" s="5" t="s">
        <v>39</v>
      </c>
      <c r="K275" s="5" t="s">
        <v>110</v>
      </c>
      <c r="L275" s="5" t="s">
        <v>111</v>
      </c>
      <c r="M275" s="5" t="s">
        <v>112</v>
      </c>
      <c r="N275" s="5" t="s">
        <v>36</v>
      </c>
      <c r="O275" s="5">
        <v>1</v>
      </c>
      <c r="P275" s="5" t="s">
        <v>43</v>
      </c>
      <c r="Q275" s="5">
        <v>12.99</v>
      </c>
      <c r="R275" s="5"/>
      <c r="S275" s="5"/>
      <c r="T275" s="5"/>
      <c r="U275" s="5"/>
      <c r="V275" s="5"/>
      <c r="W275" s="5"/>
      <c r="X275" s="5"/>
      <c r="Y275" s="5" t="s">
        <v>1520</v>
      </c>
      <c r="Z275" s="5" t="s">
        <v>151</v>
      </c>
      <c r="AA275" s="5">
        <v>10583</v>
      </c>
      <c r="AB275" s="5" t="s">
        <v>46</v>
      </c>
      <c r="AC275" s="5"/>
      <c r="AD275" s="5" t="b">
        <v>0</v>
      </c>
      <c r="AE275" s="5"/>
      <c r="AF275" s="5"/>
      <c r="AG275" s="9">
        <f t="shared" si="4"/>
        <v>43267</v>
      </c>
    </row>
    <row r="276" s="6" customFormat="1" spans="1:33">
      <c r="A276" s="5" t="s">
        <v>1521</v>
      </c>
      <c r="B276" s="5" t="s">
        <v>1521</v>
      </c>
      <c r="C276" s="5" t="s">
        <v>1522</v>
      </c>
      <c r="D276" s="5" t="s">
        <v>1523</v>
      </c>
      <c r="E276" s="5" t="s">
        <v>36</v>
      </c>
      <c r="F276" s="5" t="s">
        <v>37</v>
      </c>
      <c r="G276" s="5" t="s">
        <v>38</v>
      </c>
      <c r="H276" s="5"/>
      <c r="I276" s="5"/>
      <c r="J276" s="5" t="s">
        <v>39</v>
      </c>
      <c r="K276" s="5" t="s">
        <v>58</v>
      </c>
      <c r="L276" s="5" t="s">
        <v>59</v>
      </c>
      <c r="M276" s="5" t="s">
        <v>60</v>
      </c>
      <c r="N276" s="5" t="s">
        <v>36</v>
      </c>
      <c r="O276" s="5">
        <v>1</v>
      </c>
      <c r="P276" s="5" t="s">
        <v>43</v>
      </c>
      <c r="Q276" s="5">
        <v>13.99</v>
      </c>
      <c r="R276" s="5"/>
      <c r="S276" s="5"/>
      <c r="T276" s="5"/>
      <c r="U276" s="5"/>
      <c r="V276" s="5"/>
      <c r="W276" s="5"/>
      <c r="X276" s="5"/>
      <c r="Y276" s="5" t="s">
        <v>1524</v>
      </c>
      <c r="Z276" s="5" t="s">
        <v>282</v>
      </c>
      <c r="AA276" s="5" t="s">
        <v>1525</v>
      </c>
      <c r="AB276" s="5" t="s">
        <v>46</v>
      </c>
      <c r="AC276" s="5"/>
      <c r="AD276" s="5" t="b">
        <v>0</v>
      </c>
      <c r="AE276" s="5"/>
      <c r="AF276" s="5"/>
      <c r="AG276" s="9">
        <f t="shared" si="4"/>
        <v>43267</v>
      </c>
    </row>
    <row r="277" s="6" customFormat="1" spans="1:33">
      <c r="A277" s="5" t="s">
        <v>1526</v>
      </c>
      <c r="B277" s="5" t="s">
        <v>1526</v>
      </c>
      <c r="C277" s="5" t="s">
        <v>1527</v>
      </c>
      <c r="D277" s="5" t="s">
        <v>1528</v>
      </c>
      <c r="E277" s="5" t="s">
        <v>36</v>
      </c>
      <c r="F277" s="5" t="s">
        <v>37</v>
      </c>
      <c r="G277" s="5" t="s">
        <v>38</v>
      </c>
      <c r="H277" s="5"/>
      <c r="I277" s="5"/>
      <c r="J277" s="5" t="s">
        <v>39</v>
      </c>
      <c r="K277" s="5" t="s">
        <v>75</v>
      </c>
      <c r="L277" s="5" t="s">
        <v>76</v>
      </c>
      <c r="M277" s="5" t="s">
        <v>77</v>
      </c>
      <c r="N277" s="5" t="s">
        <v>36</v>
      </c>
      <c r="O277" s="5">
        <v>1</v>
      </c>
      <c r="P277" s="5" t="s">
        <v>43</v>
      </c>
      <c r="Q277" s="5">
        <v>12.99</v>
      </c>
      <c r="R277" s="5"/>
      <c r="S277" s="5"/>
      <c r="T277" s="5"/>
      <c r="U277" s="5"/>
      <c r="V277" s="5"/>
      <c r="W277" s="5"/>
      <c r="X277" s="5"/>
      <c r="Y277" s="5" t="s">
        <v>1429</v>
      </c>
      <c r="Z277" s="5" t="s">
        <v>62</v>
      </c>
      <c r="AA277" s="5" t="s">
        <v>1529</v>
      </c>
      <c r="AB277" s="5" t="s">
        <v>46</v>
      </c>
      <c r="AC277" s="5"/>
      <c r="AD277" s="5" t="b">
        <v>0</v>
      </c>
      <c r="AE277" s="5"/>
      <c r="AF277" s="5"/>
      <c r="AG277" s="9">
        <f t="shared" si="4"/>
        <v>43267</v>
      </c>
    </row>
    <row r="278" s="6" customFormat="1" spans="1:33">
      <c r="A278" s="5" t="s">
        <v>1530</v>
      </c>
      <c r="B278" s="5" t="s">
        <v>1530</v>
      </c>
      <c r="C278" s="5" t="s">
        <v>1531</v>
      </c>
      <c r="D278" s="5" t="s">
        <v>1532</v>
      </c>
      <c r="E278" s="5" t="s">
        <v>36</v>
      </c>
      <c r="F278" s="5" t="s">
        <v>37</v>
      </c>
      <c r="G278" s="5" t="s">
        <v>38</v>
      </c>
      <c r="H278" s="5"/>
      <c r="I278" s="5"/>
      <c r="J278" s="5" t="s">
        <v>39</v>
      </c>
      <c r="K278" s="5" t="s">
        <v>101</v>
      </c>
      <c r="L278" s="5" t="s">
        <v>102</v>
      </c>
      <c r="M278" s="5" t="s">
        <v>103</v>
      </c>
      <c r="N278" s="5" t="s">
        <v>36</v>
      </c>
      <c r="O278" s="5">
        <v>1</v>
      </c>
      <c r="P278" s="5" t="s">
        <v>43</v>
      </c>
      <c r="Q278" s="5">
        <v>12.99</v>
      </c>
      <c r="R278" s="5"/>
      <c r="S278" s="5"/>
      <c r="T278" s="5"/>
      <c r="U278" s="5"/>
      <c r="V278" s="5"/>
      <c r="W278" s="5"/>
      <c r="X278" s="5"/>
      <c r="Y278" s="5" t="s">
        <v>1533</v>
      </c>
      <c r="Z278" s="5" t="s">
        <v>1534</v>
      </c>
      <c r="AA278" s="5">
        <v>67738</v>
      </c>
      <c r="AB278" s="5" t="s">
        <v>46</v>
      </c>
      <c r="AC278" s="5"/>
      <c r="AD278" s="5" t="b">
        <v>0</v>
      </c>
      <c r="AE278" s="5"/>
      <c r="AF278" s="5"/>
      <c r="AG278" s="9">
        <f t="shared" si="4"/>
        <v>43267</v>
      </c>
    </row>
    <row r="279" s="6" customFormat="1" spans="1:33">
      <c r="A279" s="5" t="s">
        <v>1535</v>
      </c>
      <c r="B279" s="5" t="s">
        <v>1535</v>
      </c>
      <c r="C279" s="5" t="s">
        <v>1536</v>
      </c>
      <c r="D279" s="5" t="s">
        <v>1537</v>
      </c>
      <c r="E279" s="5" t="s">
        <v>36</v>
      </c>
      <c r="F279" s="5" t="s">
        <v>37</v>
      </c>
      <c r="G279" s="5" t="s">
        <v>38</v>
      </c>
      <c r="H279" s="5"/>
      <c r="I279" s="5"/>
      <c r="J279" s="5" t="s">
        <v>39</v>
      </c>
      <c r="K279" s="5" t="s">
        <v>101</v>
      </c>
      <c r="L279" s="5" t="s">
        <v>181</v>
      </c>
      <c r="M279" s="5" t="s">
        <v>103</v>
      </c>
      <c r="N279" s="5" t="s">
        <v>36</v>
      </c>
      <c r="O279" s="5">
        <v>1</v>
      </c>
      <c r="P279" s="5" t="s">
        <v>43</v>
      </c>
      <c r="Q279" s="5">
        <v>12.99</v>
      </c>
      <c r="R279" s="5"/>
      <c r="S279" s="5"/>
      <c r="T279" s="5"/>
      <c r="U279" s="5"/>
      <c r="V279" s="5"/>
      <c r="W279" s="5"/>
      <c r="X279" s="5"/>
      <c r="Y279" s="5" t="s">
        <v>1538</v>
      </c>
      <c r="Z279" s="5" t="s">
        <v>54</v>
      </c>
      <c r="AA279" s="5">
        <v>92708</v>
      </c>
      <c r="AB279" s="5" t="s">
        <v>46</v>
      </c>
      <c r="AC279" s="5"/>
      <c r="AD279" s="5" t="b">
        <v>0</v>
      </c>
      <c r="AE279" s="5"/>
      <c r="AF279" s="5"/>
      <c r="AG279" s="9">
        <f t="shared" si="4"/>
        <v>43267</v>
      </c>
    </row>
    <row r="280" s="6" customFormat="1" spans="1:33">
      <c r="A280" s="5" t="s">
        <v>1539</v>
      </c>
      <c r="B280" s="5" t="s">
        <v>1539</v>
      </c>
      <c r="C280" s="5" t="s">
        <v>1540</v>
      </c>
      <c r="D280" s="5" t="s">
        <v>1541</v>
      </c>
      <c r="E280" s="5" t="s">
        <v>36</v>
      </c>
      <c r="F280" s="5" t="s">
        <v>37</v>
      </c>
      <c r="G280" s="5" t="s">
        <v>38</v>
      </c>
      <c r="H280" s="5"/>
      <c r="I280" s="5"/>
      <c r="J280" s="5" t="s">
        <v>39</v>
      </c>
      <c r="K280" s="5" t="s">
        <v>1542</v>
      </c>
      <c r="L280" s="5" t="s">
        <v>1543</v>
      </c>
      <c r="M280" s="5" t="s">
        <v>1544</v>
      </c>
      <c r="N280" s="5" t="s">
        <v>36</v>
      </c>
      <c r="O280" s="5">
        <v>1</v>
      </c>
      <c r="P280" s="5" t="s">
        <v>43</v>
      </c>
      <c r="Q280" s="5">
        <v>12</v>
      </c>
      <c r="R280" s="5"/>
      <c r="S280" s="5"/>
      <c r="T280" s="5"/>
      <c r="U280" s="5"/>
      <c r="V280" s="5"/>
      <c r="W280" s="5"/>
      <c r="X280" s="5"/>
      <c r="Y280" s="5" t="s">
        <v>1545</v>
      </c>
      <c r="Z280" s="5" t="s">
        <v>1546</v>
      </c>
      <c r="AA280" s="5">
        <v>92325</v>
      </c>
      <c r="AB280" s="5" t="s">
        <v>46</v>
      </c>
      <c r="AC280" s="5"/>
      <c r="AD280" s="5" t="b">
        <v>0</v>
      </c>
      <c r="AE280" s="5"/>
      <c r="AF280" s="5"/>
      <c r="AG280" s="9">
        <f t="shared" si="4"/>
        <v>43267</v>
      </c>
    </row>
    <row r="281" s="6" customFormat="1" spans="1:33">
      <c r="A281" s="5" t="s">
        <v>1547</v>
      </c>
      <c r="B281" s="5" t="s">
        <v>1547</v>
      </c>
      <c r="C281" s="5" t="s">
        <v>1548</v>
      </c>
      <c r="D281" s="5" t="s">
        <v>1549</v>
      </c>
      <c r="E281" s="5" t="s">
        <v>614</v>
      </c>
      <c r="F281" s="5" t="s">
        <v>37</v>
      </c>
      <c r="G281" s="5" t="s">
        <v>38</v>
      </c>
      <c r="H281" s="5"/>
      <c r="I281" s="5"/>
      <c r="J281" s="5" t="s">
        <v>39</v>
      </c>
      <c r="K281" s="5" t="s">
        <v>1550</v>
      </c>
      <c r="L281" s="5" t="s">
        <v>1551</v>
      </c>
      <c r="M281" s="5" t="s">
        <v>1552</v>
      </c>
      <c r="N281" s="5" t="s">
        <v>614</v>
      </c>
      <c r="O281" s="5">
        <v>0</v>
      </c>
      <c r="P281" s="5"/>
      <c r="Q281" s="5"/>
      <c r="R281" s="5"/>
      <c r="S281" s="5"/>
      <c r="T281" s="5"/>
      <c r="U281" s="5"/>
      <c r="V281" s="5"/>
      <c r="W281" s="5"/>
      <c r="X281" s="5"/>
      <c r="Y281" s="5" t="s">
        <v>1553</v>
      </c>
      <c r="Z281" s="5" t="s">
        <v>377</v>
      </c>
      <c r="AA281" s="5" t="s">
        <v>1554</v>
      </c>
      <c r="AB281" s="5" t="s">
        <v>46</v>
      </c>
      <c r="AC281" s="5"/>
      <c r="AD281" s="5" t="b">
        <v>0</v>
      </c>
      <c r="AE281" s="5"/>
      <c r="AF281" s="5"/>
      <c r="AG281" s="9">
        <f t="shared" si="4"/>
        <v>43267</v>
      </c>
    </row>
    <row r="282" s="6" customFormat="1" spans="1:33">
      <c r="A282" s="5" t="s">
        <v>1555</v>
      </c>
      <c r="B282" s="5" t="s">
        <v>1555</v>
      </c>
      <c r="C282" s="5" t="s">
        <v>1556</v>
      </c>
      <c r="D282" s="5" t="s">
        <v>1557</v>
      </c>
      <c r="E282" s="5" t="s">
        <v>36</v>
      </c>
      <c r="F282" s="5" t="s">
        <v>37</v>
      </c>
      <c r="G282" s="5" t="s">
        <v>38</v>
      </c>
      <c r="H282" s="5"/>
      <c r="I282" s="5"/>
      <c r="J282" s="5" t="s">
        <v>39</v>
      </c>
      <c r="K282" s="5" t="s">
        <v>50</v>
      </c>
      <c r="L282" s="5" t="s">
        <v>51</v>
      </c>
      <c r="M282" s="5" t="s">
        <v>52</v>
      </c>
      <c r="N282" s="5" t="s">
        <v>36</v>
      </c>
      <c r="O282" s="5">
        <v>1</v>
      </c>
      <c r="P282" s="5" t="s">
        <v>43</v>
      </c>
      <c r="Q282" s="5">
        <v>18.99</v>
      </c>
      <c r="R282" s="5"/>
      <c r="S282" s="5"/>
      <c r="T282" s="5"/>
      <c r="U282" s="5"/>
      <c r="V282" s="5"/>
      <c r="W282" s="5"/>
      <c r="X282" s="5"/>
      <c r="Y282" s="5" t="s">
        <v>1558</v>
      </c>
      <c r="Z282" s="5" t="s">
        <v>54</v>
      </c>
      <c r="AA282" s="5" t="s">
        <v>1559</v>
      </c>
      <c r="AB282" s="5" t="s">
        <v>46</v>
      </c>
      <c r="AC282" s="5"/>
      <c r="AD282" s="5" t="b">
        <v>0</v>
      </c>
      <c r="AE282" s="5"/>
      <c r="AF282" s="5"/>
      <c r="AG282" s="9">
        <f t="shared" si="4"/>
        <v>43267</v>
      </c>
    </row>
    <row r="283" s="6" customFormat="1" spans="1:33">
      <c r="A283" s="5" t="s">
        <v>1560</v>
      </c>
      <c r="B283" s="5" t="s">
        <v>1560</v>
      </c>
      <c r="C283" s="5" t="s">
        <v>1561</v>
      </c>
      <c r="D283" s="5" t="s">
        <v>1562</v>
      </c>
      <c r="E283" s="5" t="s">
        <v>36</v>
      </c>
      <c r="F283" s="5" t="s">
        <v>37</v>
      </c>
      <c r="G283" s="5" t="s">
        <v>38</v>
      </c>
      <c r="H283" s="5"/>
      <c r="I283" s="5"/>
      <c r="J283" s="5" t="s">
        <v>39</v>
      </c>
      <c r="K283" s="5" t="s">
        <v>147</v>
      </c>
      <c r="L283" s="5" t="s">
        <v>148</v>
      </c>
      <c r="M283" s="5" t="s">
        <v>149</v>
      </c>
      <c r="N283" s="5" t="s">
        <v>36</v>
      </c>
      <c r="O283" s="5">
        <v>1</v>
      </c>
      <c r="P283" s="5" t="s">
        <v>43</v>
      </c>
      <c r="Q283" s="5">
        <v>12.98</v>
      </c>
      <c r="R283" s="5"/>
      <c r="S283" s="5"/>
      <c r="T283" s="5"/>
      <c r="U283" s="5"/>
      <c r="V283" s="5"/>
      <c r="W283" s="5"/>
      <c r="X283" s="5"/>
      <c r="Y283" s="5" t="s">
        <v>1563</v>
      </c>
      <c r="Z283" s="5" t="s">
        <v>923</v>
      </c>
      <c r="AA283" s="5">
        <v>85225</v>
      </c>
      <c r="AB283" s="5" t="s">
        <v>46</v>
      </c>
      <c r="AC283" s="5"/>
      <c r="AD283" s="5" t="b">
        <v>0</v>
      </c>
      <c r="AE283" s="5"/>
      <c r="AF283" s="5"/>
      <c r="AG283" s="9">
        <f t="shared" si="4"/>
        <v>43267</v>
      </c>
    </row>
    <row r="284" s="6" customFormat="1" spans="1:33">
      <c r="A284" s="5" t="s">
        <v>1564</v>
      </c>
      <c r="B284" s="5" t="s">
        <v>1564</v>
      </c>
      <c r="C284" s="5" t="s">
        <v>1565</v>
      </c>
      <c r="D284" s="5" t="s">
        <v>1566</v>
      </c>
      <c r="E284" s="5" t="s">
        <v>36</v>
      </c>
      <c r="F284" s="5" t="s">
        <v>37</v>
      </c>
      <c r="G284" s="5" t="s">
        <v>38</v>
      </c>
      <c r="H284" s="5"/>
      <c r="I284" s="5"/>
      <c r="J284" s="5" t="s">
        <v>39</v>
      </c>
      <c r="K284" s="5" t="s">
        <v>269</v>
      </c>
      <c r="L284" s="5" t="s">
        <v>270</v>
      </c>
      <c r="M284" s="5" t="s">
        <v>271</v>
      </c>
      <c r="N284" s="5" t="s">
        <v>36</v>
      </c>
      <c r="O284" s="5">
        <v>1</v>
      </c>
      <c r="P284" s="5" t="s">
        <v>43</v>
      </c>
      <c r="Q284" s="5">
        <v>24.99</v>
      </c>
      <c r="R284" s="5"/>
      <c r="S284" s="5"/>
      <c r="T284" s="5"/>
      <c r="U284" s="5"/>
      <c r="V284" s="5"/>
      <c r="W284" s="5"/>
      <c r="X284" s="5"/>
      <c r="Y284" s="5" t="s">
        <v>1567</v>
      </c>
      <c r="Z284" s="5" t="s">
        <v>170</v>
      </c>
      <c r="AA284" s="5">
        <v>65714</v>
      </c>
      <c r="AB284" s="5" t="s">
        <v>46</v>
      </c>
      <c r="AC284" s="5"/>
      <c r="AD284" s="5" t="b">
        <v>0</v>
      </c>
      <c r="AE284" s="5"/>
      <c r="AF284" s="5"/>
      <c r="AG284" s="9">
        <f t="shared" si="4"/>
        <v>43267</v>
      </c>
    </row>
    <row r="285" s="6" customFormat="1" spans="1:33">
      <c r="A285" s="5" t="s">
        <v>1568</v>
      </c>
      <c r="B285" s="5" t="s">
        <v>1568</v>
      </c>
      <c r="C285" s="5" t="s">
        <v>1569</v>
      </c>
      <c r="D285" s="5" t="s">
        <v>1570</v>
      </c>
      <c r="E285" s="5" t="s">
        <v>36</v>
      </c>
      <c r="F285" s="5" t="s">
        <v>37</v>
      </c>
      <c r="G285" s="5" t="s">
        <v>38</v>
      </c>
      <c r="H285" s="5"/>
      <c r="I285" s="5"/>
      <c r="J285" s="5" t="s">
        <v>39</v>
      </c>
      <c r="K285" s="5" t="s">
        <v>269</v>
      </c>
      <c r="L285" s="5" t="s">
        <v>270</v>
      </c>
      <c r="M285" s="5" t="s">
        <v>271</v>
      </c>
      <c r="N285" s="5" t="s">
        <v>36</v>
      </c>
      <c r="O285" s="5">
        <v>1</v>
      </c>
      <c r="P285" s="5" t="s">
        <v>43</v>
      </c>
      <c r="Q285" s="5">
        <v>24.99</v>
      </c>
      <c r="R285" s="5"/>
      <c r="S285" s="5"/>
      <c r="T285" s="5"/>
      <c r="U285" s="5"/>
      <c r="V285" s="5"/>
      <c r="W285" s="5"/>
      <c r="X285" s="5"/>
      <c r="Y285" s="5" t="s">
        <v>1571</v>
      </c>
      <c r="Z285" s="5" t="s">
        <v>54</v>
      </c>
      <c r="AA285" s="5" t="s">
        <v>1572</v>
      </c>
      <c r="AB285" s="5" t="s">
        <v>46</v>
      </c>
      <c r="AC285" s="5"/>
      <c r="AD285" s="5" t="b">
        <v>0</v>
      </c>
      <c r="AE285" s="5"/>
      <c r="AF285" s="5"/>
      <c r="AG285" s="9">
        <f t="shared" si="4"/>
        <v>43268</v>
      </c>
    </row>
    <row r="286" s="6" customFormat="1" spans="1:33">
      <c r="A286" s="5" t="s">
        <v>1573</v>
      </c>
      <c r="B286" s="5" t="s">
        <v>1573</v>
      </c>
      <c r="C286" s="5" t="s">
        <v>1574</v>
      </c>
      <c r="D286" s="5" t="s">
        <v>1575</v>
      </c>
      <c r="E286" s="5" t="s">
        <v>36</v>
      </c>
      <c r="F286" s="5" t="s">
        <v>37</v>
      </c>
      <c r="G286" s="5" t="s">
        <v>38</v>
      </c>
      <c r="H286" s="5"/>
      <c r="I286" s="5"/>
      <c r="J286" s="5" t="s">
        <v>39</v>
      </c>
      <c r="K286" s="5" t="s">
        <v>201</v>
      </c>
      <c r="L286" s="5" t="s">
        <v>202</v>
      </c>
      <c r="M286" s="5" t="s">
        <v>203</v>
      </c>
      <c r="N286" s="5" t="s">
        <v>36</v>
      </c>
      <c r="O286" s="5">
        <v>1</v>
      </c>
      <c r="P286" s="5" t="s">
        <v>43</v>
      </c>
      <c r="Q286" s="5">
        <v>18.99</v>
      </c>
      <c r="R286" s="5"/>
      <c r="S286" s="5"/>
      <c r="T286" s="5"/>
      <c r="U286" s="5"/>
      <c r="V286" s="5"/>
      <c r="W286" s="5"/>
      <c r="X286" s="5"/>
      <c r="Y286" s="5" t="s">
        <v>1553</v>
      </c>
      <c r="Z286" s="5" t="s">
        <v>377</v>
      </c>
      <c r="AA286" s="5" t="s">
        <v>1576</v>
      </c>
      <c r="AB286" s="5" t="s">
        <v>46</v>
      </c>
      <c r="AC286" s="5"/>
      <c r="AD286" s="5" t="b">
        <v>0</v>
      </c>
      <c r="AE286" s="5"/>
      <c r="AF286" s="5"/>
      <c r="AG286" s="9">
        <f t="shared" si="4"/>
        <v>43268</v>
      </c>
    </row>
    <row r="287" s="6" customFormat="1" spans="1:33">
      <c r="A287" s="5" t="s">
        <v>1577</v>
      </c>
      <c r="B287" s="5" t="s">
        <v>1577</v>
      </c>
      <c r="C287" s="5" t="s">
        <v>1578</v>
      </c>
      <c r="D287" s="5" t="s">
        <v>1579</v>
      </c>
      <c r="E287" s="5" t="s">
        <v>36</v>
      </c>
      <c r="F287" s="5" t="s">
        <v>37</v>
      </c>
      <c r="G287" s="5" t="s">
        <v>38</v>
      </c>
      <c r="H287" s="5"/>
      <c r="I287" s="5"/>
      <c r="J287" s="5" t="s">
        <v>39</v>
      </c>
      <c r="K287" s="5" t="s">
        <v>269</v>
      </c>
      <c r="L287" s="5" t="s">
        <v>270</v>
      </c>
      <c r="M287" s="5" t="s">
        <v>271</v>
      </c>
      <c r="N287" s="5" t="s">
        <v>36</v>
      </c>
      <c r="O287" s="5">
        <v>1</v>
      </c>
      <c r="P287" s="5" t="s">
        <v>43</v>
      </c>
      <c r="Q287" s="5">
        <v>24.99</v>
      </c>
      <c r="R287" s="5"/>
      <c r="S287" s="5"/>
      <c r="T287" s="5"/>
      <c r="U287" s="5"/>
      <c r="V287" s="5"/>
      <c r="W287" s="5"/>
      <c r="X287" s="5"/>
      <c r="Y287" s="5" t="s">
        <v>1580</v>
      </c>
      <c r="Z287" s="5" t="s">
        <v>151</v>
      </c>
      <c r="AA287" s="5">
        <v>11510</v>
      </c>
      <c r="AB287" s="5" t="s">
        <v>46</v>
      </c>
      <c r="AC287" s="5"/>
      <c r="AD287" s="5" t="b">
        <v>0</v>
      </c>
      <c r="AE287" s="5"/>
      <c r="AF287" s="5"/>
      <c r="AG287" s="9">
        <f t="shared" si="4"/>
        <v>43268</v>
      </c>
    </row>
    <row r="288" s="6" customFormat="1" spans="1:33">
      <c r="A288" s="5" t="s">
        <v>1581</v>
      </c>
      <c r="B288" s="5" t="s">
        <v>1581</v>
      </c>
      <c r="C288" s="5" t="s">
        <v>1582</v>
      </c>
      <c r="D288" s="5" t="s">
        <v>1583</v>
      </c>
      <c r="E288" s="5" t="s">
        <v>36</v>
      </c>
      <c r="F288" s="5" t="s">
        <v>37</v>
      </c>
      <c r="G288" s="5" t="s">
        <v>38</v>
      </c>
      <c r="H288" s="5"/>
      <c r="I288" s="5"/>
      <c r="J288" s="5" t="s">
        <v>39</v>
      </c>
      <c r="K288" s="5" t="s">
        <v>541</v>
      </c>
      <c r="L288" s="5" t="s">
        <v>1106</v>
      </c>
      <c r="M288" s="5" t="s">
        <v>1107</v>
      </c>
      <c r="N288" s="5" t="s">
        <v>36</v>
      </c>
      <c r="O288" s="5">
        <v>1</v>
      </c>
      <c r="P288" s="5" t="s">
        <v>43</v>
      </c>
      <c r="Q288" s="5">
        <v>10.98</v>
      </c>
      <c r="R288" s="5"/>
      <c r="S288" s="5"/>
      <c r="T288" s="5"/>
      <c r="U288" s="5"/>
      <c r="V288" s="5"/>
      <c r="W288" s="5"/>
      <c r="X288" s="5"/>
      <c r="Y288" s="5" t="s">
        <v>1584</v>
      </c>
      <c r="Z288" s="5" t="s">
        <v>123</v>
      </c>
      <c r="AA288" s="5">
        <v>97213</v>
      </c>
      <c r="AB288" s="5" t="s">
        <v>46</v>
      </c>
      <c r="AC288" s="5"/>
      <c r="AD288" s="5" t="b">
        <v>0</v>
      </c>
      <c r="AE288" s="5"/>
      <c r="AF288" s="5"/>
      <c r="AG288" s="9">
        <f t="shared" si="4"/>
        <v>43268</v>
      </c>
    </row>
    <row r="289" s="6" customFormat="1" spans="1:33">
      <c r="A289" s="5" t="s">
        <v>1585</v>
      </c>
      <c r="B289" s="5" t="s">
        <v>1585</v>
      </c>
      <c r="C289" s="5" t="s">
        <v>1586</v>
      </c>
      <c r="D289" s="5" t="s">
        <v>1587</v>
      </c>
      <c r="E289" s="5" t="s">
        <v>36</v>
      </c>
      <c r="F289" s="5" t="s">
        <v>37</v>
      </c>
      <c r="G289" s="5" t="s">
        <v>38</v>
      </c>
      <c r="H289" s="5"/>
      <c r="I289" s="5"/>
      <c r="J289" s="5" t="s">
        <v>39</v>
      </c>
      <c r="K289" s="5" t="s">
        <v>110</v>
      </c>
      <c r="L289" s="5" t="s">
        <v>111</v>
      </c>
      <c r="M289" s="5" t="s">
        <v>112</v>
      </c>
      <c r="N289" s="5" t="s">
        <v>36</v>
      </c>
      <c r="O289" s="5">
        <v>1</v>
      </c>
      <c r="P289" s="5" t="s">
        <v>43</v>
      </c>
      <c r="Q289" s="5">
        <v>12.99</v>
      </c>
      <c r="R289" s="5"/>
      <c r="S289" s="5"/>
      <c r="T289" s="5"/>
      <c r="U289" s="5"/>
      <c r="V289" s="5"/>
      <c r="W289" s="5"/>
      <c r="X289" s="5"/>
      <c r="Y289" s="5" t="s">
        <v>1588</v>
      </c>
      <c r="Z289" s="5" t="s">
        <v>142</v>
      </c>
      <c r="AA289" s="5" t="s">
        <v>1589</v>
      </c>
      <c r="AB289" s="5" t="s">
        <v>46</v>
      </c>
      <c r="AC289" s="5"/>
      <c r="AD289" s="5" t="b">
        <v>0</v>
      </c>
      <c r="AE289" s="5"/>
      <c r="AF289" s="5"/>
      <c r="AG289" s="9">
        <f t="shared" si="4"/>
        <v>43268</v>
      </c>
    </row>
    <row r="290" s="6" customFormat="1" spans="1:33">
      <c r="A290" s="5" t="s">
        <v>1590</v>
      </c>
      <c r="B290" s="5" t="s">
        <v>1590</v>
      </c>
      <c r="C290" s="5" t="s">
        <v>1591</v>
      </c>
      <c r="D290" s="5" t="s">
        <v>1592</v>
      </c>
      <c r="E290" s="5" t="s">
        <v>36</v>
      </c>
      <c r="F290" s="5" t="s">
        <v>37</v>
      </c>
      <c r="G290" s="5" t="s">
        <v>38</v>
      </c>
      <c r="H290" s="5"/>
      <c r="I290" s="5"/>
      <c r="J290" s="5" t="s">
        <v>128</v>
      </c>
      <c r="K290" s="5" t="s">
        <v>387</v>
      </c>
      <c r="L290" s="5" t="s">
        <v>388</v>
      </c>
      <c r="M290" s="5" t="s">
        <v>389</v>
      </c>
      <c r="N290" s="5" t="s">
        <v>36</v>
      </c>
      <c r="O290" s="5">
        <v>1</v>
      </c>
      <c r="P290" s="5" t="s">
        <v>43</v>
      </c>
      <c r="Q290" s="5">
        <v>18.99</v>
      </c>
      <c r="R290" s="5"/>
      <c r="S290" s="5">
        <v>2.55</v>
      </c>
      <c r="T290" s="5"/>
      <c r="U290" s="5"/>
      <c r="V290" s="5"/>
      <c r="W290" s="5"/>
      <c r="X290" s="5"/>
      <c r="Y290" s="5" t="s">
        <v>1593</v>
      </c>
      <c r="Z290" s="5" t="s">
        <v>1594</v>
      </c>
      <c r="AA290" s="5" t="s">
        <v>1595</v>
      </c>
      <c r="AB290" s="5" t="s">
        <v>46</v>
      </c>
      <c r="AC290" s="5"/>
      <c r="AD290" s="5" t="b">
        <v>0</v>
      </c>
      <c r="AE290" s="5"/>
      <c r="AF290" s="5"/>
      <c r="AG290" s="9">
        <f t="shared" si="4"/>
        <v>43268</v>
      </c>
    </row>
    <row r="291" s="6" customFormat="1" spans="1:33">
      <c r="A291" s="5" t="s">
        <v>1596</v>
      </c>
      <c r="B291" s="5" t="s">
        <v>1596</v>
      </c>
      <c r="C291" s="5" t="s">
        <v>1597</v>
      </c>
      <c r="D291" s="5" t="s">
        <v>1598</v>
      </c>
      <c r="E291" s="5" t="s">
        <v>36</v>
      </c>
      <c r="F291" s="5" t="s">
        <v>37</v>
      </c>
      <c r="G291" s="5" t="s">
        <v>38</v>
      </c>
      <c r="H291" s="5"/>
      <c r="I291" s="5"/>
      <c r="J291" s="5" t="s">
        <v>39</v>
      </c>
      <c r="K291" s="5" t="s">
        <v>201</v>
      </c>
      <c r="L291" s="5" t="s">
        <v>202</v>
      </c>
      <c r="M291" s="5" t="s">
        <v>203</v>
      </c>
      <c r="N291" s="5" t="s">
        <v>36</v>
      </c>
      <c r="O291" s="5">
        <v>1</v>
      </c>
      <c r="P291" s="5" t="s">
        <v>43</v>
      </c>
      <c r="Q291" s="5">
        <v>18.99</v>
      </c>
      <c r="R291" s="5">
        <v>1.9</v>
      </c>
      <c r="S291" s="5"/>
      <c r="T291" s="5"/>
      <c r="U291" s="5"/>
      <c r="V291" s="5"/>
      <c r="W291" s="5"/>
      <c r="X291" s="5"/>
      <c r="Y291" s="5" t="s">
        <v>1599</v>
      </c>
      <c r="Z291" s="5" t="s">
        <v>474</v>
      </c>
      <c r="AA291" s="5" t="s">
        <v>1600</v>
      </c>
      <c r="AB291" s="5" t="s">
        <v>46</v>
      </c>
      <c r="AC291" s="5"/>
      <c r="AD291" s="5" t="b">
        <v>0</v>
      </c>
      <c r="AE291" s="5"/>
      <c r="AF291" s="5"/>
      <c r="AG291" s="9">
        <f t="shared" si="4"/>
        <v>43268</v>
      </c>
    </row>
    <row r="292" s="6" customFormat="1" spans="1:33">
      <c r="A292" s="5" t="s">
        <v>1601</v>
      </c>
      <c r="B292" s="5" t="s">
        <v>1601</v>
      </c>
      <c r="C292" s="5" t="s">
        <v>1602</v>
      </c>
      <c r="D292" s="5" t="s">
        <v>1603</v>
      </c>
      <c r="E292" s="5" t="s">
        <v>36</v>
      </c>
      <c r="F292" s="5" t="s">
        <v>37</v>
      </c>
      <c r="G292" s="5" t="s">
        <v>38</v>
      </c>
      <c r="H292" s="5"/>
      <c r="I292" s="5"/>
      <c r="J292" s="5" t="s">
        <v>39</v>
      </c>
      <c r="K292" s="5" t="s">
        <v>1291</v>
      </c>
      <c r="L292" s="5" t="s">
        <v>1292</v>
      </c>
      <c r="M292" s="5" t="s">
        <v>1293</v>
      </c>
      <c r="N292" s="5" t="s">
        <v>36</v>
      </c>
      <c r="O292" s="5">
        <v>1</v>
      </c>
      <c r="P292" s="5" t="s">
        <v>43</v>
      </c>
      <c r="Q292" s="5">
        <v>12.99</v>
      </c>
      <c r="R292" s="5"/>
      <c r="S292" s="5"/>
      <c r="T292" s="5"/>
      <c r="U292" s="5"/>
      <c r="V292" s="5"/>
      <c r="W292" s="5"/>
      <c r="X292" s="5"/>
      <c r="Y292" s="5" t="s">
        <v>1604</v>
      </c>
      <c r="Z292" s="5" t="s">
        <v>238</v>
      </c>
      <c r="AA292" s="5" t="s">
        <v>1605</v>
      </c>
      <c r="AB292" s="5" t="s">
        <v>46</v>
      </c>
      <c r="AC292" s="5"/>
      <c r="AD292" s="5" t="b">
        <v>0</v>
      </c>
      <c r="AE292" s="5"/>
      <c r="AF292" s="5"/>
      <c r="AG292" s="9">
        <f t="shared" si="4"/>
        <v>43268</v>
      </c>
    </row>
    <row r="293" s="6" customFormat="1" spans="1:33">
      <c r="A293" s="5" t="s">
        <v>1606</v>
      </c>
      <c r="B293" s="5" t="s">
        <v>1606</v>
      </c>
      <c r="C293" s="5" t="s">
        <v>1607</v>
      </c>
      <c r="D293" s="5" t="s">
        <v>1608</v>
      </c>
      <c r="E293" s="5" t="s">
        <v>36</v>
      </c>
      <c r="F293" s="5" t="s">
        <v>37</v>
      </c>
      <c r="G293" s="5" t="s">
        <v>38</v>
      </c>
      <c r="H293" s="5"/>
      <c r="I293" s="5"/>
      <c r="J293" s="5" t="s">
        <v>39</v>
      </c>
      <c r="K293" s="5" t="s">
        <v>387</v>
      </c>
      <c r="L293" s="5" t="s">
        <v>388</v>
      </c>
      <c r="M293" s="5" t="s">
        <v>389</v>
      </c>
      <c r="N293" s="5" t="s">
        <v>36</v>
      </c>
      <c r="O293" s="5">
        <v>1</v>
      </c>
      <c r="P293" s="5" t="s">
        <v>43</v>
      </c>
      <c r="Q293" s="5">
        <v>18.99</v>
      </c>
      <c r="R293" s="5"/>
      <c r="S293" s="5"/>
      <c r="T293" s="5"/>
      <c r="U293" s="5"/>
      <c r="V293" s="5"/>
      <c r="W293" s="5"/>
      <c r="X293" s="5"/>
      <c r="Y293" s="5" t="s">
        <v>861</v>
      </c>
      <c r="Z293" s="5" t="s">
        <v>54</v>
      </c>
      <c r="AA293" s="5" t="s">
        <v>1609</v>
      </c>
      <c r="AB293" s="5" t="s">
        <v>46</v>
      </c>
      <c r="AC293" s="5"/>
      <c r="AD293" s="5" t="b">
        <v>0</v>
      </c>
      <c r="AE293" s="5"/>
      <c r="AF293" s="5"/>
      <c r="AG293" s="9">
        <f t="shared" si="4"/>
        <v>43268</v>
      </c>
    </row>
    <row r="294" s="6" customFormat="1" spans="1:33">
      <c r="A294" s="5" t="s">
        <v>1610</v>
      </c>
      <c r="B294" s="5" t="s">
        <v>1610</v>
      </c>
      <c r="C294" s="5" t="s">
        <v>1611</v>
      </c>
      <c r="D294" s="5" t="s">
        <v>1612</v>
      </c>
      <c r="E294" s="5" t="s">
        <v>36</v>
      </c>
      <c r="F294" s="5" t="s">
        <v>37</v>
      </c>
      <c r="G294" s="5" t="s">
        <v>38</v>
      </c>
      <c r="H294" s="5"/>
      <c r="I294" s="5"/>
      <c r="J294" s="5" t="s">
        <v>128</v>
      </c>
      <c r="K294" s="5" t="s">
        <v>1613</v>
      </c>
      <c r="L294" s="5" t="s">
        <v>1614</v>
      </c>
      <c r="M294" s="5" t="s">
        <v>1615</v>
      </c>
      <c r="N294" s="5" t="s">
        <v>36</v>
      </c>
      <c r="O294" s="5">
        <v>1</v>
      </c>
      <c r="P294" s="5" t="s">
        <v>43</v>
      </c>
      <c r="Q294" s="5">
        <v>16.98</v>
      </c>
      <c r="R294" s="5"/>
      <c r="S294" s="5">
        <v>2.49</v>
      </c>
      <c r="T294" s="5"/>
      <c r="U294" s="5"/>
      <c r="V294" s="5"/>
      <c r="W294" s="5"/>
      <c r="X294" s="5">
        <v>2.49</v>
      </c>
      <c r="Y294" s="5" t="s">
        <v>1616</v>
      </c>
      <c r="Z294" s="5" t="s">
        <v>307</v>
      </c>
      <c r="AA294" s="5" t="s">
        <v>1617</v>
      </c>
      <c r="AB294" s="5" t="s">
        <v>46</v>
      </c>
      <c r="AC294" s="5" t="s">
        <v>225</v>
      </c>
      <c r="AD294" s="5" t="b">
        <v>0</v>
      </c>
      <c r="AE294" s="5"/>
      <c r="AF294" s="5"/>
      <c r="AG294" s="9">
        <f t="shared" si="4"/>
        <v>43268</v>
      </c>
    </row>
    <row r="295" s="6" customFormat="1" spans="1:33">
      <c r="A295" s="5" t="s">
        <v>1618</v>
      </c>
      <c r="B295" s="5" t="s">
        <v>1618</v>
      </c>
      <c r="C295" s="5" t="s">
        <v>1619</v>
      </c>
      <c r="D295" s="5" t="s">
        <v>1620</v>
      </c>
      <c r="E295" s="5" t="s">
        <v>36</v>
      </c>
      <c r="F295" s="5" t="s">
        <v>37</v>
      </c>
      <c r="G295" s="5" t="s">
        <v>38</v>
      </c>
      <c r="H295" s="5"/>
      <c r="I295" s="5"/>
      <c r="J295" s="5" t="s">
        <v>39</v>
      </c>
      <c r="K295" s="5" t="s">
        <v>101</v>
      </c>
      <c r="L295" s="5" t="s">
        <v>102</v>
      </c>
      <c r="M295" s="5" t="s">
        <v>103</v>
      </c>
      <c r="N295" s="5" t="s">
        <v>36</v>
      </c>
      <c r="O295" s="5">
        <v>1</v>
      </c>
      <c r="P295" s="5" t="s">
        <v>43</v>
      </c>
      <c r="Q295" s="5">
        <v>12.99</v>
      </c>
      <c r="R295" s="5"/>
      <c r="S295" s="5"/>
      <c r="T295" s="5"/>
      <c r="U295" s="5"/>
      <c r="V295" s="5"/>
      <c r="W295" s="5"/>
      <c r="X295" s="5"/>
      <c r="Y295" s="5" t="s">
        <v>1621</v>
      </c>
      <c r="Z295" s="5" t="s">
        <v>105</v>
      </c>
      <c r="AA295" s="5">
        <v>7002</v>
      </c>
      <c r="AB295" s="5" t="s">
        <v>46</v>
      </c>
      <c r="AC295" s="5"/>
      <c r="AD295" s="5" t="b">
        <v>0</v>
      </c>
      <c r="AE295" s="5"/>
      <c r="AF295" s="5"/>
      <c r="AG295" s="9">
        <f t="shared" si="4"/>
        <v>43268</v>
      </c>
    </row>
    <row r="296" s="6" customFormat="1" spans="1:33">
      <c r="A296" s="5" t="s">
        <v>1622</v>
      </c>
      <c r="B296" s="5" t="s">
        <v>1622</v>
      </c>
      <c r="C296" s="5" t="s">
        <v>1623</v>
      </c>
      <c r="D296" s="5" t="s">
        <v>1624</v>
      </c>
      <c r="E296" s="5" t="s">
        <v>36</v>
      </c>
      <c r="F296" s="5" t="s">
        <v>37</v>
      </c>
      <c r="G296" s="5" t="s">
        <v>38</v>
      </c>
      <c r="H296" s="5"/>
      <c r="I296" s="5"/>
      <c r="J296" s="5" t="s">
        <v>39</v>
      </c>
      <c r="K296" s="5" t="s">
        <v>1625</v>
      </c>
      <c r="L296" s="5" t="s">
        <v>1626</v>
      </c>
      <c r="M296" s="5" t="s">
        <v>1627</v>
      </c>
      <c r="N296" s="5" t="s">
        <v>36</v>
      </c>
      <c r="O296" s="5">
        <v>1</v>
      </c>
      <c r="P296" s="5" t="s">
        <v>43</v>
      </c>
      <c r="Q296" s="5">
        <v>17.9</v>
      </c>
      <c r="R296" s="5"/>
      <c r="S296" s="5"/>
      <c r="T296" s="5"/>
      <c r="U296" s="5"/>
      <c r="V296" s="5"/>
      <c r="W296" s="5"/>
      <c r="X296" s="5"/>
      <c r="Y296" s="5" t="s">
        <v>1628</v>
      </c>
      <c r="Z296" s="5" t="s">
        <v>923</v>
      </c>
      <c r="AA296" s="5">
        <v>85650</v>
      </c>
      <c r="AB296" s="5" t="s">
        <v>46</v>
      </c>
      <c r="AC296" s="5"/>
      <c r="AD296" s="5" t="b">
        <v>0</v>
      </c>
      <c r="AE296" s="5"/>
      <c r="AF296" s="5"/>
      <c r="AG296" s="9">
        <f t="shared" si="4"/>
        <v>43268</v>
      </c>
    </row>
    <row r="297" s="6" customFormat="1" spans="1:33">
      <c r="A297" s="5" t="s">
        <v>1629</v>
      </c>
      <c r="B297" s="5" t="s">
        <v>1629</v>
      </c>
      <c r="C297" s="5" t="s">
        <v>1630</v>
      </c>
      <c r="D297" s="5" t="s">
        <v>1631</v>
      </c>
      <c r="E297" s="5" t="s">
        <v>614</v>
      </c>
      <c r="F297" s="5" t="s">
        <v>37</v>
      </c>
      <c r="G297" s="5" t="s">
        <v>38</v>
      </c>
      <c r="H297" s="5"/>
      <c r="I297" s="5"/>
      <c r="J297" s="5" t="s">
        <v>39</v>
      </c>
      <c r="K297" s="5" t="s">
        <v>50</v>
      </c>
      <c r="L297" s="5" t="s">
        <v>51</v>
      </c>
      <c r="M297" s="5" t="s">
        <v>52</v>
      </c>
      <c r="N297" s="5" t="s">
        <v>614</v>
      </c>
      <c r="O297" s="5">
        <v>0</v>
      </c>
      <c r="P297" s="5"/>
      <c r="Q297" s="5"/>
      <c r="R297" s="5"/>
      <c r="S297" s="5"/>
      <c r="T297" s="5"/>
      <c r="U297" s="5"/>
      <c r="V297" s="5"/>
      <c r="W297" s="5"/>
      <c r="X297" s="5"/>
      <c r="Y297" s="5" t="s">
        <v>1632</v>
      </c>
      <c r="Z297" s="5" t="s">
        <v>218</v>
      </c>
      <c r="AA297" s="5">
        <v>20876</v>
      </c>
      <c r="AB297" s="5" t="s">
        <v>46</v>
      </c>
      <c r="AC297" s="5"/>
      <c r="AD297" s="5" t="b">
        <v>0</v>
      </c>
      <c r="AE297" s="5"/>
      <c r="AF297" s="5"/>
      <c r="AG297" s="9">
        <f t="shared" si="4"/>
        <v>43268</v>
      </c>
    </row>
    <row r="298" s="6" customFormat="1" spans="1:33">
      <c r="A298" s="5" t="s">
        <v>1633</v>
      </c>
      <c r="B298" s="5" t="s">
        <v>1633</v>
      </c>
      <c r="C298" s="5" t="s">
        <v>1634</v>
      </c>
      <c r="D298" s="5" t="s">
        <v>1635</v>
      </c>
      <c r="E298" s="5" t="s">
        <v>36</v>
      </c>
      <c r="F298" s="5" t="s">
        <v>37</v>
      </c>
      <c r="G298" s="5" t="s">
        <v>38</v>
      </c>
      <c r="H298" s="5"/>
      <c r="I298" s="5"/>
      <c r="J298" s="5" t="s">
        <v>39</v>
      </c>
      <c r="K298" s="5" t="s">
        <v>110</v>
      </c>
      <c r="L298" s="5" t="s">
        <v>111</v>
      </c>
      <c r="M298" s="5" t="s">
        <v>112</v>
      </c>
      <c r="N298" s="5" t="s">
        <v>36</v>
      </c>
      <c r="O298" s="5">
        <v>1</v>
      </c>
      <c r="P298" s="5" t="s">
        <v>43</v>
      </c>
      <c r="Q298" s="5">
        <v>12.99</v>
      </c>
      <c r="R298" s="5"/>
      <c r="S298" s="5"/>
      <c r="T298" s="5"/>
      <c r="U298" s="5"/>
      <c r="V298" s="5"/>
      <c r="W298" s="5"/>
      <c r="X298" s="5"/>
      <c r="Y298" s="5" t="s">
        <v>1636</v>
      </c>
      <c r="Z298" s="5" t="s">
        <v>62</v>
      </c>
      <c r="AA298" s="5" t="s">
        <v>1637</v>
      </c>
      <c r="AB298" s="5" t="s">
        <v>46</v>
      </c>
      <c r="AC298" s="5"/>
      <c r="AD298" s="5" t="b">
        <v>0</v>
      </c>
      <c r="AE298" s="5"/>
      <c r="AF298" s="5"/>
      <c r="AG298" s="9">
        <f t="shared" si="4"/>
        <v>43268</v>
      </c>
    </row>
    <row r="299" s="6" customFormat="1" spans="1:33">
      <c r="A299" s="5" t="s">
        <v>1638</v>
      </c>
      <c r="B299" s="5" t="s">
        <v>1638</v>
      </c>
      <c r="C299" s="5" t="s">
        <v>1639</v>
      </c>
      <c r="D299" s="5" t="s">
        <v>1640</v>
      </c>
      <c r="E299" s="5" t="s">
        <v>36</v>
      </c>
      <c r="F299" s="5" t="s">
        <v>37</v>
      </c>
      <c r="G299" s="5" t="s">
        <v>38</v>
      </c>
      <c r="H299" s="5"/>
      <c r="I299" s="5"/>
      <c r="J299" s="5" t="s">
        <v>39</v>
      </c>
      <c r="K299" s="5" t="s">
        <v>119</v>
      </c>
      <c r="L299" s="5" t="s">
        <v>120</v>
      </c>
      <c r="M299" s="5" t="s">
        <v>121</v>
      </c>
      <c r="N299" s="5" t="s">
        <v>36</v>
      </c>
      <c r="O299" s="5">
        <v>1</v>
      </c>
      <c r="P299" s="5" t="s">
        <v>43</v>
      </c>
      <c r="Q299" s="5">
        <v>24.99</v>
      </c>
      <c r="R299" s="5"/>
      <c r="S299" s="5"/>
      <c r="T299" s="5"/>
      <c r="U299" s="5"/>
      <c r="V299" s="5"/>
      <c r="W299" s="5"/>
      <c r="X299" s="5"/>
      <c r="Y299" s="5" t="s">
        <v>1641</v>
      </c>
      <c r="Z299" s="5" t="s">
        <v>1594</v>
      </c>
      <c r="AA299" s="5" t="s">
        <v>1642</v>
      </c>
      <c r="AB299" s="5" t="s">
        <v>46</v>
      </c>
      <c r="AC299" s="5"/>
      <c r="AD299" s="5" t="b">
        <v>0</v>
      </c>
      <c r="AE299" s="5"/>
      <c r="AF299" s="5"/>
      <c r="AG299" s="9">
        <f t="shared" si="4"/>
        <v>43268</v>
      </c>
    </row>
    <row r="300" s="6" customFormat="1" spans="1:33">
      <c r="A300" s="5" t="s">
        <v>1643</v>
      </c>
      <c r="B300" s="5" t="s">
        <v>1643</v>
      </c>
      <c r="C300" s="5" t="s">
        <v>1644</v>
      </c>
      <c r="D300" s="5" t="s">
        <v>1645</v>
      </c>
      <c r="E300" s="5" t="s">
        <v>36</v>
      </c>
      <c r="F300" s="5" t="s">
        <v>37</v>
      </c>
      <c r="G300" s="5" t="s">
        <v>38</v>
      </c>
      <c r="H300" s="5"/>
      <c r="I300" s="5"/>
      <c r="J300" s="5" t="s">
        <v>39</v>
      </c>
      <c r="K300" s="5" t="s">
        <v>50</v>
      </c>
      <c r="L300" s="5" t="s">
        <v>51</v>
      </c>
      <c r="M300" s="5" t="s">
        <v>52</v>
      </c>
      <c r="N300" s="5" t="s">
        <v>36</v>
      </c>
      <c r="O300" s="5">
        <v>1</v>
      </c>
      <c r="P300" s="5" t="s">
        <v>43</v>
      </c>
      <c r="Q300" s="5">
        <v>18.99</v>
      </c>
      <c r="R300" s="5"/>
      <c r="S300" s="5"/>
      <c r="T300" s="5"/>
      <c r="U300" s="5"/>
      <c r="V300" s="5"/>
      <c r="W300" s="5"/>
      <c r="X300" s="5"/>
      <c r="Y300" s="5" t="s">
        <v>1646</v>
      </c>
      <c r="Z300" s="5" t="s">
        <v>247</v>
      </c>
      <c r="AA300" s="5" t="s">
        <v>1647</v>
      </c>
      <c r="AB300" s="5" t="s">
        <v>46</v>
      </c>
      <c r="AC300" s="5"/>
      <c r="AD300" s="5" t="b">
        <v>0</v>
      </c>
      <c r="AE300" s="5"/>
      <c r="AF300" s="5"/>
      <c r="AG300" s="9">
        <f t="shared" si="4"/>
        <v>43268</v>
      </c>
    </row>
    <row r="301" s="6" customFormat="1" spans="1:33">
      <c r="A301" s="5" t="s">
        <v>1648</v>
      </c>
      <c r="B301" s="5" t="s">
        <v>1648</v>
      </c>
      <c r="C301" s="5" t="s">
        <v>1649</v>
      </c>
      <c r="D301" s="5" t="s">
        <v>1650</v>
      </c>
      <c r="E301" s="5" t="s">
        <v>36</v>
      </c>
      <c r="F301" s="5" t="s">
        <v>37</v>
      </c>
      <c r="G301" s="5" t="s">
        <v>38</v>
      </c>
      <c r="H301" s="5"/>
      <c r="I301" s="5"/>
      <c r="J301" s="5" t="s">
        <v>39</v>
      </c>
      <c r="K301" s="5" t="s">
        <v>101</v>
      </c>
      <c r="L301" s="5" t="s">
        <v>102</v>
      </c>
      <c r="M301" s="5" t="s">
        <v>103</v>
      </c>
      <c r="N301" s="5" t="s">
        <v>36</v>
      </c>
      <c r="O301" s="5">
        <v>1</v>
      </c>
      <c r="P301" s="5" t="s">
        <v>43</v>
      </c>
      <c r="Q301" s="5">
        <v>12.99</v>
      </c>
      <c r="R301" s="5"/>
      <c r="S301" s="5"/>
      <c r="T301" s="5"/>
      <c r="U301" s="5"/>
      <c r="V301" s="5"/>
      <c r="W301" s="5"/>
      <c r="X301" s="5"/>
      <c r="Y301" s="5" t="s">
        <v>1651</v>
      </c>
      <c r="Z301" s="5" t="s">
        <v>631</v>
      </c>
      <c r="AA301" s="5" t="s">
        <v>1652</v>
      </c>
      <c r="AB301" s="5" t="s">
        <v>46</v>
      </c>
      <c r="AC301" s="5"/>
      <c r="AD301" s="5" t="b">
        <v>0</v>
      </c>
      <c r="AE301" s="5"/>
      <c r="AF301" s="5"/>
      <c r="AG301" s="9">
        <f t="shared" si="4"/>
        <v>43268</v>
      </c>
    </row>
    <row r="302" s="6" customFormat="1" spans="1:33">
      <c r="A302" s="5" t="s">
        <v>1653</v>
      </c>
      <c r="B302" s="5" t="s">
        <v>1653</v>
      </c>
      <c r="C302" s="5" t="s">
        <v>1654</v>
      </c>
      <c r="D302" s="5" t="s">
        <v>1655</v>
      </c>
      <c r="E302" s="5" t="s">
        <v>36</v>
      </c>
      <c r="F302" s="5" t="s">
        <v>37</v>
      </c>
      <c r="G302" s="5" t="s">
        <v>38</v>
      </c>
      <c r="H302" s="5"/>
      <c r="I302" s="5"/>
      <c r="J302" s="5" t="s">
        <v>39</v>
      </c>
      <c r="K302" s="5" t="s">
        <v>50</v>
      </c>
      <c r="L302" s="5" t="s">
        <v>51</v>
      </c>
      <c r="M302" s="5" t="s">
        <v>52</v>
      </c>
      <c r="N302" s="5" t="s">
        <v>36</v>
      </c>
      <c r="O302" s="5">
        <v>1</v>
      </c>
      <c r="P302" s="5" t="s">
        <v>43</v>
      </c>
      <c r="Q302" s="5">
        <v>18.99</v>
      </c>
      <c r="R302" s="5"/>
      <c r="S302" s="5"/>
      <c r="T302" s="5"/>
      <c r="U302" s="5"/>
      <c r="V302" s="5"/>
      <c r="W302" s="5"/>
      <c r="X302" s="5"/>
      <c r="Y302" s="5" t="s">
        <v>1656</v>
      </c>
      <c r="Z302" s="5" t="s">
        <v>247</v>
      </c>
      <c r="AA302" s="5" t="s">
        <v>1657</v>
      </c>
      <c r="AB302" s="5" t="s">
        <v>46</v>
      </c>
      <c r="AC302" s="5"/>
      <c r="AD302" s="5" t="b">
        <v>0</v>
      </c>
      <c r="AE302" s="5"/>
      <c r="AF302" s="5"/>
      <c r="AG302" s="9">
        <f t="shared" si="4"/>
        <v>43268</v>
      </c>
    </row>
    <row r="303" s="6" customFormat="1" spans="1:33">
      <c r="A303" s="5" t="s">
        <v>1658</v>
      </c>
      <c r="B303" s="5" t="s">
        <v>1658</v>
      </c>
      <c r="C303" s="5" t="s">
        <v>1659</v>
      </c>
      <c r="D303" s="5" t="s">
        <v>1660</v>
      </c>
      <c r="E303" s="5" t="s">
        <v>36</v>
      </c>
      <c r="F303" s="5" t="s">
        <v>37</v>
      </c>
      <c r="G303" s="5" t="s">
        <v>38</v>
      </c>
      <c r="H303" s="5"/>
      <c r="I303" s="5"/>
      <c r="J303" s="5" t="s">
        <v>128</v>
      </c>
      <c r="K303" s="5" t="s">
        <v>1661</v>
      </c>
      <c r="L303" s="5" t="s">
        <v>1662</v>
      </c>
      <c r="M303" s="5" t="s">
        <v>1663</v>
      </c>
      <c r="N303" s="5" t="s">
        <v>36</v>
      </c>
      <c r="O303" s="5">
        <v>1</v>
      </c>
      <c r="P303" s="5" t="s">
        <v>43</v>
      </c>
      <c r="Q303" s="5">
        <v>10.99</v>
      </c>
      <c r="R303" s="5"/>
      <c r="S303" s="5">
        <v>1.81</v>
      </c>
      <c r="T303" s="5"/>
      <c r="U303" s="5"/>
      <c r="V303" s="5"/>
      <c r="W303" s="5"/>
      <c r="X303" s="5">
        <v>1.81</v>
      </c>
      <c r="Y303" s="5" t="s">
        <v>1664</v>
      </c>
      <c r="Z303" s="5" t="s">
        <v>54</v>
      </c>
      <c r="AA303" s="5" t="s">
        <v>1665</v>
      </c>
      <c r="AB303" s="5" t="s">
        <v>46</v>
      </c>
      <c r="AC303" s="5" t="s">
        <v>225</v>
      </c>
      <c r="AD303" s="5" t="b">
        <v>0</v>
      </c>
      <c r="AE303" s="5"/>
      <c r="AF303" s="5"/>
      <c r="AG303" s="9">
        <f t="shared" si="4"/>
        <v>43268</v>
      </c>
    </row>
    <row r="304" s="6" customFormat="1" spans="1:33">
      <c r="A304" s="5" t="s">
        <v>1666</v>
      </c>
      <c r="B304" s="5" t="s">
        <v>1666</v>
      </c>
      <c r="C304" s="5" t="s">
        <v>1667</v>
      </c>
      <c r="D304" s="5" t="s">
        <v>1668</v>
      </c>
      <c r="E304" s="5" t="s">
        <v>36</v>
      </c>
      <c r="F304" s="5" t="s">
        <v>37</v>
      </c>
      <c r="G304" s="5" t="s">
        <v>38</v>
      </c>
      <c r="H304" s="5"/>
      <c r="I304" s="5"/>
      <c r="J304" s="5" t="s">
        <v>39</v>
      </c>
      <c r="K304" s="5" t="s">
        <v>83</v>
      </c>
      <c r="L304" s="5" t="s">
        <v>84</v>
      </c>
      <c r="M304" s="5" t="s">
        <v>85</v>
      </c>
      <c r="N304" s="5" t="s">
        <v>36</v>
      </c>
      <c r="O304" s="5">
        <v>1</v>
      </c>
      <c r="P304" s="5" t="s">
        <v>43</v>
      </c>
      <c r="Q304" s="5">
        <v>12.99</v>
      </c>
      <c r="R304" s="5"/>
      <c r="S304" s="5"/>
      <c r="T304" s="5"/>
      <c r="U304" s="5"/>
      <c r="V304" s="5"/>
      <c r="W304" s="5"/>
      <c r="X304" s="5"/>
      <c r="Y304" s="5" t="s">
        <v>1669</v>
      </c>
      <c r="Z304" s="5" t="s">
        <v>1447</v>
      </c>
      <c r="AA304" s="5" t="s">
        <v>1670</v>
      </c>
      <c r="AB304" s="5" t="s">
        <v>46</v>
      </c>
      <c r="AC304" s="5"/>
      <c r="AD304" s="5" t="b">
        <v>0</v>
      </c>
      <c r="AE304" s="5"/>
      <c r="AF304" s="5"/>
      <c r="AG304" s="9">
        <f t="shared" si="4"/>
        <v>43268</v>
      </c>
    </row>
    <row r="305" s="6" customFormat="1" spans="1:33">
      <c r="A305" s="5" t="s">
        <v>1671</v>
      </c>
      <c r="B305" s="5" t="s">
        <v>1671</v>
      </c>
      <c r="C305" s="5" t="s">
        <v>1672</v>
      </c>
      <c r="D305" s="5" t="s">
        <v>1673</v>
      </c>
      <c r="E305" s="5" t="s">
        <v>36</v>
      </c>
      <c r="F305" s="5" t="s">
        <v>37</v>
      </c>
      <c r="G305" s="5" t="s">
        <v>38</v>
      </c>
      <c r="H305" s="5"/>
      <c r="I305" s="5"/>
      <c r="J305" s="5" t="s">
        <v>128</v>
      </c>
      <c r="K305" s="5" t="s">
        <v>50</v>
      </c>
      <c r="L305" s="5" t="s">
        <v>51</v>
      </c>
      <c r="M305" s="5" t="s">
        <v>52</v>
      </c>
      <c r="N305" s="5" t="s">
        <v>36</v>
      </c>
      <c r="O305" s="5">
        <v>1</v>
      </c>
      <c r="P305" s="5" t="s">
        <v>43</v>
      </c>
      <c r="Q305" s="5">
        <v>18.99</v>
      </c>
      <c r="R305" s="5"/>
      <c r="S305" s="5">
        <v>1.78</v>
      </c>
      <c r="T305" s="5"/>
      <c r="U305" s="5"/>
      <c r="V305" s="5"/>
      <c r="W305" s="5"/>
      <c r="X305" s="5">
        <v>1.78</v>
      </c>
      <c r="Y305" s="5" t="s">
        <v>1674</v>
      </c>
      <c r="Z305" s="5" t="s">
        <v>391</v>
      </c>
      <c r="AA305" s="5" t="s">
        <v>1675</v>
      </c>
      <c r="AB305" s="5" t="s">
        <v>46</v>
      </c>
      <c r="AC305" s="5" t="s">
        <v>225</v>
      </c>
      <c r="AD305" s="5" t="b">
        <v>0</v>
      </c>
      <c r="AE305" s="5"/>
      <c r="AF305" s="5"/>
      <c r="AG305" s="9">
        <f t="shared" si="4"/>
        <v>43268</v>
      </c>
    </row>
    <row r="306" s="6" customFormat="1" spans="1:33">
      <c r="A306" s="5" t="s">
        <v>1676</v>
      </c>
      <c r="B306" s="5" t="s">
        <v>1676</v>
      </c>
      <c r="C306" s="5" t="s">
        <v>1677</v>
      </c>
      <c r="D306" s="5" t="s">
        <v>1678</v>
      </c>
      <c r="E306" s="5" t="s">
        <v>36</v>
      </c>
      <c r="F306" s="5" t="s">
        <v>37</v>
      </c>
      <c r="G306" s="5" t="s">
        <v>38</v>
      </c>
      <c r="H306" s="5"/>
      <c r="I306" s="5"/>
      <c r="J306" s="5" t="s">
        <v>39</v>
      </c>
      <c r="K306" s="5" t="s">
        <v>201</v>
      </c>
      <c r="L306" s="5" t="s">
        <v>202</v>
      </c>
      <c r="M306" s="5" t="s">
        <v>203</v>
      </c>
      <c r="N306" s="5" t="s">
        <v>36</v>
      </c>
      <c r="O306" s="5">
        <v>1</v>
      </c>
      <c r="P306" s="5" t="s">
        <v>43</v>
      </c>
      <c r="Q306" s="5">
        <v>18.99</v>
      </c>
      <c r="R306" s="5"/>
      <c r="S306" s="5"/>
      <c r="T306" s="5"/>
      <c r="U306" s="5"/>
      <c r="V306" s="5"/>
      <c r="W306" s="5"/>
      <c r="X306" s="5"/>
      <c r="Y306" s="5" t="s">
        <v>1679</v>
      </c>
      <c r="Z306" s="5" t="s">
        <v>1680</v>
      </c>
      <c r="AA306" s="5">
        <v>37042</v>
      </c>
      <c r="AB306" s="5" t="s">
        <v>46</v>
      </c>
      <c r="AC306" s="5"/>
      <c r="AD306" s="5" t="b">
        <v>0</v>
      </c>
      <c r="AE306" s="5"/>
      <c r="AF306" s="5"/>
      <c r="AG306" s="9">
        <f t="shared" si="4"/>
        <v>43268</v>
      </c>
    </row>
    <row r="307" s="6" customFormat="1" spans="1:33">
      <c r="A307" s="5" t="s">
        <v>1681</v>
      </c>
      <c r="B307" s="5" t="s">
        <v>1681</v>
      </c>
      <c r="C307" s="5" t="s">
        <v>1682</v>
      </c>
      <c r="D307" s="5" t="s">
        <v>1683</v>
      </c>
      <c r="E307" s="5" t="s">
        <v>36</v>
      </c>
      <c r="F307" s="5" t="s">
        <v>37</v>
      </c>
      <c r="G307" s="5" t="s">
        <v>38</v>
      </c>
      <c r="H307" s="5"/>
      <c r="I307" s="5"/>
      <c r="J307" s="5" t="s">
        <v>39</v>
      </c>
      <c r="K307" s="5" t="s">
        <v>75</v>
      </c>
      <c r="L307" s="5" t="s">
        <v>76</v>
      </c>
      <c r="M307" s="5" t="s">
        <v>77</v>
      </c>
      <c r="N307" s="5" t="s">
        <v>36</v>
      </c>
      <c r="O307" s="5">
        <v>1</v>
      </c>
      <c r="P307" s="5" t="s">
        <v>43</v>
      </c>
      <c r="Q307" s="5">
        <v>12.99</v>
      </c>
      <c r="R307" s="5"/>
      <c r="S307" s="5"/>
      <c r="T307" s="5"/>
      <c r="U307" s="5"/>
      <c r="V307" s="5"/>
      <c r="W307" s="5"/>
      <c r="X307" s="5"/>
      <c r="Y307" s="5" t="s">
        <v>1684</v>
      </c>
      <c r="Z307" s="5" t="s">
        <v>142</v>
      </c>
      <c r="AA307" s="5" t="s">
        <v>1685</v>
      </c>
      <c r="AB307" s="5" t="s">
        <v>46</v>
      </c>
      <c r="AC307" s="5"/>
      <c r="AD307" s="5" t="b">
        <v>0</v>
      </c>
      <c r="AE307" s="5"/>
      <c r="AF307" s="5"/>
      <c r="AG307" s="9">
        <f t="shared" si="4"/>
        <v>43268</v>
      </c>
    </row>
    <row r="308" s="6" customFormat="1" spans="1:33">
      <c r="A308" s="5" t="s">
        <v>1686</v>
      </c>
      <c r="B308" s="5" t="s">
        <v>1686</v>
      </c>
      <c r="C308" s="5" t="s">
        <v>1687</v>
      </c>
      <c r="D308" s="5" t="s">
        <v>1688</v>
      </c>
      <c r="E308" s="5" t="s">
        <v>36</v>
      </c>
      <c r="F308" s="5" t="s">
        <v>37</v>
      </c>
      <c r="G308" s="5" t="s">
        <v>38</v>
      </c>
      <c r="H308" s="5"/>
      <c r="I308" s="5"/>
      <c r="J308" s="5" t="s">
        <v>39</v>
      </c>
      <c r="K308" s="5" t="s">
        <v>119</v>
      </c>
      <c r="L308" s="5" t="s">
        <v>120</v>
      </c>
      <c r="M308" s="5" t="s">
        <v>121</v>
      </c>
      <c r="N308" s="5" t="s">
        <v>36</v>
      </c>
      <c r="O308" s="5">
        <v>1</v>
      </c>
      <c r="P308" s="5" t="s">
        <v>43</v>
      </c>
      <c r="Q308" s="5">
        <v>24.99</v>
      </c>
      <c r="R308" s="5"/>
      <c r="S308" s="5"/>
      <c r="T308" s="5"/>
      <c r="U308" s="5"/>
      <c r="V308" s="5"/>
      <c r="W308" s="5"/>
      <c r="X308" s="5"/>
      <c r="Y308" s="5" t="s">
        <v>1689</v>
      </c>
      <c r="Z308" s="5" t="s">
        <v>54</v>
      </c>
      <c r="AA308" s="5">
        <v>90291</v>
      </c>
      <c r="AB308" s="5" t="s">
        <v>46</v>
      </c>
      <c r="AC308" s="5"/>
      <c r="AD308" s="5" t="b">
        <v>0</v>
      </c>
      <c r="AE308" s="5"/>
      <c r="AF308" s="5"/>
      <c r="AG308" s="9">
        <f t="shared" si="4"/>
        <v>43268</v>
      </c>
    </row>
    <row r="309" s="6" customFormat="1" spans="1:33">
      <c r="A309" s="5" t="s">
        <v>1690</v>
      </c>
      <c r="B309" s="5" t="s">
        <v>1690</v>
      </c>
      <c r="C309" s="5" t="s">
        <v>1691</v>
      </c>
      <c r="D309" s="5" t="s">
        <v>1692</v>
      </c>
      <c r="E309" s="5" t="s">
        <v>36</v>
      </c>
      <c r="F309" s="5" t="s">
        <v>37</v>
      </c>
      <c r="G309" s="5" t="s">
        <v>38</v>
      </c>
      <c r="H309" s="5"/>
      <c r="I309" s="5"/>
      <c r="J309" s="5" t="s">
        <v>39</v>
      </c>
      <c r="K309" s="5" t="s">
        <v>269</v>
      </c>
      <c r="L309" s="5" t="s">
        <v>270</v>
      </c>
      <c r="M309" s="5" t="s">
        <v>271</v>
      </c>
      <c r="N309" s="5" t="s">
        <v>36</v>
      </c>
      <c r="O309" s="5">
        <v>1</v>
      </c>
      <c r="P309" s="5" t="s">
        <v>43</v>
      </c>
      <c r="Q309" s="5">
        <v>24.99</v>
      </c>
      <c r="R309" s="5"/>
      <c r="S309" s="5"/>
      <c r="T309" s="5"/>
      <c r="U309" s="5"/>
      <c r="V309" s="5"/>
      <c r="W309" s="5"/>
      <c r="X309" s="5"/>
      <c r="Y309" s="5" t="s">
        <v>1693</v>
      </c>
      <c r="Z309" s="5" t="s">
        <v>1546</v>
      </c>
      <c r="AA309" s="5">
        <v>91791</v>
      </c>
      <c r="AB309" s="5" t="s">
        <v>46</v>
      </c>
      <c r="AC309" s="5"/>
      <c r="AD309" s="5" t="b">
        <v>0</v>
      </c>
      <c r="AE309" s="5"/>
      <c r="AF309" s="5"/>
      <c r="AG309" s="9">
        <f t="shared" si="4"/>
        <v>43268</v>
      </c>
    </row>
    <row r="310" s="6" customFormat="1" spans="1:33">
      <c r="A310" s="5" t="s">
        <v>1694</v>
      </c>
      <c r="B310" s="5" t="s">
        <v>1694</v>
      </c>
      <c r="C310" s="5" t="s">
        <v>1695</v>
      </c>
      <c r="D310" s="5" t="s">
        <v>1696</v>
      </c>
      <c r="E310" s="5" t="s">
        <v>614</v>
      </c>
      <c r="F310" s="5" t="s">
        <v>37</v>
      </c>
      <c r="G310" s="5" t="s">
        <v>38</v>
      </c>
      <c r="H310" s="5"/>
      <c r="I310" s="5"/>
      <c r="J310" s="5" t="s">
        <v>128</v>
      </c>
      <c r="K310" s="5" t="s">
        <v>75</v>
      </c>
      <c r="L310" s="5" t="s">
        <v>76</v>
      </c>
      <c r="M310" s="5" t="s">
        <v>77</v>
      </c>
      <c r="N310" s="5" t="s">
        <v>833</v>
      </c>
      <c r="O310" s="5">
        <v>1</v>
      </c>
      <c r="P310" s="5" t="s">
        <v>43</v>
      </c>
      <c r="Q310" s="5">
        <v>12.99</v>
      </c>
      <c r="R310" s="5"/>
      <c r="S310" s="5"/>
      <c r="T310" s="5"/>
      <c r="U310" s="5"/>
      <c r="V310" s="5"/>
      <c r="W310" s="5"/>
      <c r="X310" s="5"/>
      <c r="Y310" s="5" t="s">
        <v>1697</v>
      </c>
      <c r="Z310" s="5" t="s">
        <v>1698</v>
      </c>
      <c r="AA310" s="5">
        <v>33155</v>
      </c>
      <c r="AB310" s="5" t="s">
        <v>46</v>
      </c>
      <c r="AC310" s="5"/>
      <c r="AD310" s="5" t="b">
        <v>0</v>
      </c>
      <c r="AE310" s="5"/>
      <c r="AF310" s="5"/>
      <c r="AG310" s="9">
        <f t="shared" si="4"/>
        <v>43268</v>
      </c>
    </row>
    <row r="311" s="6" customFormat="1" spans="1:33">
      <c r="A311" s="5" t="s">
        <v>1699</v>
      </c>
      <c r="B311" s="5" t="s">
        <v>1699</v>
      </c>
      <c r="C311" s="5" t="s">
        <v>1700</v>
      </c>
      <c r="D311" s="5" t="s">
        <v>1701</v>
      </c>
      <c r="E311" s="5" t="s">
        <v>36</v>
      </c>
      <c r="F311" s="5" t="s">
        <v>37</v>
      </c>
      <c r="G311" s="5" t="s">
        <v>38</v>
      </c>
      <c r="H311" s="5"/>
      <c r="I311" s="5"/>
      <c r="J311" s="5" t="s">
        <v>128</v>
      </c>
      <c r="K311" s="5" t="s">
        <v>1291</v>
      </c>
      <c r="L311" s="5" t="s">
        <v>1292</v>
      </c>
      <c r="M311" s="5" t="s">
        <v>1293</v>
      </c>
      <c r="N311" s="5" t="s">
        <v>36</v>
      </c>
      <c r="O311" s="5">
        <v>1</v>
      </c>
      <c r="P311" s="5" t="s">
        <v>43</v>
      </c>
      <c r="Q311" s="5">
        <v>12.99</v>
      </c>
      <c r="R311" s="5"/>
      <c r="S311" s="5">
        <v>1.07</v>
      </c>
      <c r="T311" s="5"/>
      <c r="U311" s="5"/>
      <c r="V311" s="5"/>
      <c r="W311" s="5"/>
      <c r="X311" s="5">
        <v>1.07</v>
      </c>
      <c r="Y311" s="5" t="s">
        <v>1702</v>
      </c>
      <c r="Z311" s="5" t="s">
        <v>142</v>
      </c>
      <c r="AA311" s="5" t="s">
        <v>1703</v>
      </c>
      <c r="AB311" s="5" t="s">
        <v>46</v>
      </c>
      <c r="AC311" s="5" t="s">
        <v>225</v>
      </c>
      <c r="AD311" s="5" t="b">
        <v>0</v>
      </c>
      <c r="AE311" s="5"/>
      <c r="AF311" s="5"/>
      <c r="AG311" s="9">
        <f t="shared" si="4"/>
        <v>43268</v>
      </c>
    </row>
    <row r="312" s="6" customFormat="1" spans="1:33">
      <c r="A312" s="5" t="s">
        <v>1704</v>
      </c>
      <c r="B312" s="5" t="s">
        <v>1704</v>
      </c>
      <c r="C312" s="5" t="s">
        <v>1705</v>
      </c>
      <c r="D312" s="5" t="s">
        <v>1706</v>
      </c>
      <c r="E312" s="5" t="s">
        <v>36</v>
      </c>
      <c r="F312" s="5" t="s">
        <v>37</v>
      </c>
      <c r="G312" s="5" t="s">
        <v>38</v>
      </c>
      <c r="H312" s="5"/>
      <c r="I312" s="5"/>
      <c r="J312" s="5" t="s">
        <v>39</v>
      </c>
      <c r="K312" s="5" t="s">
        <v>147</v>
      </c>
      <c r="L312" s="5" t="s">
        <v>148</v>
      </c>
      <c r="M312" s="5" t="s">
        <v>149</v>
      </c>
      <c r="N312" s="5" t="s">
        <v>36</v>
      </c>
      <c r="O312" s="5">
        <v>1</v>
      </c>
      <c r="P312" s="5" t="s">
        <v>43</v>
      </c>
      <c r="Q312" s="5">
        <v>12.98</v>
      </c>
      <c r="R312" s="5"/>
      <c r="S312" s="5"/>
      <c r="T312" s="5"/>
      <c r="U312" s="5"/>
      <c r="V312" s="5"/>
      <c r="W312" s="5"/>
      <c r="X312" s="5"/>
      <c r="Y312" s="5" t="s">
        <v>157</v>
      </c>
      <c r="Z312" s="5" t="s">
        <v>96</v>
      </c>
      <c r="AA312" s="5" t="s">
        <v>1707</v>
      </c>
      <c r="AB312" s="5" t="s">
        <v>46</v>
      </c>
      <c r="AC312" s="5"/>
      <c r="AD312" s="5" t="b">
        <v>0</v>
      </c>
      <c r="AE312" s="5"/>
      <c r="AF312" s="5"/>
      <c r="AG312" s="9">
        <f t="shared" si="4"/>
        <v>43268</v>
      </c>
    </row>
    <row r="313" s="6" customFormat="1" spans="1:33">
      <c r="A313" s="5" t="s">
        <v>1708</v>
      </c>
      <c r="B313" s="5" t="s">
        <v>1708</v>
      </c>
      <c r="C313" s="5" t="s">
        <v>1709</v>
      </c>
      <c r="D313" s="5" t="s">
        <v>1710</v>
      </c>
      <c r="E313" s="5" t="s">
        <v>36</v>
      </c>
      <c r="F313" s="5" t="s">
        <v>37</v>
      </c>
      <c r="G313" s="5" t="s">
        <v>38</v>
      </c>
      <c r="H313" s="5"/>
      <c r="I313" s="5"/>
      <c r="J313" s="5" t="s">
        <v>128</v>
      </c>
      <c r="K313" s="5" t="s">
        <v>67</v>
      </c>
      <c r="L313" s="5" t="s">
        <v>68</v>
      </c>
      <c r="M313" s="5" t="s">
        <v>69</v>
      </c>
      <c r="N313" s="5" t="s">
        <v>36</v>
      </c>
      <c r="O313" s="5">
        <v>1</v>
      </c>
      <c r="P313" s="5" t="s">
        <v>43</v>
      </c>
      <c r="Q313" s="5">
        <v>25.99</v>
      </c>
      <c r="R313" s="5"/>
      <c r="S313" s="5">
        <v>5.7</v>
      </c>
      <c r="T313" s="5"/>
      <c r="U313" s="5"/>
      <c r="V313" s="5"/>
      <c r="W313" s="5"/>
      <c r="X313" s="5">
        <v>5.7</v>
      </c>
      <c r="Y313" s="5" t="s">
        <v>1711</v>
      </c>
      <c r="Z313" s="5" t="s">
        <v>715</v>
      </c>
      <c r="AA313" s="5">
        <v>2048</v>
      </c>
      <c r="AB313" s="5" t="s">
        <v>46</v>
      </c>
      <c r="AC313" s="5" t="s">
        <v>225</v>
      </c>
      <c r="AD313" s="5" t="b">
        <v>0</v>
      </c>
      <c r="AE313" s="5"/>
      <c r="AF313" s="5"/>
      <c r="AG313" s="9">
        <f t="shared" si="4"/>
        <v>43268</v>
      </c>
    </row>
    <row r="314" s="6" customFormat="1" spans="1:33">
      <c r="A314" s="5" t="s">
        <v>1712</v>
      </c>
      <c r="B314" s="5" t="s">
        <v>1712</v>
      </c>
      <c r="C314" s="5" t="s">
        <v>1713</v>
      </c>
      <c r="D314" s="5" t="s">
        <v>1714</v>
      </c>
      <c r="E314" s="5" t="s">
        <v>36</v>
      </c>
      <c r="F314" s="5" t="s">
        <v>37</v>
      </c>
      <c r="G314" s="5" t="s">
        <v>38</v>
      </c>
      <c r="H314" s="5"/>
      <c r="I314" s="5"/>
      <c r="J314" s="5" t="s">
        <v>39</v>
      </c>
      <c r="K314" s="5" t="s">
        <v>50</v>
      </c>
      <c r="L314" s="5" t="s">
        <v>51</v>
      </c>
      <c r="M314" s="5" t="s">
        <v>52</v>
      </c>
      <c r="N314" s="5" t="s">
        <v>36</v>
      </c>
      <c r="O314" s="5">
        <v>1</v>
      </c>
      <c r="P314" s="5" t="s">
        <v>43</v>
      </c>
      <c r="Q314" s="5">
        <v>18.99</v>
      </c>
      <c r="R314" s="5"/>
      <c r="S314" s="5"/>
      <c r="T314" s="5"/>
      <c r="U314" s="5"/>
      <c r="V314" s="5"/>
      <c r="W314" s="5"/>
      <c r="X314" s="5"/>
      <c r="Y314" s="5" t="s">
        <v>1715</v>
      </c>
      <c r="Z314" s="5" t="s">
        <v>223</v>
      </c>
      <c r="AA314" s="5">
        <v>46741</v>
      </c>
      <c r="AB314" s="5" t="s">
        <v>46</v>
      </c>
      <c r="AC314" s="5"/>
      <c r="AD314" s="5" t="b">
        <v>0</v>
      </c>
      <c r="AE314" s="5"/>
      <c r="AF314" s="5"/>
      <c r="AG314" s="9">
        <f t="shared" si="4"/>
        <v>43268</v>
      </c>
    </row>
    <row r="315" s="6" customFormat="1" spans="1:33">
      <c r="A315" s="5" t="s">
        <v>1716</v>
      </c>
      <c r="B315" s="5" t="s">
        <v>1716</v>
      </c>
      <c r="C315" s="5" t="s">
        <v>1717</v>
      </c>
      <c r="D315" s="5" t="s">
        <v>1718</v>
      </c>
      <c r="E315" s="5" t="s">
        <v>36</v>
      </c>
      <c r="F315" s="5" t="s">
        <v>37</v>
      </c>
      <c r="G315" s="5" t="s">
        <v>38</v>
      </c>
      <c r="H315" s="5"/>
      <c r="I315" s="5"/>
      <c r="J315" s="5" t="s">
        <v>39</v>
      </c>
      <c r="K315" s="5" t="s">
        <v>459</v>
      </c>
      <c r="L315" s="5" t="s">
        <v>460</v>
      </c>
      <c r="M315" s="5" t="s">
        <v>461</v>
      </c>
      <c r="N315" s="5" t="s">
        <v>36</v>
      </c>
      <c r="O315" s="5">
        <v>1</v>
      </c>
      <c r="P315" s="5" t="s">
        <v>43</v>
      </c>
      <c r="Q315" s="5">
        <v>15.98</v>
      </c>
      <c r="R315" s="5"/>
      <c r="S315" s="5"/>
      <c r="T315" s="5"/>
      <c r="U315" s="5"/>
      <c r="V315" s="5"/>
      <c r="W315" s="5"/>
      <c r="X315" s="5"/>
      <c r="Y315" s="5" t="s">
        <v>1719</v>
      </c>
      <c r="Z315" s="5" t="s">
        <v>183</v>
      </c>
      <c r="AA315" s="5" t="s">
        <v>1720</v>
      </c>
      <c r="AB315" s="5" t="s">
        <v>46</v>
      </c>
      <c r="AC315" s="5"/>
      <c r="AD315" s="5" t="b">
        <v>0</v>
      </c>
      <c r="AE315" s="5"/>
      <c r="AF315" s="5"/>
      <c r="AG315" s="9">
        <f t="shared" si="4"/>
        <v>43268</v>
      </c>
    </row>
    <row r="316" s="6" customFormat="1" spans="1:33">
      <c r="A316" s="5" t="s">
        <v>1721</v>
      </c>
      <c r="B316" s="5" t="s">
        <v>1721</v>
      </c>
      <c r="C316" s="5" t="s">
        <v>1722</v>
      </c>
      <c r="D316" s="5" t="s">
        <v>1723</v>
      </c>
      <c r="E316" s="5" t="s">
        <v>36</v>
      </c>
      <c r="F316" s="5" t="s">
        <v>37</v>
      </c>
      <c r="G316" s="5" t="s">
        <v>38</v>
      </c>
      <c r="H316" s="5"/>
      <c r="I316" s="5"/>
      <c r="J316" s="5" t="s">
        <v>39</v>
      </c>
      <c r="K316" s="5" t="s">
        <v>75</v>
      </c>
      <c r="L316" s="5" t="s">
        <v>76</v>
      </c>
      <c r="M316" s="5" t="s">
        <v>77</v>
      </c>
      <c r="N316" s="5" t="s">
        <v>36</v>
      </c>
      <c r="O316" s="5">
        <v>1</v>
      </c>
      <c r="P316" s="5" t="s">
        <v>43</v>
      </c>
      <c r="Q316" s="5">
        <v>12.99</v>
      </c>
      <c r="R316" s="5"/>
      <c r="S316" s="5"/>
      <c r="T316" s="5"/>
      <c r="U316" s="5"/>
      <c r="V316" s="5"/>
      <c r="W316" s="5"/>
      <c r="X316" s="5"/>
      <c r="Y316" s="5" t="s">
        <v>1724</v>
      </c>
      <c r="Z316" s="5" t="s">
        <v>223</v>
      </c>
      <c r="AA316" s="5" t="s">
        <v>1725</v>
      </c>
      <c r="AB316" s="5" t="s">
        <v>46</v>
      </c>
      <c r="AC316" s="5"/>
      <c r="AD316" s="5" t="b">
        <v>0</v>
      </c>
      <c r="AE316" s="5"/>
      <c r="AF316" s="5"/>
      <c r="AG316" s="9">
        <f t="shared" si="4"/>
        <v>43268</v>
      </c>
    </row>
    <row r="317" s="6" customFormat="1" spans="1:33">
      <c r="A317" s="5" t="s">
        <v>1726</v>
      </c>
      <c r="B317" s="5" t="s">
        <v>1726</v>
      </c>
      <c r="C317" s="5" t="s">
        <v>1727</v>
      </c>
      <c r="D317" s="5" t="s">
        <v>1728</v>
      </c>
      <c r="E317" s="5" t="s">
        <v>36</v>
      </c>
      <c r="F317" s="5" t="s">
        <v>37</v>
      </c>
      <c r="G317" s="5" t="s">
        <v>38</v>
      </c>
      <c r="H317" s="5"/>
      <c r="I317" s="5"/>
      <c r="J317" s="5" t="s">
        <v>39</v>
      </c>
      <c r="K317" s="5" t="s">
        <v>101</v>
      </c>
      <c r="L317" s="5" t="s">
        <v>102</v>
      </c>
      <c r="M317" s="5" t="s">
        <v>103</v>
      </c>
      <c r="N317" s="5" t="s">
        <v>36</v>
      </c>
      <c r="O317" s="5">
        <v>1</v>
      </c>
      <c r="P317" s="5" t="s">
        <v>43</v>
      </c>
      <c r="Q317" s="5">
        <v>12.99</v>
      </c>
      <c r="R317" s="5"/>
      <c r="S317" s="5"/>
      <c r="T317" s="5"/>
      <c r="U317" s="5"/>
      <c r="V317" s="5"/>
      <c r="W317" s="5"/>
      <c r="X317" s="5"/>
      <c r="Y317" s="5" t="s">
        <v>1729</v>
      </c>
      <c r="Z317" s="5" t="s">
        <v>87</v>
      </c>
      <c r="AA317" s="5" t="s">
        <v>1730</v>
      </c>
      <c r="AB317" s="5" t="s">
        <v>46</v>
      </c>
      <c r="AC317" s="5"/>
      <c r="AD317" s="5" t="b">
        <v>0</v>
      </c>
      <c r="AE317" s="5"/>
      <c r="AF317" s="5"/>
      <c r="AG317" s="9">
        <f t="shared" si="4"/>
        <v>43268</v>
      </c>
    </row>
    <row r="318" s="6" customFormat="1" spans="1:33">
      <c r="A318" s="5" t="s">
        <v>1731</v>
      </c>
      <c r="B318" s="5" t="s">
        <v>1731</v>
      </c>
      <c r="C318" s="5" t="s">
        <v>1732</v>
      </c>
      <c r="D318" s="5" t="s">
        <v>1733</v>
      </c>
      <c r="E318" s="5" t="s">
        <v>36</v>
      </c>
      <c r="F318" s="5" t="s">
        <v>37</v>
      </c>
      <c r="G318" s="5" t="s">
        <v>38</v>
      </c>
      <c r="H318" s="5"/>
      <c r="I318" s="5"/>
      <c r="J318" s="5" t="s">
        <v>39</v>
      </c>
      <c r="K318" s="5" t="s">
        <v>269</v>
      </c>
      <c r="L318" s="5" t="s">
        <v>270</v>
      </c>
      <c r="M318" s="5" t="s">
        <v>271</v>
      </c>
      <c r="N318" s="5" t="s">
        <v>36</v>
      </c>
      <c r="O318" s="5">
        <v>1</v>
      </c>
      <c r="P318" s="5" t="s">
        <v>43</v>
      </c>
      <c r="Q318" s="5">
        <v>24.99</v>
      </c>
      <c r="R318" s="5"/>
      <c r="S318" s="5"/>
      <c r="T318" s="5"/>
      <c r="U318" s="5"/>
      <c r="V318" s="5"/>
      <c r="W318" s="5"/>
      <c r="X318" s="5"/>
      <c r="Y318" s="5" t="s">
        <v>861</v>
      </c>
      <c r="Z318" s="5" t="s">
        <v>54</v>
      </c>
      <c r="AA318" s="5" t="s">
        <v>1734</v>
      </c>
      <c r="AB318" s="5" t="s">
        <v>46</v>
      </c>
      <c r="AC318" s="5"/>
      <c r="AD318" s="5" t="b">
        <v>0</v>
      </c>
      <c r="AE318" s="5"/>
      <c r="AF318" s="5"/>
      <c r="AG318" s="9">
        <f t="shared" si="4"/>
        <v>43268</v>
      </c>
    </row>
    <row r="319" s="6" customFormat="1" spans="1:33">
      <c r="A319" s="5" t="s">
        <v>1735</v>
      </c>
      <c r="B319" s="5" t="s">
        <v>1735</v>
      </c>
      <c r="C319" s="5" t="s">
        <v>1736</v>
      </c>
      <c r="D319" s="5" t="s">
        <v>1737</v>
      </c>
      <c r="E319" s="5" t="s">
        <v>36</v>
      </c>
      <c r="F319" s="5" t="s">
        <v>37</v>
      </c>
      <c r="G319" s="5" t="s">
        <v>38</v>
      </c>
      <c r="H319" s="5"/>
      <c r="I319" s="5"/>
      <c r="J319" s="5" t="s">
        <v>39</v>
      </c>
      <c r="K319" s="5" t="s">
        <v>119</v>
      </c>
      <c r="L319" s="5" t="s">
        <v>120</v>
      </c>
      <c r="M319" s="5" t="s">
        <v>121</v>
      </c>
      <c r="N319" s="5" t="s">
        <v>36</v>
      </c>
      <c r="O319" s="5">
        <v>1</v>
      </c>
      <c r="P319" s="5" t="s">
        <v>43</v>
      </c>
      <c r="Q319" s="5">
        <v>24.99</v>
      </c>
      <c r="R319" s="5"/>
      <c r="S319" s="5"/>
      <c r="T319" s="5"/>
      <c r="U319" s="5"/>
      <c r="V319" s="5"/>
      <c r="W319" s="5"/>
      <c r="X319" s="5"/>
      <c r="Y319" s="5" t="s">
        <v>1738</v>
      </c>
      <c r="Z319" s="5" t="s">
        <v>463</v>
      </c>
      <c r="AA319" s="5" t="s">
        <v>1739</v>
      </c>
      <c r="AB319" s="5" t="s">
        <v>46</v>
      </c>
      <c r="AC319" s="5"/>
      <c r="AD319" s="5" t="b">
        <v>0</v>
      </c>
      <c r="AE319" s="5"/>
      <c r="AF319" s="5"/>
      <c r="AG319" s="9">
        <f t="shared" si="4"/>
        <v>43268</v>
      </c>
    </row>
    <row r="320" s="6" customFormat="1" spans="1:33">
      <c r="A320" s="5" t="s">
        <v>1740</v>
      </c>
      <c r="B320" s="5" t="s">
        <v>1740</v>
      </c>
      <c r="C320" s="5" t="s">
        <v>1741</v>
      </c>
      <c r="D320" s="5" t="s">
        <v>1742</v>
      </c>
      <c r="E320" s="5" t="s">
        <v>36</v>
      </c>
      <c r="F320" s="5" t="s">
        <v>37</v>
      </c>
      <c r="G320" s="5" t="s">
        <v>38</v>
      </c>
      <c r="H320" s="5"/>
      <c r="I320" s="5"/>
      <c r="J320" s="5" t="s">
        <v>39</v>
      </c>
      <c r="K320" s="5" t="s">
        <v>201</v>
      </c>
      <c r="L320" s="5" t="s">
        <v>202</v>
      </c>
      <c r="M320" s="5" t="s">
        <v>203</v>
      </c>
      <c r="N320" s="5" t="s">
        <v>36</v>
      </c>
      <c r="O320" s="5">
        <v>1</v>
      </c>
      <c r="P320" s="5" t="s">
        <v>43</v>
      </c>
      <c r="Q320" s="5">
        <v>18.99</v>
      </c>
      <c r="R320" s="5"/>
      <c r="S320" s="5"/>
      <c r="T320" s="5"/>
      <c r="U320" s="5"/>
      <c r="V320" s="5"/>
      <c r="W320" s="5"/>
      <c r="X320" s="5"/>
      <c r="Y320" s="5" t="s">
        <v>315</v>
      </c>
      <c r="Z320" s="5" t="s">
        <v>87</v>
      </c>
      <c r="AA320" s="5" t="s">
        <v>1743</v>
      </c>
      <c r="AB320" s="5" t="s">
        <v>46</v>
      </c>
      <c r="AC320" s="5"/>
      <c r="AD320" s="5" t="b">
        <v>0</v>
      </c>
      <c r="AE320" s="5"/>
      <c r="AF320" s="5"/>
      <c r="AG320" s="9">
        <f t="shared" si="4"/>
        <v>43268</v>
      </c>
    </row>
    <row r="321" s="6" customFormat="1" spans="1:33">
      <c r="A321" s="5" t="s">
        <v>1744</v>
      </c>
      <c r="B321" s="5" t="s">
        <v>1744</v>
      </c>
      <c r="C321" s="5" t="s">
        <v>1745</v>
      </c>
      <c r="D321" s="5" t="s">
        <v>1746</v>
      </c>
      <c r="E321" s="5" t="s">
        <v>36</v>
      </c>
      <c r="F321" s="5" t="s">
        <v>37</v>
      </c>
      <c r="G321" s="5" t="s">
        <v>38</v>
      </c>
      <c r="H321" s="5"/>
      <c r="I321" s="5"/>
      <c r="J321" s="5" t="s">
        <v>39</v>
      </c>
      <c r="K321" s="5" t="s">
        <v>278</v>
      </c>
      <c r="L321" s="5" t="s">
        <v>279</v>
      </c>
      <c r="M321" s="5" t="s">
        <v>280</v>
      </c>
      <c r="N321" s="5" t="s">
        <v>36</v>
      </c>
      <c r="O321" s="5">
        <v>1</v>
      </c>
      <c r="P321" s="5" t="s">
        <v>43</v>
      </c>
      <c r="Q321" s="5">
        <v>24.99</v>
      </c>
      <c r="R321" s="5"/>
      <c r="S321" s="5"/>
      <c r="T321" s="5"/>
      <c r="U321" s="5"/>
      <c r="V321" s="5"/>
      <c r="W321" s="5"/>
      <c r="X321" s="5"/>
      <c r="Y321" s="5" t="s">
        <v>1747</v>
      </c>
      <c r="Z321" s="5" t="s">
        <v>105</v>
      </c>
      <c r="AA321" s="5" t="s">
        <v>1748</v>
      </c>
      <c r="AB321" s="5" t="s">
        <v>46</v>
      </c>
      <c r="AC321" s="5"/>
      <c r="AD321" s="5" t="b">
        <v>0</v>
      </c>
      <c r="AE321" s="5"/>
      <c r="AF321" s="5"/>
      <c r="AG321" s="9">
        <f t="shared" si="4"/>
        <v>43268</v>
      </c>
    </row>
    <row r="322" s="6" customFormat="1" spans="1:33">
      <c r="A322" s="5" t="s">
        <v>1749</v>
      </c>
      <c r="B322" s="5" t="s">
        <v>1749</v>
      </c>
      <c r="C322" s="5" t="s">
        <v>1750</v>
      </c>
      <c r="D322" s="5" t="s">
        <v>1751</v>
      </c>
      <c r="E322" s="5" t="s">
        <v>36</v>
      </c>
      <c r="F322" s="5" t="s">
        <v>37</v>
      </c>
      <c r="G322" s="5" t="s">
        <v>38</v>
      </c>
      <c r="H322" s="5"/>
      <c r="I322" s="5"/>
      <c r="J322" s="5" t="s">
        <v>39</v>
      </c>
      <c r="K322" s="5" t="s">
        <v>1291</v>
      </c>
      <c r="L322" s="5" t="s">
        <v>1292</v>
      </c>
      <c r="M322" s="5" t="s">
        <v>1293</v>
      </c>
      <c r="N322" s="5" t="s">
        <v>36</v>
      </c>
      <c r="O322" s="5">
        <v>1</v>
      </c>
      <c r="P322" s="5" t="s">
        <v>43</v>
      </c>
      <c r="Q322" s="5">
        <v>12.99</v>
      </c>
      <c r="R322" s="5"/>
      <c r="S322" s="5"/>
      <c r="T322" s="5"/>
      <c r="U322" s="5"/>
      <c r="V322" s="5"/>
      <c r="W322" s="5"/>
      <c r="X322" s="5"/>
      <c r="Y322" s="5" t="s">
        <v>630</v>
      </c>
      <c r="Z322" s="5" t="s">
        <v>631</v>
      </c>
      <c r="AA322" s="5" t="s">
        <v>1752</v>
      </c>
      <c r="AB322" s="5" t="s">
        <v>46</v>
      </c>
      <c r="AC322" s="5"/>
      <c r="AD322" s="5" t="b">
        <v>0</v>
      </c>
      <c r="AE322" s="5"/>
      <c r="AF322" s="5"/>
      <c r="AG322" s="9">
        <f t="shared" ref="AG322:AG385" si="5">DATEVALUE(LEFT(C322,10))</f>
        <v>43268</v>
      </c>
    </row>
    <row r="323" s="6" customFormat="1" spans="1:33">
      <c r="A323" s="5" t="s">
        <v>1753</v>
      </c>
      <c r="B323" s="5" t="s">
        <v>1753</v>
      </c>
      <c r="C323" s="5" t="s">
        <v>1754</v>
      </c>
      <c r="D323" s="5" t="s">
        <v>1755</v>
      </c>
      <c r="E323" s="5" t="s">
        <v>36</v>
      </c>
      <c r="F323" s="5" t="s">
        <v>37</v>
      </c>
      <c r="G323" s="5" t="s">
        <v>38</v>
      </c>
      <c r="H323" s="5"/>
      <c r="I323" s="5"/>
      <c r="J323" s="5" t="s">
        <v>39</v>
      </c>
      <c r="K323" s="5" t="s">
        <v>1756</v>
      </c>
      <c r="L323" s="5" t="s">
        <v>1757</v>
      </c>
      <c r="M323" s="5" t="s">
        <v>1758</v>
      </c>
      <c r="N323" s="5" t="s">
        <v>36</v>
      </c>
      <c r="O323" s="5">
        <v>1</v>
      </c>
      <c r="P323" s="5" t="s">
        <v>43</v>
      </c>
      <c r="Q323" s="5">
        <v>29.99</v>
      </c>
      <c r="R323" s="5"/>
      <c r="S323" s="5"/>
      <c r="T323" s="5"/>
      <c r="U323" s="5"/>
      <c r="V323" s="5"/>
      <c r="W323" s="5"/>
      <c r="X323" s="5"/>
      <c r="Y323" s="5" t="s">
        <v>150</v>
      </c>
      <c r="Z323" s="5" t="s">
        <v>151</v>
      </c>
      <c r="AA323" s="5" t="s">
        <v>1759</v>
      </c>
      <c r="AB323" s="5" t="s">
        <v>46</v>
      </c>
      <c r="AC323" s="5"/>
      <c r="AD323" s="5" t="b">
        <v>0</v>
      </c>
      <c r="AE323" s="5"/>
      <c r="AF323" s="5"/>
      <c r="AG323" s="9">
        <f t="shared" si="5"/>
        <v>43268</v>
      </c>
    </row>
    <row r="324" s="6" customFormat="1" spans="1:33">
      <c r="A324" s="5" t="s">
        <v>1760</v>
      </c>
      <c r="B324" s="5" t="s">
        <v>1760</v>
      </c>
      <c r="C324" s="5" t="s">
        <v>1761</v>
      </c>
      <c r="D324" s="5" t="s">
        <v>1762</v>
      </c>
      <c r="E324" s="5" t="s">
        <v>614</v>
      </c>
      <c r="F324" s="5" t="s">
        <v>37</v>
      </c>
      <c r="G324" s="5" t="s">
        <v>38</v>
      </c>
      <c r="H324" s="5"/>
      <c r="I324" s="5"/>
      <c r="J324" s="5" t="s">
        <v>128</v>
      </c>
      <c r="K324" s="5" t="s">
        <v>1763</v>
      </c>
      <c r="L324" s="5" t="s">
        <v>1764</v>
      </c>
      <c r="M324" s="5" t="s">
        <v>1765</v>
      </c>
      <c r="N324" s="5" t="s">
        <v>614</v>
      </c>
      <c r="O324" s="5">
        <v>0</v>
      </c>
      <c r="P324" s="5"/>
      <c r="Q324" s="5"/>
      <c r="R324" s="5"/>
      <c r="S324" s="5"/>
      <c r="T324" s="5"/>
      <c r="U324" s="5"/>
      <c r="V324" s="5"/>
      <c r="W324" s="5"/>
      <c r="X324" s="5"/>
      <c r="Y324" s="5" t="s">
        <v>150</v>
      </c>
      <c r="Z324" s="5" t="s">
        <v>151</v>
      </c>
      <c r="AA324" s="5" t="s">
        <v>1759</v>
      </c>
      <c r="AB324" s="5" t="s">
        <v>46</v>
      </c>
      <c r="AC324" s="5"/>
      <c r="AD324" s="5" t="b">
        <v>0</v>
      </c>
      <c r="AE324" s="5"/>
      <c r="AF324" s="5"/>
      <c r="AG324" s="9">
        <f t="shared" si="5"/>
        <v>43268</v>
      </c>
    </row>
    <row r="325" s="6" customFormat="1" spans="1:33">
      <c r="A325" s="5" t="s">
        <v>1766</v>
      </c>
      <c r="B325" s="5" t="s">
        <v>1766</v>
      </c>
      <c r="C325" s="5" t="s">
        <v>1767</v>
      </c>
      <c r="D325" s="5" t="s">
        <v>1768</v>
      </c>
      <c r="E325" s="5" t="s">
        <v>36</v>
      </c>
      <c r="F325" s="5" t="s">
        <v>37</v>
      </c>
      <c r="G325" s="5" t="s">
        <v>38</v>
      </c>
      <c r="H325" s="5"/>
      <c r="I325" s="5"/>
      <c r="J325" s="5" t="s">
        <v>128</v>
      </c>
      <c r="K325" s="5" t="s">
        <v>147</v>
      </c>
      <c r="L325" s="5" t="s">
        <v>148</v>
      </c>
      <c r="M325" s="5" t="s">
        <v>149</v>
      </c>
      <c r="N325" s="5" t="s">
        <v>36</v>
      </c>
      <c r="O325" s="5">
        <v>1</v>
      </c>
      <c r="P325" s="5" t="s">
        <v>43</v>
      </c>
      <c r="Q325" s="5">
        <v>12.98</v>
      </c>
      <c r="R325" s="5"/>
      <c r="S325" s="5">
        <v>0.96</v>
      </c>
      <c r="T325" s="5"/>
      <c r="U325" s="5"/>
      <c r="V325" s="5"/>
      <c r="W325" s="5"/>
      <c r="X325" s="5">
        <v>0.96</v>
      </c>
      <c r="Y325" s="5" t="s">
        <v>1769</v>
      </c>
      <c r="Z325" s="5" t="s">
        <v>123</v>
      </c>
      <c r="AA325" s="5" t="s">
        <v>1770</v>
      </c>
      <c r="AB325" s="5" t="s">
        <v>46</v>
      </c>
      <c r="AC325" s="5" t="s">
        <v>225</v>
      </c>
      <c r="AD325" s="5" t="b">
        <v>0</v>
      </c>
      <c r="AE325" s="5"/>
      <c r="AF325" s="5"/>
      <c r="AG325" s="9">
        <f t="shared" si="5"/>
        <v>43268</v>
      </c>
    </row>
    <row r="326" s="6" customFormat="1" spans="1:33">
      <c r="A326" s="5" t="s">
        <v>1771</v>
      </c>
      <c r="B326" s="5" t="s">
        <v>1771</v>
      </c>
      <c r="C326" s="5" t="s">
        <v>1772</v>
      </c>
      <c r="D326" s="5" t="s">
        <v>1773</v>
      </c>
      <c r="E326" s="5" t="s">
        <v>36</v>
      </c>
      <c r="F326" s="5" t="s">
        <v>37</v>
      </c>
      <c r="G326" s="5" t="s">
        <v>38</v>
      </c>
      <c r="H326" s="5"/>
      <c r="I326" s="5"/>
      <c r="J326" s="5" t="s">
        <v>39</v>
      </c>
      <c r="K326" s="5" t="s">
        <v>83</v>
      </c>
      <c r="L326" s="5" t="s">
        <v>84</v>
      </c>
      <c r="M326" s="5" t="s">
        <v>85</v>
      </c>
      <c r="N326" s="5" t="s">
        <v>36</v>
      </c>
      <c r="O326" s="5">
        <v>1</v>
      </c>
      <c r="P326" s="5" t="s">
        <v>43</v>
      </c>
      <c r="Q326" s="5">
        <v>12.99</v>
      </c>
      <c r="R326" s="5"/>
      <c r="S326" s="5"/>
      <c r="T326" s="5"/>
      <c r="U326" s="5"/>
      <c r="V326" s="5"/>
      <c r="W326" s="5"/>
      <c r="X326" s="5"/>
      <c r="Y326" s="5" t="s">
        <v>1774</v>
      </c>
      <c r="Z326" s="5" t="s">
        <v>54</v>
      </c>
      <c r="AA326" s="5" t="s">
        <v>1775</v>
      </c>
      <c r="AB326" s="5" t="s">
        <v>46</v>
      </c>
      <c r="AC326" s="5"/>
      <c r="AD326" s="5" t="b">
        <v>0</v>
      </c>
      <c r="AE326" s="5"/>
      <c r="AF326" s="5"/>
      <c r="AG326" s="9">
        <f t="shared" si="5"/>
        <v>43268</v>
      </c>
    </row>
    <row r="327" s="6" customFormat="1" spans="1:33">
      <c r="A327" s="5" t="s">
        <v>1776</v>
      </c>
      <c r="B327" s="5" t="s">
        <v>1776</v>
      </c>
      <c r="C327" s="5" t="s">
        <v>1777</v>
      </c>
      <c r="D327" s="5" t="s">
        <v>1778</v>
      </c>
      <c r="E327" s="5" t="s">
        <v>36</v>
      </c>
      <c r="F327" s="5" t="s">
        <v>37</v>
      </c>
      <c r="G327" s="5" t="s">
        <v>38</v>
      </c>
      <c r="H327" s="5"/>
      <c r="I327" s="5"/>
      <c r="J327" s="5" t="s">
        <v>39</v>
      </c>
      <c r="K327" s="5" t="s">
        <v>1291</v>
      </c>
      <c r="L327" s="5" t="s">
        <v>1292</v>
      </c>
      <c r="M327" s="5" t="s">
        <v>1293</v>
      </c>
      <c r="N327" s="5" t="s">
        <v>36</v>
      </c>
      <c r="O327" s="5">
        <v>1</v>
      </c>
      <c r="P327" s="5" t="s">
        <v>43</v>
      </c>
      <c r="Q327" s="5">
        <v>12.99</v>
      </c>
      <c r="R327" s="5"/>
      <c r="S327" s="5"/>
      <c r="T327" s="5"/>
      <c r="U327" s="5"/>
      <c r="V327" s="5"/>
      <c r="W327" s="5"/>
      <c r="X327" s="5"/>
      <c r="Y327" s="5" t="s">
        <v>1779</v>
      </c>
      <c r="Z327" s="5" t="s">
        <v>282</v>
      </c>
      <c r="AA327" s="5" t="s">
        <v>1780</v>
      </c>
      <c r="AB327" s="5" t="s">
        <v>46</v>
      </c>
      <c r="AC327" s="5"/>
      <c r="AD327" s="5" t="b">
        <v>0</v>
      </c>
      <c r="AE327" s="5"/>
      <c r="AF327" s="5"/>
      <c r="AG327" s="9">
        <f t="shared" si="5"/>
        <v>43268</v>
      </c>
    </row>
    <row r="328" s="6" customFormat="1" spans="1:33">
      <c r="A328" s="5" t="s">
        <v>1781</v>
      </c>
      <c r="B328" s="5" t="s">
        <v>1781</v>
      </c>
      <c r="C328" s="5" t="s">
        <v>1782</v>
      </c>
      <c r="D328" s="5" t="s">
        <v>1783</v>
      </c>
      <c r="E328" s="5" t="s">
        <v>36</v>
      </c>
      <c r="F328" s="5" t="s">
        <v>37</v>
      </c>
      <c r="G328" s="5" t="s">
        <v>38</v>
      </c>
      <c r="H328" s="5"/>
      <c r="I328" s="5"/>
      <c r="J328" s="5" t="s">
        <v>39</v>
      </c>
      <c r="K328" s="5" t="s">
        <v>50</v>
      </c>
      <c r="L328" s="5" t="s">
        <v>51</v>
      </c>
      <c r="M328" s="5" t="s">
        <v>52</v>
      </c>
      <c r="N328" s="5" t="s">
        <v>36</v>
      </c>
      <c r="O328" s="5">
        <v>1</v>
      </c>
      <c r="P328" s="5" t="s">
        <v>43</v>
      </c>
      <c r="Q328" s="5">
        <v>18.99</v>
      </c>
      <c r="R328" s="5"/>
      <c r="S328" s="5"/>
      <c r="T328" s="5"/>
      <c r="U328" s="5"/>
      <c r="V328" s="5"/>
      <c r="W328" s="5"/>
      <c r="X328" s="5"/>
      <c r="Y328" s="5" t="s">
        <v>1784</v>
      </c>
      <c r="Z328" s="5" t="s">
        <v>1785</v>
      </c>
      <c r="AA328" s="5">
        <v>8070</v>
      </c>
      <c r="AB328" s="5" t="s">
        <v>46</v>
      </c>
      <c r="AC328" s="5"/>
      <c r="AD328" s="5" t="b">
        <v>0</v>
      </c>
      <c r="AE328" s="5"/>
      <c r="AF328" s="5"/>
      <c r="AG328" s="9">
        <f t="shared" si="5"/>
        <v>43268</v>
      </c>
    </row>
    <row r="329" s="6" customFormat="1" spans="1:33">
      <c r="A329" s="5" t="s">
        <v>1786</v>
      </c>
      <c r="B329" s="5" t="s">
        <v>1786</v>
      </c>
      <c r="C329" s="5" t="s">
        <v>1787</v>
      </c>
      <c r="D329" s="5" t="s">
        <v>1788</v>
      </c>
      <c r="E329" s="5" t="s">
        <v>36</v>
      </c>
      <c r="F329" s="5" t="s">
        <v>37</v>
      </c>
      <c r="G329" s="5" t="s">
        <v>38</v>
      </c>
      <c r="H329" s="5"/>
      <c r="I329" s="5"/>
      <c r="J329" s="5" t="s">
        <v>39</v>
      </c>
      <c r="K329" s="5" t="s">
        <v>110</v>
      </c>
      <c r="L329" s="5" t="s">
        <v>111</v>
      </c>
      <c r="M329" s="5" t="s">
        <v>112</v>
      </c>
      <c r="N329" s="5" t="s">
        <v>36</v>
      </c>
      <c r="O329" s="5">
        <v>1</v>
      </c>
      <c r="P329" s="5" t="s">
        <v>43</v>
      </c>
      <c r="Q329" s="5">
        <v>12.99</v>
      </c>
      <c r="R329" s="5"/>
      <c r="S329" s="5"/>
      <c r="T329" s="5"/>
      <c r="U329" s="5"/>
      <c r="V329" s="5"/>
      <c r="W329" s="5"/>
      <c r="X329" s="5"/>
      <c r="Y329" s="5" t="s">
        <v>1789</v>
      </c>
      <c r="Z329" s="5" t="s">
        <v>505</v>
      </c>
      <c r="AA329" s="5" t="s">
        <v>1790</v>
      </c>
      <c r="AB329" s="5" t="s">
        <v>46</v>
      </c>
      <c r="AC329" s="5"/>
      <c r="AD329" s="5" t="b">
        <v>0</v>
      </c>
      <c r="AE329" s="5"/>
      <c r="AF329" s="5"/>
      <c r="AG329" s="9">
        <f t="shared" si="5"/>
        <v>43268</v>
      </c>
    </row>
    <row r="330" s="6" customFormat="1" spans="1:33">
      <c r="A330" s="5" t="s">
        <v>1791</v>
      </c>
      <c r="B330" s="5" t="s">
        <v>1791</v>
      </c>
      <c r="C330" s="5" t="s">
        <v>1792</v>
      </c>
      <c r="D330" s="5" t="s">
        <v>1793</v>
      </c>
      <c r="E330" s="5" t="s">
        <v>36</v>
      </c>
      <c r="F330" s="5" t="s">
        <v>37</v>
      </c>
      <c r="G330" s="5" t="s">
        <v>38</v>
      </c>
      <c r="H330" s="5"/>
      <c r="I330" s="5"/>
      <c r="J330" s="5" t="s">
        <v>39</v>
      </c>
      <c r="K330" s="5" t="s">
        <v>387</v>
      </c>
      <c r="L330" s="5" t="s">
        <v>388</v>
      </c>
      <c r="M330" s="5" t="s">
        <v>389</v>
      </c>
      <c r="N330" s="5" t="s">
        <v>36</v>
      </c>
      <c r="O330" s="5">
        <v>1</v>
      </c>
      <c r="P330" s="5" t="s">
        <v>43</v>
      </c>
      <c r="Q330" s="5">
        <v>18.99</v>
      </c>
      <c r="R330" s="5"/>
      <c r="S330" s="5"/>
      <c r="T330" s="5"/>
      <c r="U330" s="5"/>
      <c r="V330" s="5"/>
      <c r="W330" s="5"/>
      <c r="X330" s="5"/>
      <c r="Y330" s="5" t="s">
        <v>1316</v>
      </c>
      <c r="Z330" s="5" t="s">
        <v>54</v>
      </c>
      <c r="AA330" s="5" t="s">
        <v>1794</v>
      </c>
      <c r="AB330" s="5" t="s">
        <v>46</v>
      </c>
      <c r="AC330" s="5"/>
      <c r="AD330" s="5" t="b">
        <v>0</v>
      </c>
      <c r="AE330" s="5"/>
      <c r="AF330" s="5"/>
      <c r="AG330" s="9">
        <f t="shared" si="5"/>
        <v>43268</v>
      </c>
    </row>
    <row r="331" s="6" customFormat="1" spans="1:33">
      <c r="A331" s="5" t="s">
        <v>1795</v>
      </c>
      <c r="B331" s="5" t="s">
        <v>1795</v>
      </c>
      <c r="C331" s="5" t="s">
        <v>1796</v>
      </c>
      <c r="D331" s="5" t="s">
        <v>1797</v>
      </c>
      <c r="E331" s="5" t="s">
        <v>36</v>
      </c>
      <c r="F331" s="5" t="s">
        <v>37</v>
      </c>
      <c r="G331" s="5" t="s">
        <v>38</v>
      </c>
      <c r="H331" s="5"/>
      <c r="I331" s="5"/>
      <c r="J331" s="5" t="s">
        <v>128</v>
      </c>
      <c r="K331" s="5" t="s">
        <v>269</v>
      </c>
      <c r="L331" s="5" t="s">
        <v>270</v>
      </c>
      <c r="M331" s="5" t="s">
        <v>271</v>
      </c>
      <c r="N331" s="5" t="s">
        <v>36</v>
      </c>
      <c r="O331" s="5">
        <v>1</v>
      </c>
      <c r="P331" s="5" t="s">
        <v>43</v>
      </c>
      <c r="Q331" s="5">
        <v>24.99</v>
      </c>
      <c r="R331" s="5"/>
      <c r="S331" s="5">
        <v>7.64</v>
      </c>
      <c r="T331" s="5"/>
      <c r="U331" s="5"/>
      <c r="V331" s="5"/>
      <c r="W331" s="5"/>
      <c r="X331" s="5"/>
      <c r="Y331" s="5" t="s">
        <v>1798</v>
      </c>
      <c r="Z331" s="5" t="s">
        <v>1799</v>
      </c>
      <c r="AA331" s="5" t="s">
        <v>1800</v>
      </c>
      <c r="AB331" s="5" t="s">
        <v>54</v>
      </c>
      <c r="AC331" s="5"/>
      <c r="AD331" s="5" t="b">
        <v>0</v>
      </c>
      <c r="AE331" s="5"/>
      <c r="AF331" s="5"/>
      <c r="AG331" s="9">
        <f t="shared" si="5"/>
        <v>43268</v>
      </c>
    </row>
    <row r="332" s="6" customFormat="1" spans="1:33">
      <c r="A332" s="5" t="s">
        <v>1801</v>
      </c>
      <c r="B332" s="5" t="s">
        <v>1801</v>
      </c>
      <c r="C332" s="5" t="s">
        <v>1802</v>
      </c>
      <c r="D332" s="5" t="s">
        <v>1803</v>
      </c>
      <c r="E332" s="5" t="s">
        <v>36</v>
      </c>
      <c r="F332" s="5" t="s">
        <v>37</v>
      </c>
      <c r="G332" s="5" t="s">
        <v>38</v>
      </c>
      <c r="H332" s="5"/>
      <c r="I332" s="5"/>
      <c r="J332" s="5" t="s">
        <v>39</v>
      </c>
      <c r="K332" s="5" t="s">
        <v>387</v>
      </c>
      <c r="L332" s="5" t="s">
        <v>388</v>
      </c>
      <c r="M332" s="5" t="s">
        <v>389</v>
      </c>
      <c r="N332" s="5" t="s">
        <v>36</v>
      </c>
      <c r="O332" s="5">
        <v>1</v>
      </c>
      <c r="P332" s="5" t="s">
        <v>43</v>
      </c>
      <c r="Q332" s="5">
        <v>18.99</v>
      </c>
      <c r="R332" s="5">
        <v>1.71</v>
      </c>
      <c r="S332" s="5"/>
      <c r="T332" s="5"/>
      <c r="U332" s="5"/>
      <c r="V332" s="5"/>
      <c r="W332" s="5"/>
      <c r="X332" s="5"/>
      <c r="Y332" s="5" t="s">
        <v>1804</v>
      </c>
      <c r="Z332" s="5" t="s">
        <v>474</v>
      </c>
      <c r="AA332" s="5" t="s">
        <v>1805</v>
      </c>
      <c r="AB332" s="5" t="s">
        <v>46</v>
      </c>
      <c r="AC332" s="5"/>
      <c r="AD332" s="5" t="b">
        <v>0</v>
      </c>
      <c r="AE332" s="5"/>
      <c r="AF332" s="5"/>
      <c r="AG332" s="9">
        <f t="shared" si="5"/>
        <v>43268</v>
      </c>
    </row>
    <row r="333" s="6" customFormat="1" spans="1:33">
      <c r="A333" s="5" t="s">
        <v>1806</v>
      </c>
      <c r="B333" s="5" t="s">
        <v>1806</v>
      </c>
      <c r="C333" s="5" t="s">
        <v>1807</v>
      </c>
      <c r="D333" s="5" t="s">
        <v>1808</v>
      </c>
      <c r="E333" s="5" t="s">
        <v>614</v>
      </c>
      <c r="F333" s="5" t="s">
        <v>37</v>
      </c>
      <c r="G333" s="5" t="s">
        <v>38</v>
      </c>
      <c r="H333" s="5"/>
      <c r="I333" s="5"/>
      <c r="J333" s="5" t="s">
        <v>128</v>
      </c>
      <c r="K333" s="5" t="s">
        <v>269</v>
      </c>
      <c r="L333" s="5" t="s">
        <v>270</v>
      </c>
      <c r="M333" s="5" t="s">
        <v>271</v>
      </c>
      <c r="N333" s="5" t="s">
        <v>614</v>
      </c>
      <c r="O333" s="5">
        <v>0</v>
      </c>
      <c r="P333" s="5"/>
      <c r="Q333" s="5"/>
      <c r="R333" s="5"/>
      <c r="S333" s="5"/>
      <c r="T333" s="5"/>
      <c r="U333" s="5"/>
      <c r="V333" s="5"/>
      <c r="W333" s="5"/>
      <c r="X333" s="5"/>
      <c r="Y333" s="5" t="s">
        <v>1798</v>
      </c>
      <c r="Z333" s="5" t="s">
        <v>1799</v>
      </c>
      <c r="AA333" s="5" t="s">
        <v>1800</v>
      </c>
      <c r="AB333" s="5" t="s">
        <v>54</v>
      </c>
      <c r="AC333" s="5"/>
      <c r="AD333" s="5" t="b">
        <v>0</v>
      </c>
      <c r="AE333" s="5"/>
      <c r="AF333" s="5"/>
      <c r="AG333" s="9">
        <f t="shared" si="5"/>
        <v>43268</v>
      </c>
    </row>
    <row r="334" s="6" customFormat="1" spans="1:33">
      <c r="A334" s="5" t="s">
        <v>1809</v>
      </c>
      <c r="B334" s="5" t="s">
        <v>1809</v>
      </c>
      <c r="C334" s="5" t="s">
        <v>1810</v>
      </c>
      <c r="D334" s="5" t="s">
        <v>1811</v>
      </c>
      <c r="E334" s="5" t="s">
        <v>36</v>
      </c>
      <c r="F334" s="5" t="s">
        <v>37</v>
      </c>
      <c r="G334" s="5" t="s">
        <v>38</v>
      </c>
      <c r="H334" s="5"/>
      <c r="I334" s="5"/>
      <c r="J334" s="5" t="s">
        <v>39</v>
      </c>
      <c r="K334" s="5" t="s">
        <v>1291</v>
      </c>
      <c r="L334" s="5" t="s">
        <v>1292</v>
      </c>
      <c r="M334" s="5" t="s">
        <v>1293</v>
      </c>
      <c r="N334" s="5" t="s">
        <v>36</v>
      </c>
      <c r="O334" s="5">
        <v>1</v>
      </c>
      <c r="P334" s="5" t="s">
        <v>43</v>
      </c>
      <c r="Q334" s="5">
        <v>12.99</v>
      </c>
      <c r="R334" s="5"/>
      <c r="S334" s="5"/>
      <c r="T334" s="5"/>
      <c r="U334" s="5"/>
      <c r="V334" s="5"/>
      <c r="W334" s="5"/>
      <c r="X334" s="5"/>
      <c r="Y334" s="5" t="s">
        <v>1812</v>
      </c>
      <c r="Z334" s="5" t="s">
        <v>142</v>
      </c>
      <c r="AA334" s="5" t="s">
        <v>1813</v>
      </c>
      <c r="AB334" s="5" t="s">
        <v>46</v>
      </c>
      <c r="AC334" s="5"/>
      <c r="AD334" s="5" t="b">
        <v>0</v>
      </c>
      <c r="AE334" s="5"/>
      <c r="AF334" s="5"/>
      <c r="AG334" s="9">
        <f t="shared" si="5"/>
        <v>43268</v>
      </c>
    </row>
    <row r="335" s="6" customFormat="1" spans="1:33">
      <c r="A335" s="5" t="s">
        <v>1814</v>
      </c>
      <c r="B335" s="5" t="s">
        <v>1814</v>
      </c>
      <c r="C335" s="5" t="s">
        <v>1815</v>
      </c>
      <c r="D335" s="5" t="s">
        <v>1816</v>
      </c>
      <c r="E335" s="5" t="s">
        <v>36</v>
      </c>
      <c r="F335" s="5" t="s">
        <v>37</v>
      </c>
      <c r="G335" s="5" t="s">
        <v>38</v>
      </c>
      <c r="H335" s="5"/>
      <c r="I335" s="5"/>
      <c r="J335" s="5" t="s">
        <v>39</v>
      </c>
      <c r="K335" s="5" t="s">
        <v>147</v>
      </c>
      <c r="L335" s="5" t="s">
        <v>148</v>
      </c>
      <c r="M335" s="5" t="s">
        <v>149</v>
      </c>
      <c r="N335" s="5" t="s">
        <v>36</v>
      </c>
      <c r="O335" s="5">
        <v>1</v>
      </c>
      <c r="P335" s="5" t="s">
        <v>43</v>
      </c>
      <c r="Q335" s="5">
        <v>12.98</v>
      </c>
      <c r="R335" s="5"/>
      <c r="S335" s="5"/>
      <c r="T335" s="5"/>
      <c r="U335" s="5"/>
      <c r="V335" s="5"/>
      <c r="W335" s="5"/>
      <c r="X335" s="5"/>
      <c r="Y335" s="5" t="s">
        <v>1817</v>
      </c>
      <c r="Z335" s="5" t="s">
        <v>247</v>
      </c>
      <c r="AA335" s="5">
        <v>75068</v>
      </c>
      <c r="AB335" s="5" t="s">
        <v>46</v>
      </c>
      <c r="AC335" s="5"/>
      <c r="AD335" s="5" t="b">
        <v>0</v>
      </c>
      <c r="AE335" s="5"/>
      <c r="AF335" s="5"/>
      <c r="AG335" s="9">
        <f t="shared" si="5"/>
        <v>43268</v>
      </c>
    </row>
    <row r="336" s="6" customFormat="1" spans="1:33">
      <c r="A336" s="5" t="s">
        <v>1818</v>
      </c>
      <c r="B336" s="5" t="s">
        <v>1818</v>
      </c>
      <c r="C336" s="5" t="s">
        <v>1819</v>
      </c>
      <c r="D336" s="5" t="s">
        <v>1820</v>
      </c>
      <c r="E336" s="5" t="s">
        <v>36</v>
      </c>
      <c r="F336" s="5" t="s">
        <v>37</v>
      </c>
      <c r="G336" s="5" t="s">
        <v>38</v>
      </c>
      <c r="H336" s="5"/>
      <c r="I336" s="5"/>
      <c r="J336" s="5" t="s">
        <v>39</v>
      </c>
      <c r="K336" s="5" t="s">
        <v>50</v>
      </c>
      <c r="L336" s="5" t="s">
        <v>51</v>
      </c>
      <c r="M336" s="5" t="s">
        <v>52</v>
      </c>
      <c r="N336" s="5" t="s">
        <v>36</v>
      </c>
      <c r="O336" s="5">
        <v>1</v>
      </c>
      <c r="P336" s="5" t="s">
        <v>43</v>
      </c>
      <c r="Q336" s="5">
        <v>18.99</v>
      </c>
      <c r="R336" s="5"/>
      <c r="S336" s="5"/>
      <c r="T336" s="5"/>
      <c r="U336" s="5"/>
      <c r="V336" s="5"/>
      <c r="W336" s="5"/>
      <c r="X336" s="5"/>
      <c r="Y336" s="5" t="s">
        <v>1821</v>
      </c>
      <c r="Z336" s="5" t="s">
        <v>223</v>
      </c>
      <c r="AA336" s="5" t="s">
        <v>1822</v>
      </c>
      <c r="AB336" s="5" t="s">
        <v>46</v>
      </c>
      <c r="AC336" s="5"/>
      <c r="AD336" s="5" t="b">
        <v>0</v>
      </c>
      <c r="AE336" s="5"/>
      <c r="AF336" s="5"/>
      <c r="AG336" s="9">
        <f t="shared" si="5"/>
        <v>43268</v>
      </c>
    </row>
    <row r="337" s="6" customFormat="1" spans="1:33">
      <c r="A337" s="5" t="s">
        <v>1823</v>
      </c>
      <c r="B337" s="5" t="s">
        <v>1823</v>
      </c>
      <c r="C337" s="5" t="s">
        <v>1824</v>
      </c>
      <c r="D337" s="5" t="s">
        <v>1825</v>
      </c>
      <c r="E337" s="5" t="s">
        <v>36</v>
      </c>
      <c r="F337" s="5" t="s">
        <v>37</v>
      </c>
      <c r="G337" s="5" t="s">
        <v>38</v>
      </c>
      <c r="H337" s="5"/>
      <c r="I337" s="5"/>
      <c r="J337" s="5" t="s">
        <v>39</v>
      </c>
      <c r="K337" s="5" t="s">
        <v>209</v>
      </c>
      <c r="L337" s="5" t="s">
        <v>210</v>
      </c>
      <c r="M337" s="5" t="s">
        <v>211</v>
      </c>
      <c r="N337" s="5" t="s">
        <v>36</v>
      </c>
      <c r="O337" s="5">
        <v>1</v>
      </c>
      <c r="P337" s="5" t="s">
        <v>43</v>
      </c>
      <c r="Q337" s="5">
        <v>13.99</v>
      </c>
      <c r="R337" s="5"/>
      <c r="S337" s="5"/>
      <c r="T337" s="5"/>
      <c r="U337" s="5"/>
      <c r="V337" s="5"/>
      <c r="W337" s="5"/>
      <c r="X337" s="5"/>
      <c r="Y337" s="5" t="s">
        <v>1826</v>
      </c>
      <c r="Z337" s="5" t="s">
        <v>183</v>
      </c>
      <c r="AA337" s="5" t="s">
        <v>1827</v>
      </c>
      <c r="AB337" s="5" t="s">
        <v>46</v>
      </c>
      <c r="AC337" s="5"/>
      <c r="AD337" s="5" t="b">
        <v>0</v>
      </c>
      <c r="AE337" s="5"/>
      <c r="AF337" s="5"/>
      <c r="AG337" s="9">
        <f t="shared" si="5"/>
        <v>43268</v>
      </c>
    </row>
    <row r="338" s="6" customFormat="1" spans="1:33">
      <c r="A338" s="5" t="s">
        <v>1828</v>
      </c>
      <c r="B338" s="5" t="s">
        <v>1828</v>
      </c>
      <c r="C338" s="5" t="s">
        <v>1829</v>
      </c>
      <c r="D338" s="5" t="s">
        <v>1830</v>
      </c>
      <c r="E338" s="5" t="s">
        <v>36</v>
      </c>
      <c r="F338" s="5" t="s">
        <v>37</v>
      </c>
      <c r="G338" s="5" t="s">
        <v>38</v>
      </c>
      <c r="H338" s="5"/>
      <c r="I338" s="5"/>
      <c r="J338" s="5" t="s">
        <v>39</v>
      </c>
      <c r="K338" s="5" t="s">
        <v>147</v>
      </c>
      <c r="L338" s="5" t="s">
        <v>148</v>
      </c>
      <c r="M338" s="5" t="s">
        <v>149</v>
      </c>
      <c r="N338" s="5" t="s">
        <v>36</v>
      </c>
      <c r="O338" s="5">
        <v>1</v>
      </c>
      <c r="P338" s="5" t="s">
        <v>43</v>
      </c>
      <c r="Q338" s="5">
        <v>12.98</v>
      </c>
      <c r="R338" s="5"/>
      <c r="S338" s="5"/>
      <c r="T338" s="5"/>
      <c r="U338" s="5"/>
      <c r="V338" s="5"/>
      <c r="W338" s="5"/>
      <c r="X338" s="5"/>
      <c r="Y338" s="5" t="s">
        <v>1831</v>
      </c>
      <c r="Z338" s="5" t="s">
        <v>463</v>
      </c>
      <c r="AA338" s="5">
        <v>80234</v>
      </c>
      <c r="AB338" s="5" t="s">
        <v>46</v>
      </c>
      <c r="AC338" s="5"/>
      <c r="AD338" s="5" t="b">
        <v>0</v>
      </c>
      <c r="AE338" s="5"/>
      <c r="AF338" s="5"/>
      <c r="AG338" s="9">
        <f t="shared" si="5"/>
        <v>43268</v>
      </c>
    </row>
    <row r="339" s="6" customFormat="1" spans="1:33">
      <c r="A339" s="5" t="s">
        <v>1832</v>
      </c>
      <c r="B339" s="5" t="s">
        <v>1832</v>
      </c>
      <c r="C339" s="5" t="s">
        <v>1833</v>
      </c>
      <c r="D339" s="5" t="s">
        <v>1834</v>
      </c>
      <c r="E339" s="5" t="s">
        <v>36</v>
      </c>
      <c r="F339" s="5" t="s">
        <v>37</v>
      </c>
      <c r="G339" s="5" t="s">
        <v>38</v>
      </c>
      <c r="H339" s="5"/>
      <c r="I339" s="5"/>
      <c r="J339" s="5" t="s">
        <v>128</v>
      </c>
      <c r="K339" s="5" t="s">
        <v>75</v>
      </c>
      <c r="L339" s="5" t="s">
        <v>76</v>
      </c>
      <c r="M339" s="5" t="s">
        <v>77</v>
      </c>
      <c r="N339" s="5" t="s">
        <v>36</v>
      </c>
      <c r="O339" s="5">
        <v>1</v>
      </c>
      <c r="P339" s="5" t="s">
        <v>43</v>
      </c>
      <c r="Q339" s="5">
        <v>12.99</v>
      </c>
      <c r="R339" s="5"/>
      <c r="S339" s="5">
        <v>1.58</v>
      </c>
      <c r="T339" s="5"/>
      <c r="U339" s="5"/>
      <c r="V339" s="5"/>
      <c r="W339" s="5"/>
      <c r="X339" s="5">
        <v>1.58</v>
      </c>
      <c r="Y339" s="5" t="s">
        <v>1835</v>
      </c>
      <c r="Z339" s="5" t="s">
        <v>151</v>
      </c>
      <c r="AA339" s="5" t="s">
        <v>1836</v>
      </c>
      <c r="AB339" s="5" t="s">
        <v>46</v>
      </c>
      <c r="AC339" s="5" t="s">
        <v>225</v>
      </c>
      <c r="AD339" s="5" t="b">
        <v>0</v>
      </c>
      <c r="AE339" s="5"/>
      <c r="AF339" s="5"/>
      <c r="AG339" s="9">
        <f t="shared" si="5"/>
        <v>43268</v>
      </c>
    </row>
    <row r="340" s="6" customFormat="1" spans="1:33">
      <c r="A340" s="5" t="s">
        <v>1837</v>
      </c>
      <c r="B340" s="5" t="s">
        <v>1837</v>
      </c>
      <c r="C340" s="5" t="s">
        <v>1838</v>
      </c>
      <c r="D340" s="5" t="s">
        <v>1839</v>
      </c>
      <c r="E340" s="5" t="s">
        <v>36</v>
      </c>
      <c r="F340" s="5" t="s">
        <v>37</v>
      </c>
      <c r="G340" s="5" t="s">
        <v>38</v>
      </c>
      <c r="H340" s="5"/>
      <c r="I340" s="5"/>
      <c r="J340" s="5" t="s">
        <v>39</v>
      </c>
      <c r="K340" s="5" t="s">
        <v>387</v>
      </c>
      <c r="L340" s="5" t="s">
        <v>388</v>
      </c>
      <c r="M340" s="5" t="s">
        <v>389</v>
      </c>
      <c r="N340" s="5" t="s">
        <v>36</v>
      </c>
      <c r="O340" s="5">
        <v>1</v>
      </c>
      <c r="P340" s="5" t="s">
        <v>43</v>
      </c>
      <c r="Q340" s="5">
        <v>18.99</v>
      </c>
      <c r="R340" s="5"/>
      <c r="S340" s="5"/>
      <c r="T340" s="5"/>
      <c r="U340" s="5"/>
      <c r="V340" s="5"/>
      <c r="W340" s="5"/>
      <c r="X340" s="5"/>
      <c r="Y340" s="5" t="s">
        <v>1840</v>
      </c>
      <c r="Z340" s="5" t="s">
        <v>732</v>
      </c>
      <c r="AA340" s="5" t="s">
        <v>1841</v>
      </c>
      <c r="AB340" s="5" t="s">
        <v>46</v>
      </c>
      <c r="AC340" s="5"/>
      <c r="AD340" s="5" t="b">
        <v>0</v>
      </c>
      <c r="AE340" s="5"/>
      <c r="AF340" s="5"/>
      <c r="AG340" s="9">
        <f t="shared" si="5"/>
        <v>43268</v>
      </c>
    </row>
    <row r="341" s="6" customFormat="1" spans="1:33">
      <c r="A341" s="5" t="s">
        <v>1842</v>
      </c>
      <c r="B341" s="5" t="s">
        <v>1842</v>
      </c>
      <c r="C341" s="5" t="s">
        <v>1843</v>
      </c>
      <c r="D341" s="5" t="s">
        <v>1844</v>
      </c>
      <c r="E341" s="5" t="s">
        <v>36</v>
      </c>
      <c r="F341" s="5" t="s">
        <v>37</v>
      </c>
      <c r="G341" s="5" t="s">
        <v>38</v>
      </c>
      <c r="H341" s="5"/>
      <c r="I341" s="5"/>
      <c r="J341" s="5" t="s">
        <v>39</v>
      </c>
      <c r="K341" s="5" t="s">
        <v>83</v>
      </c>
      <c r="L341" s="5" t="s">
        <v>84</v>
      </c>
      <c r="M341" s="5" t="s">
        <v>85</v>
      </c>
      <c r="N341" s="5" t="s">
        <v>36</v>
      </c>
      <c r="O341" s="5">
        <v>1</v>
      </c>
      <c r="P341" s="5" t="s">
        <v>43</v>
      </c>
      <c r="Q341" s="5">
        <v>12.99</v>
      </c>
      <c r="R341" s="5"/>
      <c r="S341" s="5"/>
      <c r="T341" s="5"/>
      <c r="U341" s="5"/>
      <c r="V341" s="5"/>
      <c r="W341" s="5"/>
      <c r="X341" s="5"/>
      <c r="Y341" s="5" t="s">
        <v>536</v>
      </c>
      <c r="Z341" s="5" t="s">
        <v>62</v>
      </c>
      <c r="AA341" s="5" t="s">
        <v>1845</v>
      </c>
      <c r="AB341" s="5" t="s">
        <v>46</v>
      </c>
      <c r="AC341" s="5"/>
      <c r="AD341" s="5" t="b">
        <v>0</v>
      </c>
      <c r="AE341" s="5"/>
      <c r="AF341" s="5"/>
      <c r="AG341" s="9">
        <f t="shared" si="5"/>
        <v>43268</v>
      </c>
    </row>
    <row r="342" s="6" customFormat="1" spans="1:33">
      <c r="A342" s="5" t="s">
        <v>1846</v>
      </c>
      <c r="B342" s="5" t="s">
        <v>1846</v>
      </c>
      <c r="C342" s="5" t="s">
        <v>1847</v>
      </c>
      <c r="D342" s="5" t="s">
        <v>1848</v>
      </c>
      <c r="E342" s="5" t="s">
        <v>36</v>
      </c>
      <c r="F342" s="5" t="s">
        <v>37</v>
      </c>
      <c r="G342" s="5" t="s">
        <v>38</v>
      </c>
      <c r="H342" s="5"/>
      <c r="I342" s="5"/>
      <c r="J342" s="5" t="s">
        <v>39</v>
      </c>
      <c r="K342" s="5" t="s">
        <v>75</v>
      </c>
      <c r="L342" s="5" t="s">
        <v>76</v>
      </c>
      <c r="M342" s="5" t="s">
        <v>77</v>
      </c>
      <c r="N342" s="5" t="s">
        <v>36</v>
      </c>
      <c r="O342" s="5">
        <v>1</v>
      </c>
      <c r="P342" s="5" t="s">
        <v>43</v>
      </c>
      <c r="Q342" s="5">
        <v>12.99</v>
      </c>
      <c r="R342" s="5">
        <v>1.31</v>
      </c>
      <c r="S342" s="5"/>
      <c r="T342" s="5"/>
      <c r="U342" s="5"/>
      <c r="V342" s="5"/>
      <c r="W342" s="5"/>
      <c r="X342" s="5"/>
      <c r="Y342" s="5" t="s">
        <v>1849</v>
      </c>
      <c r="Z342" s="5" t="s">
        <v>474</v>
      </c>
      <c r="AA342" s="5" t="s">
        <v>1850</v>
      </c>
      <c r="AB342" s="5" t="s">
        <v>46</v>
      </c>
      <c r="AC342" s="5"/>
      <c r="AD342" s="5" t="b">
        <v>0</v>
      </c>
      <c r="AE342" s="5"/>
      <c r="AF342" s="5"/>
      <c r="AG342" s="9">
        <f t="shared" si="5"/>
        <v>43268</v>
      </c>
    </row>
    <row r="343" s="6" customFormat="1" spans="1:33">
      <c r="A343" s="5" t="s">
        <v>1851</v>
      </c>
      <c r="B343" s="5" t="s">
        <v>1851</v>
      </c>
      <c r="C343" s="5" t="s">
        <v>1852</v>
      </c>
      <c r="D343" s="5" t="s">
        <v>1853</v>
      </c>
      <c r="E343" s="5" t="s">
        <v>36</v>
      </c>
      <c r="F343" s="5" t="s">
        <v>37</v>
      </c>
      <c r="G343" s="5" t="s">
        <v>38</v>
      </c>
      <c r="H343" s="5"/>
      <c r="I343" s="5"/>
      <c r="J343" s="5" t="s">
        <v>39</v>
      </c>
      <c r="K343" s="5" t="s">
        <v>260</v>
      </c>
      <c r="L343" s="5" t="s">
        <v>1227</v>
      </c>
      <c r="M343" s="5" t="s">
        <v>262</v>
      </c>
      <c r="N343" s="5" t="s">
        <v>36</v>
      </c>
      <c r="O343" s="5">
        <v>1</v>
      </c>
      <c r="P343" s="5" t="s">
        <v>43</v>
      </c>
      <c r="Q343" s="5">
        <v>18.99</v>
      </c>
      <c r="R343" s="5"/>
      <c r="S343" s="5"/>
      <c r="T343" s="5"/>
      <c r="U343" s="5"/>
      <c r="V343" s="5"/>
      <c r="W343" s="5"/>
      <c r="X343" s="5"/>
      <c r="Y343" s="5" t="s">
        <v>1854</v>
      </c>
      <c r="Z343" s="5" t="s">
        <v>142</v>
      </c>
      <c r="AA343" s="5" t="s">
        <v>1855</v>
      </c>
      <c r="AB343" s="5" t="s">
        <v>46</v>
      </c>
      <c r="AC343" s="5"/>
      <c r="AD343" s="5" t="b">
        <v>0</v>
      </c>
      <c r="AE343" s="5"/>
      <c r="AF343" s="5"/>
      <c r="AG343" s="9">
        <f t="shared" si="5"/>
        <v>43268</v>
      </c>
    </row>
    <row r="344" s="6" customFormat="1" spans="1:33">
      <c r="A344" s="5" t="s">
        <v>1856</v>
      </c>
      <c r="B344" s="5" t="s">
        <v>1856</v>
      </c>
      <c r="C344" s="5" t="s">
        <v>1857</v>
      </c>
      <c r="D344" s="5" t="s">
        <v>1858</v>
      </c>
      <c r="E344" s="5" t="s">
        <v>36</v>
      </c>
      <c r="F344" s="5" t="s">
        <v>37</v>
      </c>
      <c r="G344" s="5" t="s">
        <v>38</v>
      </c>
      <c r="H344" s="5"/>
      <c r="I344" s="5"/>
      <c r="J344" s="5" t="s">
        <v>39</v>
      </c>
      <c r="K344" s="5" t="s">
        <v>147</v>
      </c>
      <c r="L344" s="5" t="s">
        <v>148</v>
      </c>
      <c r="M344" s="5" t="s">
        <v>149</v>
      </c>
      <c r="N344" s="5" t="s">
        <v>36</v>
      </c>
      <c r="O344" s="5">
        <v>1</v>
      </c>
      <c r="P344" s="5" t="s">
        <v>43</v>
      </c>
      <c r="Q344" s="5">
        <v>12.98</v>
      </c>
      <c r="R344" s="5"/>
      <c r="S344" s="5"/>
      <c r="T344" s="5"/>
      <c r="U344" s="5"/>
      <c r="V344" s="5"/>
      <c r="W344" s="5"/>
      <c r="X344" s="5"/>
      <c r="Y344" s="5" t="s">
        <v>1859</v>
      </c>
      <c r="Z344" s="5" t="s">
        <v>606</v>
      </c>
      <c r="AA344" s="5" t="s">
        <v>1860</v>
      </c>
      <c r="AB344" s="5" t="s">
        <v>46</v>
      </c>
      <c r="AC344" s="5"/>
      <c r="AD344" s="5" t="b">
        <v>0</v>
      </c>
      <c r="AE344" s="5"/>
      <c r="AF344" s="5"/>
      <c r="AG344" s="9">
        <f t="shared" si="5"/>
        <v>43268</v>
      </c>
    </row>
    <row r="345" s="6" customFormat="1" spans="1:33">
      <c r="A345" s="5" t="s">
        <v>1861</v>
      </c>
      <c r="B345" s="5" t="s">
        <v>1861</v>
      </c>
      <c r="C345" s="5" t="s">
        <v>1862</v>
      </c>
      <c r="D345" s="5" t="s">
        <v>1863</v>
      </c>
      <c r="E345" s="5" t="s">
        <v>36</v>
      </c>
      <c r="F345" s="5" t="s">
        <v>37</v>
      </c>
      <c r="G345" s="5" t="s">
        <v>38</v>
      </c>
      <c r="H345" s="5"/>
      <c r="I345" s="5"/>
      <c r="J345" s="5" t="s">
        <v>128</v>
      </c>
      <c r="K345" s="5" t="s">
        <v>243</v>
      </c>
      <c r="L345" s="5" t="s">
        <v>244</v>
      </c>
      <c r="M345" s="5" t="s">
        <v>245</v>
      </c>
      <c r="N345" s="5" t="s">
        <v>36</v>
      </c>
      <c r="O345" s="5">
        <v>1</v>
      </c>
      <c r="P345" s="5" t="s">
        <v>43</v>
      </c>
      <c r="Q345" s="5">
        <v>18.99</v>
      </c>
      <c r="R345" s="5"/>
      <c r="S345" s="5">
        <v>5.99</v>
      </c>
      <c r="T345" s="5"/>
      <c r="U345" s="5"/>
      <c r="V345" s="5"/>
      <c r="W345" s="5"/>
      <c r="X345" s="5"/>
      <c r="Y345" s="5" t="s">
        <v>196</v>
      </c>
      <c r="Z345" s="5" t="s">
        <v>54</v>
      </c>
      <c r="AA345" s="5" t="s">
        <v>1864</v>
      </c>
      <c r="AB345" s="5" t="s">
        <v>46</v>
      </c>
      <c r="AC345" s="5"/>
      <c r="AD345" s="5" t="b">
        <v>0</v>
      </c>
      <c r="AE345" s="5"/>
      <c r="AF345" s="5"/>
      <c r="AG345" s="9">
        <f t="shared" si="5"/>
        <v>43269</v>
      </c>
    </row>
    <row r="346" s="6" customFormat="1" spans="1:33">
      <c r="A346" s="5" t="s">
        <v>1865</v>
      </c>
      <c r="B346" s="5" t="s">
        <v>1865</v>
      </c>
      <c r="C346" s="5" t="s">
        <v>1866</v>
      </c>
      <c r="D346" s="5" t="s">
        <v>1867</v>
      </c>
      <c r="E346" s="5" t="s">
        <v>614</v>
      </c>
      <c r="F346" s="5" t="s">
        <v>37</v>
      </c>
      <c r="G346" s="5" t="s">
        <v>38</v>
      </c>
      <c r="H346" s="5"/>
      <c r="I346" s="5"/>
      <c r="J346" s="5" t="s">
        <v>39</v>
      </c>
      <c r="K346" s="5" t="s">
        <v>75</v>
      </c>
      <c r="L346" s="5" t="s">
        <v>76</v>
      </c>
      <c r="M346" s="5" t="s">
        <v>77</v>
      </c>
      <c r="N346" s="5" t="s">
        <v>614</v>
      </c>
      <c r="O346" s="5">
        <v>0</v>
      </c>
      <c r="P346" s="5"/>
      <c r="Q346" s="5"/>
      <c r="R346" s="5"/>
      <c r="S346" s="5"/>
      <c r="T346" s="5"/>
      <c r="U346" s="5"/>
      <c r="V346" s="5"/>
      <c r="W346" s="5"/>
      <c r="X346" s="5"/>
      <c r="Y346" s="5" t="s">
        <v>1868</v>
      </c>
      <c r="Z346" s="5" t="s">
        <v>54</v>
      </c>
      <c r="AA346" s="5" t="s">
        <v>1869</v>
      </c>
      <c r="AB346" s="5" t="s">
        <v>46</v>
      </c>
      <c r="AC346" s="5"/>
      <c r="AD346" s="5" t="b">
        <v>0</v>
      </c>
      <c r="AE346" s="5"/>
      <c r="AF346" s="5"/>
      <c r="AG346" s="9">
        <f t="shared" si="5"/>
        <v>43269</v>
      </c>
    </row>
    <row r="347" s="6" customFormat="1" spans="1:33">
      <c r="A347" s="5" t="s">
        <v>1870</v>
      </c>
      <c r="B347" s="5" t="s">
        <v>1870</v>
      </c>
      <c r="C347" s="5" t="s">
        <v>1871</v>
      </c>
      <c r="D347" s="5" t="s">
        <v>1872</v>
      </c>
      <c r="E347" s="5" t="s">
        <v>36</v>
      </c>
      <c r="F347" s="5" t="s">
        <v>37</v>
      </c>
      <c r="G347" s="5" t="s">
        <v>38</v>
      </c>
      <c r="H347" s="5"/>
      <c r="I347" s="5"/>
      <c r="J347" s="5" t="s">
        <v>39</v>
      </c>
      <c r="K347" s="5" t="s">
        <v>201</v>
      </c>
      <c r="L347" s="5" t="s">
        <v>202</v>
      </c>
      <c r="M347" s="5" t="s">
        <v>203</v>
      </c>
      <c r="N347" s="5" t="s">
        <v>36</v>
      </c>
      <c r="O347" s="5">
        <v>1</v>
      </c>
      <c r="P347" s="5" t="s">
        <v>43</v>
      </c>
      <c r="Q347" s="5">
        <v>18.99</v>
      </c>
      <c r="R347" s="5"/>
      <c r="S347" s="5"/>
      <c r="T347" s="5"/>
      <c r="U347" s="5"/>
      <c r="V347" s="5"/>
      <c r="W347" s="5"/>
      <c r="X347" s="5"/>
      <c r="Y347" s="5" t="s">
        <v>1873</v>
      </c>
      <c r="Z347" s="5" t="s">
        <v>238</v>
      </c>
      <c r="AA347" s="5">
        <v>30114</v>
      </c>
      <c r="AB347" s="5" t="s">
        <v>46</v>
      </c>
      <c r="AC347" s="5"/>
      <c r="AD347" s="5" t="b">
        <v>0</v>
      </c>
      <c r="AE347" s="5"/>
      <c r="AF347" s="5"/>
      <c r="AG347" s="9">
        <f t="shared" si="5"/>
        <v>43269</v>
      </c>
    </row>
    <row r="348" s="6" customFormat="1" spans="1:33">
      <c r="A348" s="5" t="s">
        <v>1874</v>
      </c>
      <c r="B348" s="5" t="s">
        <v>1874</v>
      </c>
      <c r="C348" s="5" t="s">
        <v>1875</v>
      </c>
      <c r="D348" s="5" t="s">
        <v>1876</v>
      </c>
      <c r="E348" s="5" t="s">
        <v>36</v>
      </c>
      <c r="F348" s="5" t="s">
        <v>37</v>
      </c>
      <c r="G348" s="5" t="s">
        <v>38</v>
      </c>
      <c r="H348" s="5"/>
      <c r="I348" s="5"/>
      <c r="J348" s="5" t="s">
        <v>39</v>
      </c>
      <c r="K348" s="5" t="s">
        <v>75</v>
      </c>
      <c r="L348" s="5" t="s">
        <v>76</v>
      </c>
      <c r="M348" s="5" t="s">
        <v>77</v>
      </c>
      <c r="N348" s="5" t="s">
        <v>36</v>
      </c>
      <c r="O348" s="5">
        <v>1</v>
      </c>
      <c r="P348" s="5" t="s">
        <v>43</v>
      </c>
      <c r="Q348" s="5">
        <v>12.99</v>
      </c>
      <c r="R348" s="5"/>
      <c r="S348" s="5"/>
      <c r="T348" s="5"/>
      <c r="U348" s="5"/>
      <c r="V348" s="5"/>
      <c r="W348" s="5"/>
      <c r="X348" s="5"/>
      <c r="Y348" s="5" t="s">
        <v>1877</v>
      </c>
      <c r="Z348" s="5" t="s">
        <v>1878</v>
      </c>
      <c r="AA348" s="5">
        <v>33966</v>
      </c>
      <c r="AB348" s="5" t="s">
        <v>46</v>
      </c>
      <c r="AC348" s="5"/>
      <c r="AD348" s="5" t="b">
        <v>0</v>
      </c>
      <c r="AE348" s="5"/>
      <c r="AF348" s="5"/>
      <c r="AG348" s="9">
        <f t="shared" si="5"/>
        <v>43269</v>
      </c>
    </row>
    <row r="349" s="6" customFormat="1" spans="1:33">
      <c r="A349" s="5" t="s">
        <v>1879</v>
      </c>
      <c r="B349" s="5" t="s">
        <v>1879</v>
      </c>
      <c r="C349" s="5" t="s">
        <v>1880</v>
      </c>
      <c r="D349" s="5" t="s">
        <v>1881</v>
      </c>
      <c r="E349" s="5" t="s">
        <v>36</v>
      </c>
      <c r="F349" s="5" t="s">
        <v>37</v>
      </c>
      <c r="G349" s="5" t="s">
        <v>38</v>
      </c>
      <c r="H349" s="5"/>
      <c r="I349" s="5"/>
      <c r="J349" s="5" t="s">
        <v>39</v>
      </c>
      <c r="K349" s="5" t="s">
        <v>101</v>
      </c>
      <c r="L349" s="5" t="s">
        <v>102</v>
      </c>
      <c r="M349" s="5" t="s">
        <v>103</v>
      </c>
      <c r="N349" s="5" t="s">
        <v>36</v>
      </c>
      <c r="O349" s="5">
        <v>1</v>
      </c>
      <c r="P349" s="5" t="s">
        <v>43</v>
      </c>
      <c r="Q349" s="5">
        <v>12.99</v>
      </c>
      <c r="R349" s="5"/>
      <c r="S349" s="5"/>
      <c r="T349" s="5"/>
      <c r="U349" s="5"/>
      <c r="V349" s="5"/>
      <c r="W349" s="5"/>
      <c r="X349" s="5"/>
      <c r="Y349" s="5" t="s">
        <v>1882</v>
      </c>
      <c r="Z349" s="5" t="s">
        <v>151</v>
      </c>
      <c r="AA349" s="5">
        <v>14031</v>
      </c>
      <c r="AB349" s="5" t="s">
        <v>46</v>
      </c>
      <c r="AC349" s="5"/>
      <c r="AD349" s="5" t="b">
        <v>0</v>
      </c>
      <c r="AE349" s="5"/>
      <c r="AF349" s="5"/>
      <c r="AG349" s="9">
        <f t="shared" si="5"/>
        <v>43269</v>
      </c>
    </row>
    <row r="350" s="6" customFormat="1" spans="1:33">
      <c r="A350" s="5" t="s">
        <v>1883</v>
      </c>
      <c r="B350" s="5" t="s">
        <v>1883</v>
      </c>
      <c r="C350" s="5" t="s">
        <v>1884</v>
      </c>
      <c r="D350" s="5" t="s">
        <v>1885</v>
      </c>
      <c r="E350" s="5" t="s">
        <v>36</v>
      </c>
      <c r="F350" s="5" t="s">
        <v>37</v>
      </c>
      <c r="G350" s="5" t="s">
        <v>38</v>
      </c>
      <c r="H350" s="5"/>
      <c r="I350" s="5"/>
      <c r="J350" s="5" t="s">
        <v>39</v>
      </c>
      <c r="K350" s="5" t="s">
        <v>387</v>
      </c>
      <c r="L350" s="5" t="s">
        <v>388</v>
      </c>
      <c r="M350" s="5" t="s">
        <v>389</v>
      </c>
      <c r="N350" s="5" t="s">
        <v>36</v>
      </c>
      <c r="O350" s="5">
        <v>1</v>
      </c>
      <c r="P350" s="5" t="s">
        <v>43</v>
      </c>
      <c r="Q350" s="5">
        <v>18.99</v>
      </c>
      <c r="R350" s="5"/>
      <c r="S350" s="5"/>
      <c r="T350" s="5"/>
      <c r="U350" s="5"/>
      <c r="V350" s="5"/>
      <c r="W350" s="5"/>
      <c r="X350" s="5"/>
      <c r="Y350" s="5" t="s">
        <v>1886</v>
      </c>
      <c r="Z350" s="5" t="s">
        <v>606</v>
      </c>
      <c r="AA350" s="5" t="s">
        <v>1887</v>
      </c>
      <c r="AB350" s="5" t="s">
        <v>46</v>
      </c>
      <c r="AC350" s="5"/>
      <c r="AD350" s="5" t="b">
        <v>0</v>
      </c>
      <c r="AE350" s="5"/>
      <c r="AF350" s="5"/>
      <c r="AG350" s="9">
        <f t="shared" si="5"/>
        <v>43269</v>
      </c>
    </row>
    <row r="351" s="6" customFormat="1" spans="1:33">
      <c r="A351" s="5" t="s">
        <v>1888</v>
      </c>
      <c r="B351" s="5" t="s">
        <v>1888</v>
      </c>
      <c r="C351" s="5" t="s">
        <v>1889</v>
      </c>
      <c r="D351" s="5" t="s">
        <v>1890</v>
      </c>
      <c r="E351" s="5" t="s">
        <v>36</v>
      </c>
      <c r="F351" s="5" t="s">
        <v>37</v>
      </c>
      <c r="G351" s="5" t="s">
        <v>38</v>
      </c>
      <c r="H351" s="5"/>
      <c r="I351" s="5"/>
      <c r="J351" s="5" t="s">
        <v>39</v>
      </c>
      <c r="K351" s="5" t="s">
        <v>110</v>
      </c>
      <c r="L351" s="5" t="s">
        <v>111</v>
      </c>
      <c r="M351" s="5" t="s">
        <v>112</v>
      </c>
      <c r="N351" s="5" t="s">
        <v>36</v>
      </c>
      <c r="O351" s="5">
        <v>1</v>
      </c>
      <c r="P351" s="5" t="s">
        <v>43</v>
      </c>
      <c r="Q351" s="5">
        <v>12.99</v>
      </c>
      <c r="R351" s="5">
        <v>0.78</v>
      </c>
      <c r="S351" s="5"/>
      <c r="T351" s="5"/>
      <c r="U351" s="5"/>
      <c r="V351" s="5"/>
      <c r="W351" s="5"/>
      <c r="X351" s="5"/>
      <c r="Y351" s="5" t="s">
        <v>1891</v>
      </c>
      <c r="Z351" s="5" t="s">
        <v>255</v>
      </c>
      <c r="AA351" s="5" t="s">
        <v>1892</v>
      </c>
      <c r="AB351" s="5" t="s">
        <v>46</v>
      </c>
      <c r="AC351" s="5"/>
      <c r="AD351" s="5" t="b">
        <v>0</v>
      </c>
      <c r="AE351" s="5"/>
      <c r="AF351" s="5"/>
      <c r="AG351" s="9">
        <f t="shared" si="5"/>
        <v>43269</v>
      </c>
    </row>
    <row r="352" s="6" customFormat="1" spans="1:33">
      <c r="A352" s="5" t="s">
        <v>1893</v>
      </c>
      <c r="B352" s="5" t="s">
        <v>1893</v>
      </c>
      <c r="C352" s="5" t="s">
        <v>1894</v>
      </c>
      <c r="D352" s="5" t="s">
        <v>1895</v>
      </c>
      <c r="E352" s="5" t="s">
        <v>36</v>
      </c>
      <c r="F352" s="5" t="s">
        <v>37</v>
      </c>
      <c r="G352" s="5" t="s">
        <v>38</v>
      </c>
      <c r="H352" s="5"/>
      <c r="I352" s="5"/>
      <c r="J352" s="5" t="s">
        <v>287</v>
      </c>
      <c r="K352" s="5" t="s">
        <v>1896</v>
      </c>
      <c r="L352" s="5" t="s">
        <v>1897</v>
      </c>
      <c r="M352" s="5" t="s">
        <v>1898</v>
      </c>
      <c r="N352" s="5" t="s">
        <v>36</v>
      </c>
      <c r="O352" s="5">
        <v>1</v>
      </c>
      <c r="P352" s="5" t="s">
        <v>43</v>
      </c>
      <c r="Q352" s="5">
        <v>14.98</v>
      </c>
      <c r="R352" s="5"/>
      <c r="S352" s="5"/>
      <c r="T352" s="5"/>
      <c r="U352" s="5"/>
      <c r="V352" s="5"/>
      <c r="W352" s="5"/>
      <c r="X352" s="5"/>
      <c r="Y352" s="5" t="s">
        <v>1899</v>
      </c>
      <c r="Z352" s="5" t="s">
        <v>54</v>
      </c>
      <c r="AA352" s="5" t="s">
        <v>1900</v>
      </c>
      <c r="AB352" s="5" t="s">
        <v>46</v>
      </c>
      <c r="AC352" s="5"/>
      <c r="AD352" s="5" t="b">
        <v>0</v>
      </c>
      <c r="AE352" s="5"/>
      <c r="AF352" s="5"/>
      <c r="AG352" s="9">
        <f t="shared" si="5"/>
        <v>43269</v>
      </c>
    </row>
    <row r="353" s="6" customFormat="1" spans="1:33">
      <c r="A353" s="5" t="s">
        <v>1901</v>
      </c>
      <c r="B353" s="5" t="s">
        <v>1901</v>
      </c>
      <c r="C353" s="5" t="s">
        <v>1902</v>
      </c>
      <c r="D353" s="5" t="s">
        <v>1903</v>
      </c>
      <c r="E353" s="5" t="s">
        <v>36</v>
      </c>
      <c r="F353" s="5" t="s">
        <v>37</v>
      </c>
      <c r="G353" s="5" t="s">
        <v>38</v>
      </c>
      <c r="H353" s="5"/>
      <c r="I353" s="5"/>
      <c r="J353" s="5" t="s">
        <v>39</v>
      </c>
      <c r="K353" s="5" t="s">
        <v>110</v>
      </c>
      <c r="L353" s="5" t="s">
        <v>111</v>
      </c>
      <c r="M353" s="5" t="s">
        <v>112</v>
      </c>
      <c r="N353" s="5" t="s">
        <v>36</v>
      </c>
      <c r="O353" s="5">
        <v>1</v>
      </c>
      <c r="P353" s="5" t="s">
        <v>43</v>
      </c>
      <c r="Q353" s="5">
        <v>12.99</v>
      </c>
      <c r="R353" s="5"/>
      <c r="S353" s="5"/>
      <c r="T353" s="5"/>
      <c r="U353" s="5"/>
      <c r="V353" s="5"/>
      <c r="W353" s="5"/>
      <c r="X353" s="5"/>
      <c r="Y353" s="5" t="s">
        <v>1101</v>
      </c>
      <c r="Z353" s="5" t="s">
        <v>377</v>
      </c>
      <c r="AA353" s="5" t="s">
        <v>1904</v>
      </c>
      <c r="AB353" s="5" t="s">
        <v>46</v>
      </c>
      <c r="AC353" s="5"/>
      <c r="AD353" s="5" t="b">
        <v>0</v>
      </c>
      <c r="AE353" s="5"/>
      <c r="AF353" s="5"/>
      <c r="AG353" s="9">
        <f t="shared" si="5"/>
        <v>43269</v>
      </c>
    </row>
    <row r="354" s="6" customFormat="1" spans="1:33">
      <c r="A354" s="5" t="s">
        <v>1905</v>
      </c>
      <c r="B354" s="5" t="s">
        <v>1905</v>
      </c>
      <c r="C354" s="5" t="s">
        <v>1906</v>
      </c>
      <c r="D354" s="5" t="s">
        <v>1907</v>
      </c>
      <c r="E354" s="5" t="s">
        <v>36</v>
      </c>
      <c r="F354" s="5" t="s">
        <v>37</v>
      </c>
      <c r="G354" s="5" t="s">
        <v>38</v>
      </c>
      <c r="H354" s="5"/>
      <c r="I354" s="5"/>
      <c r="J354" s="5" t="s">
        <v>39</v>
      </c>
      <c r="K354" s="5" t="s">
        <v>325</v>
      </c>
      <c r="L354" s="5" t="s">
        <v>326</v>
      </c>
      <c r="M354" s="5" t="s">
        <v>327</v>
      </c>
      <c r="N354" s="5" t="s">
        <v>36</v>
      </c>
      <c r="O354" s="5">
        <v>1</v>
      </c>
      <c r="P354" s="5" t="s">
        <v>43</v>
      </c>
      <c r="Q354" s="5">
        <v>10</v>
      </c>
      <c r="R354" s="5"/>
      <c r="S354" s="5"/>
      <c r="T354" s="5"/>
      <c r="U354" s="5"/>
      <c r="V354" s="5"/>
      <c r="W354" s="5"/>
      <c r="X354" s="5"/>
      <c r="Y354" s="5" t="s">
        <v>1908</v>
      </c>
      <c r="Z354" s="5" t="s">
        <v>218</v>
      </c>
      <c r="AA354" s="5" t="s">
        <v>1909</v>
      </c>
      <c r="AB354" s="5" t="s">
        <v>46</v>
      </c>
      <c r="AC354" s="5"/>
      <c r="AD354" s="5" t="b">
        <v>0</v>
      </c>
      <c r="AE354" s="5"/>
      <c r="AF354" s="5"/>
      <c r="AG354" s="9">
        <f t="shared" si="5"/>
        <v>43269</v>
      </c>
    </row>
    <row r="355" s="6" customFormat="1" spans="1:33">
      <c r="A355" s="5" t="s">
        <v>1910</v>
      </c>
      <c r="B355" s="5" t="s">
        <v>1910</v>
      </c>
      <c r="C355" s="5" t="s">
        <v>1911</v>
      </c>
      <c r="D355" s="5" t="s">
        <v>1912</v>
      </c>
      <c r="E355" s="5" t="s">
        <v>36</v>
      </c>
      <c r="F355" s="5" t="s">
        <v>37</v>
      </c>
      <c r="G355" s="5" t="s">
        <v>38</v>
      </c>
      <c r="H355" s="5"/>
      <c r="I355" s="5"/>
      <c r="J355" s="5" t="s">
        <v>39</v>
      </c>
      <c r="K355" s="5" t="s">
        <v>209</v>
      </c>
      <c r="L355" s="5" t="s">
        <v>210</v>
      </c>
      <c r="M355" s="5" t="s">
        <v>211</v>
      </c>
      <c r="N355" s="5" t="s">
        <v>36</v>
      </c>
      <c r="O355" s="5">
        <v>1</v>
      </c>
      <c r="P355" s="5" t="s">
        <v>43</v>
      </c>
      <c r="Q355" s="5">
        <v>13.99</v>
      </c>
      <c r="R355" s="5"/>
      <c r="S355" s="5"/>
      <c r="T355" s="5"/>
      <c r="U355" s="5"/>
      <c r="V355" s="5"/>
      <c r="W355" s="5"/>
      <c r="X355" s="5"/>
      <c r="Y355" s="5" t="s">
        <v>1913</v>
      </c>
      <c r="Z355" s="5" t="s">
        <v>596</v>
      </c>
      <c r="AA355" s="5" t="s">
        <v>1914</v>
      </c>
      <c r="AB355" s="5" t="s">
        <v>46</v>
      </c>
      <c r="AC355" s="5"/>
      <c r="AD355" s="5" t="b">
        <v>0</v>
      </c>
      <c r="AE355" s="5"/>
      <c r="AF355" s="5"/>
      <c r="AG355" s="9">
        <f t="shared" si="5"/>
        <v>43269</v>
      </c>
    </row>
    <row r="356" s="6" customFormat="1" spans="1:33">
      <c r="A356" s="5" t="s">
        <v>1915</v>
      </c>
      <c r="B356" s="5" t="s">
        <v>1915</v>
      </c>
      <c r="C356" s="5" t="s">
        <v>1916</v>
      </c>
      <c r="D356" s="5" t="s">
        <v>1917</v>
      </c>
      <c r="E356" s="5" t="s">
        <v>36</v>
      </c>
      <c r="F356" s="5" t="s">
        <v>37</v>
      </c>
      <c r="G356" s="5" t="s">
        <v>38</v>
      </c>
      <c r="H356" s="5"/>
      <c r="I356" s="5"/>
      <c r="J356" s="5" t="s">
        <v>156</v>
      </c>
      <c r="K356" s="5" t="s">
        <v>1918</v>
      </c>
      <c r="L356" s="5" t="s">
        <v>1919</v>
      </c>
      <c r="M356" s="5" t="s">
        <v>1920</v>
      </c>
      <c r="N356" s="5" t="s">
        <v>36</v>
      </c>
      <c r="O356" s="5">
        <v>2</v>
      </c>
      <c r="P356" s="5" t="s">
        <v>43</v>
      </c>
      <c r="Q356" s="5">
        <v>29.96</v>
      </c>
      <c r="R356" s="5"/>
      <c r="S356" s="5">
        <v>7.98</v>
      </c>
      <c r="T356" s="5"/>
      <c r="U356" s="5"/>
      <c r="V356" s="5"/>
      <c r="W356" s="5"/>
      <c r="X356" s="5"/>
      <c r="Y356" s="5" t="s">
        <v>1921</v>
      </c>
      <c r="Z356" s="5" t="s">
        <v>391</v>
      </c>
      <c r="AA356" s="5" t="s">
        <v>1922</v>
      </c>
      <c r="AB356" s="5" t="s">
        <v>46</v>
      </c>
      <c r="AC356" s="5"/>
      <c r="AD356" s="5" t="b">
        <v>0</v>
      </c>
      <c r="AE356" s="5"/>
      <c r="AF356" s="5"/>
      <c r="AG356" s="9">
        <f t="shared" si="5"/>
        <v>43269</v>
      </c>
    </row>
    <row r="357" s="6" customFormat="1" spans="1:33">
      <c r="A357" s="5" t="s">
        <v>1923</v>
      </c>
      <c r="B357" s="5" t="s">
        <v>1923</v>
      </c>
      <c r="C357" s="5" t="s">
        <v>1924</v>
      </c>
      <c r="D357" s="5" t="s">
        <v>1925</v>
      </c>
      <c r="E357" s="5" t="s">
        <v>36</v>
      </c>
      <c r="F357" s="5" t="s">
        <v>37</v>
      </c>
      <c r="G357" s="5" t="s">
        <v>38</v>
      </c>
      <c r="H357" s="5"/>
      <c r="I357" s="5"/>
      <c r="J357" s="5" t="s">
        <v>39</v>
      </c>
      <c r="K357" s="5" t="s">
        <v>75</v>
      </c>
      <c r="L357" s="5" t="s">
        <v>76</v>
      </c>
      <c r="M357" s="5" t="s">
        <v>77</v>
      </c>
      <c r="N357" s="5" t="s">
        <v>36</v>
      </c>
      <c r="O357" s="5">
        <v>1</v>
      </c>
      <c r="P357" s="5" t="s">
        <v>43</v>
      </c>
      <c r="Q357" s="5">
        <v>12.99</v>
      </c>
      <c r="R357" s="5"/>
      <c r="S357" s="5"/>
      <c r="T357" s="5"/>
      <c r="U357" s="5"/>
      <c r="V357" s="5"/>
      <c r="W357" s="5"/>
      <c r="X357" s="5"/>
      <c r="Y357" s="5" t="s">
        <v>1926</v>
      </c>
      <c r="Z357" s="5" t="s">
        <v>335</v>
      </c>
      <c r="AA357" s="5" t="s">
        <v>1927</v>
      </c>
      <c r="AB357" s="5" t="s">
        <v>46</v>
      </c>
      <c r="AC357" s="5"/>
      <c r="AD357" s="5" t="b">
        <v>0</v>
      </c>
      <c r="AE357" s="5"/>
      <c r="AF357" s="5"/>
      <c r="AG357" s="9">
        <f t="shared" si="5"/>
        <v>43269</v>
      </c>
    </row>
    <row r="358" s="6" customFormat="1" spans="1:33">
      <c r="A358" s="5" t="s">
        <v>1928</v>
      </c>
      <c r="B358" s="5" t="s">
        <v>1928</v>
      </c>
      <c r="C358" s="5" t="s">
        <v>1929</v>
      </c>
      <c r="D358" s="5" t="s">
        <v>1930</v>
      </c>
      <c r="E358" s="5" t="s">
        <v>36</v>
      </c>
      <c r="F358" s="5" t="s">
        <v>37</v>
      </c>
      <c r="G358" s="5" t="s">
        <v>38</v>
      </c>
      <c r="H358" s="5"/>
      <c r="I358" s="5"/>
      <c r="J358" s="5" t="s">
        <v>39</v>
      </c>
      <c r="K358" s="5" t="s">
        <v>75</v>
      </c>
      <c r="L358" s="5" t="s">
        <v>76</v>
      </c>
      <c r="M358" s="5" t="s">
        <v>77</v>
      </c>
      <c r="N358" s="5" t="s">
        <v>36</v>
      </c>
      <c r="O358" s="5">
        <v>1</v>
      </c>
      <c r="P358" s="5" t="s">
        <v>43</v>
      </c>
      <c r="Q358" s="5">
        <v>12.99</v>
      </c>
      <c r="R358" s="5"/>
      <c r="S358" s="5"/>
      <c r="T358" s="5"/>
      <c r="U358" s="5"/>
      <c r="V358" s="5"/>
      <c r="W358" s="5"/>
      <c r="X358" s="5"/>
      <c r="Y358" s="5" t="s">
        <v>1931</v>
      </c>
      <c r="Z358" s="5" t="s">
        <v>54</v>
      </c>
      <c r="AA358" s="5">
        <v>94158</v>
      </c>
      <c r="AB358" s="5" t="s">
        <v>46</v>
      </c>
      <c r="AC358" s="5"/>
      <c r="AD358" s="5" t="b">
        <v>0</v>
      </c>
      <c r="AE358" s="5"/>
      <c r="AF358" s="5"/>
      <c r="AG358" s="9">
        <f t="shared" si="5"/>
        <v>43269</v>
      </c>
    </row>
    <row r="359" s="6" customFormat="1" spans="1:33">
      <c r="A359" s="5" t="s">
        <v>1932</v>
      </c>
      <c r="B359" s="5" t="s">
        <v>1932</v>
      </c>
      <c r="C359" s="5" t="s">
        <v>1933</v>
      </c>
      <c r="D359" s="5" t="s">
        <v>1934</v>
      </c>
      <c r="E359" s="5" t="s">
        <v>36</v>
      </c>
      <c r="F359" s="5" t="s">
        <v>37</v>
      </c>
      <c r="G359" s="5" t="s">
        <v>38</v>
      </c>
      <c r="H359" s="5"/>
      <c r="I359" s="5"/>
      <c r="J359" s="5" t="s">
        <v>39</v>
      </c>
      <c r="K359" s="5" t="s">
        <v>110</v>
      </c>
      <c r="L359" s="5" t="s">
        <v>111</v>
      </c>
      <c r="M359" s="5" t="s">
        <v>112</v>
      </c>
      <c r="N359" s="5" t="s">
        <v>36</v>
      </c>
      <c r="O359" s="5">
        <v>1</v>
      </c>
      <c r="P359" s="5" t="s">
        <v>43</v>
      </c>
      <c r="Q359" s="5">
        <v>12.99</v>
      </c>
      <c r="R359" s="5"/>
      <c r="S359" s="5"/>
      <c r="T359" s="5"/>
      <c r="U359" s="5"/>
      <c r="V359" s="5"/>
      <c r="W359" s="5"/>
      <c r="X359" s="5"/>
      <c r="Y359" s="5" t="s">
        <v>1935</v>
      </c>
      <c r="Z359" s="5" t="s">
        <v>54</v>
      </c>
      <c r="AA359" s="5">
        <v>92705</v>
      </c>
      <c r="AB359" s="5" t="s">
        <v>46</v>
      </c>
      <c r="AC359" s="5"/>
      <c r="AD359" s="5" t="b">
        <v>0</v>
      </c>
      <c r="AE359" s="5"/>
      <c r="AF359" s="5"/>
      <c r="AG359" s="9">
        <f t="shared" si="5"/>
        <v>43269</v>
      </c>
    </row>
    <row r="360" s="6" customFormat="1" spans="1:33">
      <c r="A360" s="5" t="s">
        <v>1936</v>
      </c>
      <c r="B360" s="5" t="s">
        <v>1936</v>
      </c>
      <c r="C360" s="5" t="s">
        <v>1937</v>
      </c>
      <c r="D360" s="5" t="s">
        <v>1938</v>
      </c>
      <c r="E360" s="5" t="s">
        <v>36</v>
      </c>
      <c r="F360" s="5" t="s">
        <v>37</v>
      </c>
      <c r="G360" s="5" t="s">
        <v>38</v>
      </c>
      <c r="H360" s="5"/>
      <c r="I360" s="5"/>
      <c r="J360" s="5" t="s">
        <v>39</v>
      </c>
      <c r="K360" s="5" t="s">
        <v>110</v>
      </c>
      <c r="L360" s="5" t="s">
        <v>111</v>
      </c>
      <c r="M360" s="5" t="s">
        <v>112</v>
      </c>
      <c r="N360" s="5" t="s">
        <v>36</v>
      </c>
      <c r="O360" s="5">
        <v>1</v>
      </c>
      <c r="P360" s="5" t="s">
        <v>43</v>
      </c>
      <c r="Q360" s="5">
        <v>12.99</v>
      </c>
      <c r="R360" s="5">
        <v>0.78</v>
      </c>
      <c r="S360" s="5"/>
      <c r="T360" s="5"/>
      <c r="U360" s="5"/>
      <c r="V360" s="5"/>
      <c r="W360" s="5"/>
      <c r="X360" s="5"/>
      <c r="Y360" s="5" t="s">
        <v>254</v>
      </c>
      <c r="Z360" s="5" t="s">
        <v>255</v>
      </c>
      <c r="AA360" s="5" t="s">
        <v>1939</v>
      </c>
      <c r="AB360" s="5" t="s">
        <v>46</v>
      </c>
      <c r="AC360" s="5"/>
      <c r="AD360" s="5" t="b">
        <v>0</v>
      </c>
      <c r="AE360" s="5"/>
      <c r="AF360" s="5"/>
      <c r="AG360" s="9">
        <f t="shared" si="5"/>
        <v>43269</v>
      </c>
    </row>
    <row r="361" s="6" customFormat="1" spans="1:33">
      <c r="A361" s="5" t="s">
        <v>1940</v>
      </c>
      <c r="B361" s="5" t="s">
        <v>1940</v>
      </c>
      <c r="C361" s="5" t="s">
        <v>1941</v>
      </c>
      <c r="D361" s="5" t="s">
        <v>1942</v>
      </c>
      <c r="E361" s="5" t="s">
        <v>36</v>
      </c>
      <c r="F361" s="5" t="s">
        <v>37</v>
      </c>
      <c r="G361" s="5" t="s">
        <v>38</v>
      </c>
      <c r="H361" s="5"/>
      <c r="I361" s="5"/>
      <c r="J361" s="5" t="s">
        <v>39</v>
      </c>
      <c r="K361" s="5" t="s">
        <v>201</v>
      </c>
      <c r="L361" s="5" t="s">
        <v>202</v>
      </c>
      <c r="M361" s="5" t="s">
        <v>203</v>
      </c>
      <c r="N361" s="5" t="s">
        <v>36</v>
      </c>
      <c r="O361" s="5">
        <v>1</v>
      </c>
      <c r="P361" s="5" t="s">
        <v>43</v>
      </c>
      <c r="Q361" s="5">
        <v>18.99</v>
      </c>
      <c r="R361" s="5"/>
      <c r="S361" s="5"/>
      <c r="T361" s="5"/>
      <c r="U361" s="5"/>
      <c r="V361" s="5"/>
      <c r="W361" s="5">
        <v>0.95</v>
      </c>
      <c r="X361" s="5"/>
      <c r="Y361" s="5" t="s">
        <v>1943</v>
      </c>
      <c r="Z361" s="5" t="s">
        <v>247</v>
      </c>
      <c r="AA361" s="5" t="s">
        <v>1944</v>
      </c>
      <c r="AB361" s="5" t="s">
        <v>46</v>
      </c>
      <c r="AC361" s="5" t="s">
        <v>115</v>
      </c>
      <c r="AD361" s="5" t="b">
        <v>0</v>
      </c>
      <c r="AE361" s="5"/>
      <c r="AF361" s="5"/>
      <c r="AG361" s="9">
        <f t="shared" si="5"/>
        <v>43269</v>
      </c>
    </row>
    <row r="362" s="6" customFormat="1" spans="1:33">
      <c r="A362" s="5" t="s">
        <v>1940</v>
      </c>
      <c r="B362" s="5" t="s">
        <v>1940</v>
      </c>
      <c r="C362" s="5" t="s">
        <v>1941</v>
      </c>
      <c r="D362" s="5" t="s">
        <v>1942</v>
      </c>
      <c r="E362" s="5" t="s">
        <v>36</v>
      </c>
      <c r="F362" s="5" t="s">
        <v>37</v>
      </c>
      <c r="G362" s="5" t="s">
        <v>38</v>
      </c>
      <c r="H362" s="5"/>
      <c r="I362" s="5"/>
      <c r="J362" s="5" t="s">
        <v>39</v>
      </c>
      <c r="K362" s="5" t="s">
        <v>570</v>
      </c>
      <c r="L362" s="5" t="s">
        <v>578</v>
      </c>
      <c r="M362" s="5" t="s">
        <v>572</v>
      </c>
      <c r="N362" s="5" t="s">
        <v>36</v>
      </c>
      <c r="O362" s="5">
        <v>1</v>
      </c>
      <c r="P362" s="5" t="s">
        <v>43</v>
      </c>
      <c r="Q362" s="5">
        <v>24.99</v>
      </c>
      <c r="R362" s="5"/>
      <c r="S362" s="5"/>
      <c r="T362" s="5"/>
      <c r="U362" s="5"/>
      <c r="V362" s="5"/>
      <c r="W362" s="5">
        <v>1.25</v>
      </c>
      <c r="X362" s="5"/>
      <c r="Y362" s="5" t="s">
        <v>1943</v>
      </c>
      <c r="Z362" s="5" t="s">
        <v>247</v>
      </c>
      <c r="AA362" s="5" t="s">
        <v>1944</v>
      </c>
      <c r="AB362" s="5" t="s">
        <v>46</v>
      </c>
      <c r="AC362" s="5" t="s">
        <v>115</v>
      </c>
      <c r="AD362" s="5" t="b">
        <v>0</v>
      </c>
      <c r="AE362" s="5"/>
      <c r="AF362" s="5"/>
      <c r="AG362" s="9">
        <f t="shared" si="5"/>
        <v>43269</v>
      </c>
    </row>
    <row r="363" s="6" customFormat="1" spans="1:33">
      <c r="A363" s="5" t="s">
        <v>1940</v>
      </c>
      <c r="B363" s="5" t="s">
        <v>1940</v>
      </c>
      <c r="C363" s="5" t="s">
        <v>1941</v>
      </c>
      <c r="D363" s="5" t="s">
        <v>1942</v>
      </c>
      <c r="E363" s="5" t="s">
        <v>36</v>
      </c>
      <c r="F363" s="5" t="s">
        <v>37</v>
      </c>
      <c r="G363" s="5" t="s">
        <v>38</v>
      </c>
      <c r="H363" s="5"/>
      <c r="I363" s="5"/>
      <c r="J363" s="5" t="s">
        <v>39</v>
      </c>
      <c r="K363" s="5" t="s">
        <v>387</v>
      </c>
      <c r="L363" s="5" t="s">
        <v>388</v>
      </c>
      <c r="M363" s="5" t="s">
        <v>389</v>
      </c>
      <c r="N363" s="5" t="s">
        <v>36</v>
      </c>
      <c r="O363" s="5">
        <v>1</v>
      </c>
      <c r="P363" s="5" t="s">
        <v>43</v>
      </c>
      <c r="Q363" s="5">
        <v>18.99</v>
      </c>
      <c r="R363" s="5"/>
      <c r="S363" s="5"/>
      <c r="T363" s="5"/>
      <c r="U363" s="5"/>
      <c r="V363" s="5"/>
      <c r="W363" s="5">
        <v>0.95</v>
      </c>
      <c r="X363" s="5"/>
      <c r="Y363" s="5" t="s">
        <v>1943</v>
      </c>
      <c r="Z363" s="5" t="s">
        <v>247</v>
      </c>
      <c r="AA363" s="5" t="s">
        <v>1944</v>
      </c>
      <c r="AB363" s="5" t="s">
        <v>46</v>
      </c>
      <c r="AC363" s="5" t="s">
        <v>115</v>
      </c>
      <c r="AD363" s="5" t="b">
        <v>0</v>
      </c>
      <c r="AE363" s="5"/>
      <c r="AF363" s="5"/>
      <c r="AG363" s="9">
        <f t="shared" si="5"/>
        <v>43269</v>
      </c>
    </row>
    <row r="364" s="6" customFormat="1" spans="1:33">
      <c r="A364" s="5" t="s">
        <v>1945</v>
      </c>
      <c r="B364" s="5" t="s">
        <v>1945</v>
      </c>
      <c r="C364" s="5" t="s">
        <v>1946</v>
      </c>
      <c r="D364" s="5" t="s">
        <v>1947</v>
      </c>
      <c r="E364" s="5" t="s">
        <v>36</v>
      </c>
      <c r="F364" s="5" t="s">
        <v>37</v>
      </c>
      <c r="G364" s="5" t="s">
        <v>38</v>
      </c>
      <c r="H364" s="5"/>
      <c r="I364" s="5"/>
      <c r="J364" s="5" t="s">
        <v>39</v>
      </c>
      <c r="K364" s="5" t="s">
        <v>50</v>
      </c>
      <c r="L364" s="5" t="s">
        <v>51</v>
      </c>
      <c r="M364" s="5" t="s">
        <v>52</v>
      </c>
      <c r="N364" s="5" t="s">
        <v>36</v>
      </c>
      <c r="O364" s="5">
        <v>1</v>
      </c>
      <c r="P364" s="5" t="s">
        <v>43</v>
      </c>
      <c r="Q364" s="5">
        <v>18.99</v>
      </c>
      <c r="R364" s="5"/>
      <c r="S364" s="5"/>
      <c r="T364" s="5"/>
      <c r="U364" s="5"/>
      <c r="V364" s="5"/>
      <c r="W364" s="5"/>
      <c r="X364" s="5"/>
      <c r="Y364" s="5" t="s">
        <v>1948</v>
      </c>
      <c r="Z364" s="5" t="s">
        <v>923</v>
      </c>
      <c r="AA364" s="5" t="s">
        <v>1949</v>
      </c>
      <c r="AB364" s="5" t="s">
        <v>46</v>
      </c>
      <c r="AC364" s="5"/>
      <c r="AD364" s="5" t="b">
        <v>0</v>
      </c>
      <c r="AE364" s="5"/>
      <c r="AF364" s="5"/>
      <c r="AG364" s="9">
        <f t="shared" si="5"/>
        <v>43269</v>
      </c>
    </row>
    <row r="365" s="6" customFormat="1" spans="1:33">
      <c r="A365" s="5" t="s">
        <v>1950</v>
      </c>
      <c r="B365" s="5" t="s">
        <v>1950</v>
      </c>
      <c r="C365" s="5" t="s">
        <v>1951</v>
      </c>
      <c r="D365" s="5" t="s">
        <v>1952</v>
      </c>
      <c r="E365" s="5" t="s">
        <v>36</v>
      </c>
      <c r="F365" s="5" t="s">
        <v>37</v>
      </c>
      <c r="G365" s="5" t="s">
        <v>38</v>
      </c>
      <c r="H365" s="5"/>
      <c r="I365" s="5"/>
      <c r="J365" s="5" t="s">
        <v>39</v>
      </c>
      <c r="K365" s="5" t="s">
        <v>101</v>
      </c>
      <c r="L365" s="5" t="s">
        <v>102</v>
      </c>
      <c r="M365" s="5" t="s">
        <v>103</v>
      </c>
      <c r="N365" s="5" t="s">
        <v>36</v>
      </c>
      <c r="O365" s="5">
        <v>1</v>
      </c>
      <c r="P365" s="5" t="s">
        <v>43</v>
      </c>
      <c r="Q365" s="5">
        <v>12.99</v>
      </c>
      <c r="R365" s="5"/>
      <c r="S365" s="5"/>
      <c r="T365" s="5"/>
      <c r="U365" s="5"/>
      <c r="V365" s="5"/>
      <c r="W365" s="5"/>
      <c r="X365" s="5"/>
      <c r="Y365" s="5" t="s">
        <v>1953</v>
      </c>
      <c r="Z365" s="5" t="s">
        <v>1300</v>
      </c>
      <c r="AA365" s="5" t="s">
        <v>1954</v>
      </c>
      <c r="AB365" s="5" t="s">
        <v>46</v>
      </c>
      <c r="AC365" s="5"/>
      <c r="AD365" s="5" t="b">
        <v>0</v>
      </c>
      <c r="AE365" s="5"/>
      <c r="AF365" s="5"/>
      <c r="AG365" s="9">
        <f t="shared" si="5"/>
        <v>43269</v>
      </c>
    </row>
    <row r="366" s="6" customFormat="1" spans="1:33">
      <c r="A366" s="5" t="s">
        <v>1955</v>
      </c>
      <c r="B366" s="5" t="s">
        <v>1955</v>
      </c>
      <c r="C366" s="5" t="s">
        <v>1956</v>
      </c>
      <c r="D366" s="5" t="s">
        <v>1957</v>
      </c>
      <c r="E366" s="5" t="s">
        <v>36</v>
      </c>
      <c r="F366" s="5" t="s">
        <v>37</v>
      </c>
      <c r="G366" s="5" t="s">
        <v>38</v>
      </c>
      <c r="H366" s="5"/>
      <c r="I366" s="5"/>
      <c r="J366" s="5" t="s">
        <v>39</v>
      </c>
      <c r="K366" s="5" t="s">
        <v>269</v>
      </c>
      <c r="L366" s="5" t="s">
        <v>1958</v>
      </c>
      <c r="M366" s="5" t="s">
        <v>271</v>
      </c>
      <c r="N366" s="5" t="s">
        <v>36</v>
      </c>
      <c r="O366" s="5">
        <v>1</v>
      </c>
      <c r="P366" s="5" t="s">
        <v>43</v>
      </c>
      <c r="Q366" s="5">
        <v>25.99</v>
      </c>
      <c r="R366" s="5"/>
      <c r="S366" s="5"/>
      <c r="T366" s="5"/>
      <c r="U366" s="5"/>
      <c r="V366" s="5"/>
      <c r="W366" s="5"/>
      <c r="X366" s="5"/>
      <c r="Y366" s="5" t="s">
        <v>1817</v>
      </c>
      <c r="Z366" s="5" t="s">
        <v>247</v>
      </c>
      <c r="AA366" s="5">
        <v>75068</v>
      </c>
      <c r="AB366" s="5" t="s">
        <v>46</v>
      </c>
      <c r="AC366" s="5"/>
      <c r="AD366" s="5" t="b">
        <v>0</v>
      </c>
      <c r="AE366" s="5"/>
      <c r="AF366" s="5"/>
      <c r="AG366" s="9">
        <f t="shared" si="5"/>
        <v>43269</v>
      </c>
    </row>
    <row r="367" s="6" customFormat="1" spans="1:33">
      <c r="A367" s="5" t="s">
        <v>1959</v>
      </c>
      <c r="B367" s="5" t="s">
        <v>1959</v>
      </c>
      <c r="C367" s="5" t="s">
        <v>1960</v>
      </c>
      <c r="D367" s="5" t="s">
        <v>1961</v>
      </c>
      <c r="E367" s="5" t="s">
        <v>36</v>
      </c>
      <c r="F367" s="5" t="s">
        <v>37</v>
      </c>
      <c r="G367" s="5" t="s">
        <v>38</v>
      </c>
      <c r="H367" s="5"/>
      <c r="I367" s="5"/>
      <c r="J367" s="5" t="s">
        <v>39</v>
      </c>
      <c r="K367" s="5" t="s">
        <v>147</v>
      </c>
      <c r="L367" s="5" t="s">
        <v>148</v>
      </c>
      <c r="M367" s="5" t="s">
        <v>149</v>
      </c>
      <c r="N367" s="5" t="s">
        <v>36</v>
      </c>
      <c r="O367" s="5">
        <v>1</v>
      </c>
      <c r="P367" s="5" t="s">
        <v>43</v>
      </c>
      <c r="Q367" s="5">
        <v>12.98</v>
      </c>
      <c r="R367" s="5"/>
      <c r="S367" s="5"/>
      <c r="T367" s="5"/>
      <c r="U367" s="5"/>
      <c r="V367" s="5"/>
      <c r="W367" s="5"/>
      <c r="X367" s="5"/>
      <c r="Y367" s="5" t="s">
        <v>1962</v>
      </c>
      <c r="Z367" s="5" t="s">
        <v>54</v>
      </c>
      <c r="AA367" s="5" t="s">
        <v>1963</v>
      </c>
      <c r="AB367" s="5" t="s">
        <v>46</v>
      </c>
      <c r="AC367" s="5"/>
      <c r="AD367" s="5" t="b">
        <v>0</v>
      </c>
      <c r="AE367" s="5"/>
      <c r="AF367" s="5"/>
      <c r="AG367" s="9">
        <f t="shared" si="5"/>
        <v>43269</v>
      </c>
    </row>
    <row r="368" s="6" customFormat="1" spans="1:33">
      <c r="A368" s="5" t="s">
        <v>1964</v>
      </c>
      <c r="B368" s="5" t="s">
        <v>1964</v>
      </c>
      <c r="C368" s="5" t="s">
        <v>1965</v>
      </c>
      <c r="D368" s="5" t="s">
        <v>1966</v>
      </c>
      <c r="E368" s="5" t="s">
        <v>36</v>
      </c>
      <c r="F368" s="5" t="s">
        <v>37</v>
      </c>
      <c r="G368" s="5" t="s">
        <v>38</v>
      </c>
      <c r="H368" s="5"/>
      <c r="I368" s="5"/>
      <c r="J368" s="5" t="s">
        <v>128</v>
      </c>
      <c r="K368" s="5" t="s">
        <v>110</v>
      </c>
      <c r="L368" s="5" t="s">
        <v>111</v>
      </c>
      <c r="M368" s="5" t="s">
        <v>112</v>
      </c>
      <c r="N368" s="5" t="s">
        <v>36</v>
      </c>
      <c r="O368" s="5">
        <v>1</v>
      </c>
      <c r="P368" s="5" t="s">
        <v>43</v>
      </c>
      <c r="Q368" s="5">
        <v>12.99</v>
      </c>
      <c r="R368" s="5"/>
      <c r="S368" s="5">
        <v>1.32</v>
      </c>
      <c r="T368" s="5"/>
      <c r="U368" s="5"/>
      <c r="V368" s="5"/>
      <c r="W368" s="5"/>
      <c r="X368" s="5">
        <v>1.32</v>
      </c>
      <c r="Y368" s="5" t="s">
        <v>489</v>
      </c>
      <c r="Z368" s="5" t="s">
        <v>142</v>
      </c>
      <c r="AA368" s="5" t="s">
        <v>1967</v>
      </c>
      <c r="AB368" s="5" t="s">
        <v>46</v>
      </c>
      <c r="AC368" s="5" t="s">
        <v>225</v>
      </c>
      <c r="AD368" s="5" t="b">
        <v>0</v>
      </c>
      <c r="AE368" s="5"/>
      <c r="AF368" s="5"/>
      <c r="AG368" s="9">
        <f t="shared" si="5"/>
        <v>43269</v>
      </c>
    </row>
    <row r="369" s="6" customFormat="1" spans="1:33">
      <c r="A369" s="5" t="s">
        <v>1968</v>
      </c>
      <c r="B369" s="5" t="s">
        <v>1968</v>
      </c>
      <c r="C369" s="5" t="s">
        <v>1969</v>
      </c>
      <c r="D369" s="5" t="s">
        <v>1970</v>
      </c>
      <c r="E369" s="5" t="s">
        <v>36</v>
      </c>
      <c r="F369" s="5" t="s">
        <v>37</v>
      </c>
      <c r="G369" s="5" t="s">
        <v>38</v>
      </c>
      <c r="H369" s="5"/>
      <c r="I369" s="5"/>
      <c r="J369" s="5" t="s">
        <v>39</v>
      </c>
      <c r="K369" s="5" t="s">
        <v>101</v>
      </c>
      <c r="L369" s="5" t="s">
        <v>181</v>
      </c>
      <c r="M369" s="5" t="s">
        <v>103</v>
      </c>
      <c r="N369" s="5" t="s">
        <v>36</v>
      </c>
      <c r="O369" s="5">
        <v>1</v>
      </c>
      <c r="P369" s="5" t="s">
        <v>43</v>
      </c>
      <c r="Q369" s="5">
        <v>12.99</v>
      </c>
      <c r="R369" s="5"/>
      <c r="S369" s="5"/>
      <c r="T369" s="5"/>
      <c r="U369" s="5"/>
      <c r="V369" s="5"/>
      <c r="W369" s="5">
        <v>0.65</v>
      </c>
      <c r="X369" s="5"/>
      <c r="Y369" s="5" t="s">
        <v>1971</v>
      </c>
      <c r="Z369" s="5" t="s">
        <v>329</v>
      </c>
      <c r="AA369" s="5" t="s">
        <v>1972</v>
      </c>
      <c r="AB369" s="5" t="s">
        <v>46</v>
      </c>
      <c r="AC369" s="5" t="s">
        <v>115</v>
      </c>
      <c r="AD369" s="5" t="b">
        <v>0</v>
      </c>
      <c r="AE369" s="5"/>
      <c r="AF369" s="5"/>
      <c r="AG369" s="9">
        <f t="shared" si="5"/>
        <v>43269</v>
      </c>
    </row>
    <row r="370" s="6" customFormat="1" spans="1:33">
      <c r="A370" s="5" t="s">
        <v>1968</v>
      </c>
      <c r="B370" s="5" t="s">
        <v>1968</v>
      </c>
      <c r="C370" s="5" t="s">
        <v>1969</v>
      </c>
      <c r="D370" s="5" t="s">
        <v>1970</v>
      </c>
      <c r="E370" s="5" t="s">
        <v>36</v>
      </c>
      <c r="F370" s="5" t="s">
        <v>37</v>
      </c>
      <c r="G370" s="5" t="s">
        <v>38</v>
      </c>
      <c r="H370" s="5"/>
      <c r="I370" s="5"/>
      <c r="J370" s="5" t="s">
        <v>39</v>
      </c>
      <c r="K370" s="5" t="s">
        <v>110</v>
      </c>
      <c r="L370" s="5" t="s">
        <v>111</v>
      </c>
      <c r="M370" s="5" t="s">
        <v>112</v>
      </c>
      <c r="N370" s="5" t="s">
        <v>36</v>
      </c>
      <c r="O370" s="5">
        <v>2</v>
      </c>
      <c r="P370" s="5" t="s">
        <v>43</v>
      </c>
      <c r="Q370" s="5">
        <v>25.98</v>
      </c>
      <c r="R370" s="5"/>
      <c r="S370" s="5"/>
      <c r="T370" s="5"/>
      <c r="U370" s="5"/>
      <c r="V370" s="5"/>
      <c r="W370" s="5">
        <v>1.3</v>
      </c>
      <c r="X370" s="5"/>
      <c r="Y370" s="5" t="s">
        <v>1971</v>
      </c>
      <c r="Z370" s="5" t="s">
        <v>329</v>
      </c>
      <c r="AA370" s="5" t="s">
        <v>1972</v>
      </c>
      <c r="AB370" s="5" t="s">
        <v>46</v>
      </c>
      <c r="AC370" s="5" t="s">
        <v>115</v>
      </c>
      <c r="AD370" s="5" t="b">
        <v>0</v>
      </c>
      <c r="AE370" s="5"/>
      <c r="AF370" s="5"/>
      <c r="AG370" s="9">
        <f t="shared" si="5"/>
        <v>43269</v>
      </c>
    </row>
    <row r="371" s="6" customFormat="1" spans="1:33">
      <c r="A371" s="5" t="s">
        <v>1973</v>
      </c>
      <c r="B371" s="5" t="s">
        <v>1973</v>
      </c>
      <c r="C371" s="5" t="s">
        <v>1974</v>
      </c>
      <c r="D371" s="5" t="s">
        <v>1975</v>
      </c>
      <c r="E371" s="5" t="s">
        <v>36</v>
      </c>
      <c r="F371" s="5" t="s">
        <v>37</v>
      </c>
      <c r="G371" s="5" t="s">
        <v>38</v>
      </c>
      <c r="H371" s="5"/>
      <c r="I371" s="5"/>
      <c r="J371" s="5" t="s">
        <v>39</v>
      </c>
      <c r="K371" s="5" t="s">
        <v>50</v>
      </c>
      <c r="L371" s="5" t="s">
        <v>51</v>
      </c>
      <c r="M371" s="5" t="s">
        <v>52</v>
      </c>
      <c r="N371" s="5" t="s">
        <v>36</v>
      </c>
      <c r="O371" s="5">
        <v>1</v>
      </c>
      <c r="P371" s="5" t="s">
        <v>43</v>
      </c>
      <c r="Q371" s="5">
        <v>18.99</v>
      </c>
      <c r="R371" s="5"/>
      <c r="S371" s="5"/>
      <c r="T371" s="5"/>
      <c r="U371" s="5"/>
      <c r="V371" s="5"/>
      <c r="W371" s="5"/>
      <c r="X371" s="5"/>
      <c r="Y371" s="5" t="s">
        <v>141</v>
      </c>
      <c r="Z371" s="5" t="s">
        <v>142</v>
      </c>
      <c r="AA371" s="5" t="s">
        <v>1976</v>
      </c>
      <c r="AB371" s="5" t="s">
        <v>46</v>
      </c>
      <c r="AC371" s="5"/>
      <c r="AD371" s="5" t="b">
        <v>0</v>
      </c>
      <c r="AE371" s="5"/>
      <c r="AF371" s="5"/>
      <c r="AG371" s="9">
        <f t="shared" si="5"/>
        <v>43269</v>
      </c>
    </row>
    <row r="372" s="6" customFormat="1" spans="1:33">
      <c r="A372" s="5" t="s">
        <v>1977</v>
      </c>
      <c r="B372" s="5" t="s">
        <v>1977</v>
      </c>
      <c r="C372" s="5" t="s">
        <v>1978</v>
      </c>
      <c r="D372" s="5" t="s">
        <v>1979</v>
      </c>
      <c r="E372" s="5" t="s">
        <v>36</v>
      </c>
      <c r="F372" s="5" t="s">
        <v>37</v>
      </c>
      <c r="G372" s="5" t="s">
        <v>38</v>
      </c>
      <c r="H372" s="5"/>
      <c r="I372" s="5"/>
      <c r="J372" s="5" t="s">
        <v>39</v>
      </c>
      <c r="K372" s="5" t="s">
        <v>365</v>
      </c>
      <c r="L372" s="5" t="s">
        <v>366</v>
      </c>
      <c r="M372" s="5" t="s">
        <v>367</v>
      </c>
      <c r="N372" s="5" t="s">
        <v>36</v>
      </c>
      <c r="O372" s="5">
        <v>1</v>
      </c>
      <c r="P372" s="5" t="s">
        <v>43</v>
      </c>
      <c r="Q372" s="5">
        <v>18.99</v>
      </c>
      <c r="R372" s="5"/>
      <c r="S372" s="5"/>
      <c r="T372" s="5"/>
      <c r="U372" s="5"/>
      <c r="V372" s="5"/>
      <c r="W372" s="5"/>
      <c r="X372" s="5"/>
      <c r="Y372" s="5" t="s">
        <v>1980</v>
      </c>
      <c r="Z372" s="5" t="s">
        <v>54</v>
      </c>
      <c r="AA372" s="5" t="s">
        <v>1981</v>
      </c>
      <c r="AB372" s="5" t="s">
        <v>46</v>
      </c>
      <c r="AC372" s="5"/>
      <c r="AD372" s="5" t="b">
        <v>0</v>
      </c>
      <c r="AE372" s="5"/>
      <c r="AF372" s="5"/>
      <c r="AG372" s="9">
        <f t="shared" si="5"/>
        <v>43269</v>
      </c>
    </row>
    <row r="373" s="6" customFormat="1" spans="1:33">
      <c r="A373" s="5" t="s">
        <v>1982</v>
      </c>
      <c r="B373" s="5" t="s">
        <v>1982</v>
      </c>
      <c r="C373" s="5" t="s">
        <v>1983</v>
      </c>
      <c r="D373" s="5" t="s">
        <v>1984</v>
      </c>
      <c r="E373" s="5" t="s">
        <v>36</v>
      </c>
      <c r="F373" s="5" t="s">
        <v>37</v>
      </c>
      <c r="G373" s="5" t="s">
        <v>38</v>
      </c>
      <c r="H373" s="5"/>
      <c r="I373" s="5"/>
      <c r="J373" s="5" t="s">
        <v>39</v>
      </c>
      <c r="K373" s="5" t="s">
        <v>459</v>
      </c>
      <c r="L373" s="5" t="s">
        <v>460</v>
      </c>
      <c r="M373" s="5" t="s">
        <v>461</v>
      </c>
      <c r="N373" s="5" t="s">
        <v>36</v>
      </c>
      <c r="O373" s="5">
        <v>1</v>
      </c>
      <c r="P373" s="5" t="s">
        <v>43</v>
      </c>
      <c r="Q373" s="5">
        <v>15.98</v>
      </c>
      <c r="R373" s="5"/>
      <c r="S373" s="5"/>
      <c r="T373" s="5"/>
      <c r="U373" s="5"/>
      <c r="V373" s="5"/>
      <c r="W373" s="5"/>
      <c r="X373" s="5"/>
      <c r="Y373" s="5" t="s">
        <v>1985</v>
      </c>
      <c r="Z373" s="5" t="s">
        <v>247</v>
      </c>
      <c r="AA373" s="5" t="s">
        <v>1986</v>
      </c>
      <c r="AB373" s="5" t="s">
        <v>46</v>
      </c>
      <c r="AC373" s="5"/>
      <c r="AD373" s="5" t="b">
        <v>0</v>
      </c>
      <c r="AE373" s="5"/>
      <c r="AF373" s="5"/>
      <c r="AG373" s="9">
        <f t="shared" si="5"/>
        <v>43269</v>
      </c>
    </row>
    <row r="374" s="6" customFormat="1" spans="1:33">
      <c r="A374" s="5" t="s">
        <v>1987</v>
      </c>
      <c r="B374" s="5" t="s">
        <v>1987</v>
      </c>
      <c r="C374" s="5" t="s">
        <v>1988</v>
      </c>
      <c r="D374" s="5" t="s">
        <v>1989</v>
      </c>
      <c r="E374" s="5" t="s">
        <v>36</v>
      </c>
      <c r="F374" s="5" t="s">
        <v>37</v>
      </c>
      <c r="G374" s="5" t="s">
        <v>38</v>
      </c>
      <c r="H374" s="5"/>
      <c r="I374" s="5"/>
      <c r="J374" s="5" t="s">
        <v>39</v>
      </c>
      <c r="K374" s="5" t="s">
        <v>101</v>
      </c>
      <c r="L374" s="5" t="s">
        <v>102</v>
      </c>
      <c r="M374" s="5" t="s">
        <v>103</v>
      </c>
      <c r="N374" s="5" t="s">
        <v>36</v>
      </c>
      <c r="O374" s="5">
        <v>1</v>
      </c>
      <c r="P374" s="5" t="s">
        <v>43</v>
      </c>
      <c r="Q374" s="5">
        <v>12.99</v>
      </c>
      <c r="R374" s="5"/>
      <c r="S374" s="5"/>
      <c r="T374" s="5"/>
      <c r="U374" s="5"/>
      <c r="V374" s="5"/>
      <c r="W374" s="5"/>
      <c r="X374" s="5"/>
      <c r="Y374" s="5" t="s">
        <v>1990</v>
      </c>
      <c r="Z374" s="5" t="s">
        <v>391</v>
      </c>
      <c r="AA374" s="5">
        <v>45227</v>
      </c>
      <c r="AB374" s="5" t="s">
        <v>46</v>
      </c>
      <c r="AC374" s="5"/>
      <c r="AD374" s="5" t="b">
        <v>0</v>
      </c>
      <c r="AE374" s="5"/>
      <c r="AF374" s="5"/>
      <c r="AG374" s="9">
        <f t="shared" si="5"/>
        <v>43269</v>
      </c>
    </row>
    <row r="375" s="6" customFormat="1" spans="1:33">
      <c r="A375" s="5" t="s">
        <v>1991</v>
      </c>
      <c r="B375" s="5" t="s">
        <v>1991</v>
      </c>
      <c r="C375" s="5" t="s">
        <v>1992</v>
      </c>
      <c r="D375" s="5" t="s">
        <v>1993</v>
      </c>
      <c r="E375" s="5" t="s">
        <v>36</v>
      </c>
      <c r="F375" s="5" t="s">
        <v>37</v>
      </c>
      <c r="G375" s="5" t="s">
        <v>38</v>
      </c>
      <c r="H375" s="5"/>
      <c r="I375" s="5"/>
      <c r="J375" s="5" t="s">
        <v>39</v>
      </c>
      <c r="K375" s="5" t="s">
        <v>75</v>
      </c>
      <c r="L375" s="5" t="s">
        <v>76</v>
      </c>
      <c r="M375" s="5" t="s">
        <v>77</v>
      </c>
      <c r="N375" s="5" t="s">
        <v>36</v>
      </c>
      <c r="O375" s="5">
        <v>2</v>
      </c>
      <c r="P375" s="5" t="s">
        <v>43</v>
      </c>
      <c r="Q375" s="5">
        <v>25.98</v>
      </c>
      <c r="R375" s="5"/>
      <c r="S375" s="5"/>
      <c r="T375" s="5"/>
      <c r="U375" s="5"/>
      <c r="V375" s="5"/>
      <c r="W375" s="5">
        <v>1.3</v>
      </c>
      <c r="X375" s="5"/>
      <c r="Y375" s="5" t="s">
        <v>1994</v>
      </c>
      <c r="Z375" s="5" t="s">
        <v>105</v>
      </c>
      <c r="AA375" s="5" t="s">
        <v>1995</v>
      </c>
      <c r="AB375" s="5" t="s">
        <v>46</v>
      </c>
      <c r="AC375" s="5" t="s">
        <v>115</v>
      </c>
      <c r="AD375" s="5" t="b">
        <v>0</v>
      </c>
      <c r="AE375" s="5"/>
      <c r="AF375" s="5"/>
      <c r="AG375" s="9">
        <f t="shared" si="5"/>
        <v>43269</v>
      </c>
    </row>
    <row r="376" s="6" customFormat="1" spans="1:33">
      <c r="A376" s="5" t="s">
        <v>1996</v>
      </c>
      <c r="B376" s="5" t="s">
        <v>1996</v>
      </c>
      <c r="C376" s="5" t="s">
        <v>1997</v>
      </c>
      <c r="D376" s="5" t="s">
        <v>1998</v>
      </c>
      <c r="E376" s="5" t="s">
        <v>36</v>
      </c>
      <c r="F376" s="5" t="s">
        <v>37</v>
      </c>
      <c r="G376" s="5" t="s">
        <v>38</v>
      </c>
      <c r="H376" s="5"/>
      <c r="I376" s="5"/>
      <c r="J376" s="5" t="s">
        <v>39</v>
      </c>
      <c r="K376" s="5" t="s">
        <v>1999</v>
      </c>
      <c r="L376" s="5" t="s">
        <v>2000</v>
      </c>
      <c r="M376" s="5" t="s">
        <v>2001</v>
      </c>
      <c r="N376" s="5" t="s">
        <v>36</v>
      </c>
      <c r="O376" s="5">
        <v>1</v>
      </c>
      <c r="P376" s="5" t="s">
        <v>43</v>
      </c>
      <c r="Q376" s="5">
        <v>18.99</v>
      </c>
      <c r="R376" s="5"/>
      <c r="S376" s="5"/>
      <c r="T376" s="5"/>
      <c r="U376" s="5"/>
      <c r="V376" s="5"/>
      <c r="W376" s="5"/>
      <c r="X376" s="5"/>
      <c r="Y376" s="5" t="s">
        <v>1854</v>
      </c>
      <c r="Z376" s="5" t="s">
        <v>142</v>
      </c>
      <c r="AA376" s="5" t="s">
        <v>2002</v>
      </c>
      <c r="AB376" s="5" t="s">
        <v>46</v>
      </c>
      <c r="AC376" s="5"/>
      <c r="AD376" s="5" t="b">
        <v>0</v>
      </c>
      <c r="AE376" s="5"/>
      <c r="AF376" s="5"/>
      <c r="AG376" s="9">
        <f t="shared" si="5"/>
        <v>43269</v>
      </c>
    </row>
    <row r="377" s="6" customFormat="1" spans="1:33">
      <c r="A377" s="5" t="s">
        <v>2003</v>
      </c>
      <c r="B377" s="5" t="s">
        <v>2003</v>
      </c>
      <c r="C377" s="5" t="s">
        <v>2004</v>
      </c>
      <c r="D377" s="5" t="s">
        <v>2005</v>
      </c>
      <c r="E377" s="5" t="s">
        <v>36</v>
      </c>
      <c r="F377" s="5" t="s">
        <v>37</v>
      </c>
      <c r="G377" s="5" t="s">
        <v>38</v>
      </c>
      <c r="H377" s="5"/>
      <c r="I377" s="5"/>
      <c r="J377" s="5" t="s">
        <v>39</v>
      </c>
      <c r="K377" s="5" t="s">
        <v>243</v>
      </c>
      <c r="L377" s="5" t="s">
        <v>244</v>
      </c>
      <c r="M377" s="5" t="s">
        <v>245</v>
      </c>
      <c r="N377" s="5" t="s">
        <v>36</v>
      </c>
      <c r="O377" s="5">
        <v>1</v>
      </c>
      <c r="P377" s="5" t="s">
        <v>43</v>
      </c>
      <c r="Q377" s="5">
        <v>18.99</v>
      </c>
      <c r="R377" s="5"/>
      <c r="S377" s="5"/>
      <c r="T377" s="5"/>
      <c r="U377" s="5"/>
      <c r="V377" s="5"/>
      <c r="W377" s="5"/>
      <c r="X377" s="5"/>
      <c r="Y377" s="5" t="s">
        <v>2006</v>
      </c>
      <c r="Z377" s="5" t="s">
        <v>54</v>
      </c>
      <c r="AA377" s="5" t="s">
        <v>2007</v>
      </c>
      <c r="AB377" s="5" t="s">
        <v>46</v>
      </c>
      <c r="AC377" s="5"/>
      <c r="AD377" s="5" t="b">
        <v>0</v>
      </c>
      <c r="AE377" s="5"/>
      <c r="AF377" s="5"/>
      <c r="AG377" s="9">
        <f t="shared" si="5"/>
        <v>43269</v>
      </c>
    </row>
    <row r="378" s="6" customFormat="1" spans="1:33">
      <c r="A378" s="5" t="s">
        <v>2008</v>
      </c>
      <c r="B378" s="5" t="s">
        <v>2008</v>
      </c>
      <c r="C378" s="5" t="s">
        <v>2009</v>
      </c>
      <c r="D378" s="5" t="s">
        <v>2010</v>
      </c>
      <c r="E378" s="5" t="s">
        <v>36</v>
      </c>
      <c r="F378" s="5" t="s">
        <v>37</v>
      </c>
      <c r="G378" s="5" t="s">
        <v>38</v>
      </c>
      <c r="H378" s="5"/>
      <c r="I378" s="5"/>
      <c r="J378" s="5" t="s">
        <v>39</v>
      </c>
      <c r="K378" s="5" t="s">
        <v>83</v>
      </c>
      <c r="L378" s="5" t="s">
        <v>84</v>
      </c>
      <c r="M378" s="5" t="s">
        <v>85</v>
      </c>
      <c r="N378" s="5" t="s">
        <v>36</v>
      </c>
      <c r="O378" s="5">
        <v>1</v>
      </c>
      <c r="P378" s="5" t="s">
        <v>43</v>
      </c>
      <c r="Q378" s="5">
        <v>12.99</v>
      </c>
      <c r="R378" s="5"/>
      <c r="S378" s="5"/>
      <c r="T378" s="5"/>
      <c r="U378" s="5"/>
      <c r="V378" s="5"/>
      <c r="W378" s="5"/>
      <c r="X378" s="5"/>
      <c r="Y378" s="5" t="s">
        <v>2011</v>
      </c>
      <c r="Z378" s="5" t="s">
        <v>505</v>
      </c>
      <c r="AA378" s="5" t="s">
        <v>2012</v>
      </c>
      <c r="AB378" s="5" t="s">
        <v>46</v>
      </c>
      <c r="AC378" s="5"/>
      <c r="AD378" s="5" t="b">
        <v>0</v>
      </c>
      <c r="AE378" s="5"/>
      <c r="AF378" s="5"/>
      <c r="AG378" s="9">
        <f t="shared" si="5"/>
        <v>43269</v>
      </c>
    </row>
    <row r="379" s="6" customFormat="1" spans="1:33">
      <c r="A379" s="5" t="s">
        <v>2013</v>
      </c>
      <c r="B379" s="5" t="s">
        <v>2013</v>
      </c>
      <c r="C379" s="5" t="s">
        <v>2014</v>
      </c>
      <c r="D379" s="5" t="s">
        <v>2015</v>
      </c>
      <c r="E379" s="5" t="s">
        <v>36</v>
      </c>
      <c r="F379" s="5" t="s">
        <v>37</v>
      </c>
      <c r="G379" s="5" t="s">
        <v>38</v>
      </c>
      <c r="H379" s="5"/>
      <c r="I379" s="5"/>
      <c r="J379" s="5" t="s">
        <v>39</v>
      </c>
      <c r="K379" s="5" t="s">
        <v>243</v>
      </c>
      <c r="L379" s="5" t="s">
        <v>244</v>
      </c>
      <c r="M379" s="5" t="s">
        <v>245</v>
      </c>
      <c r="N379" s="5" t="s">
        <v>36</v>
      </c>
      <c r="O379" s="5">
        <v>1</v>
      </c>
      <c r="P379" s="5" t="s">
        <v>43</v>
      </c>
      <c r="Q379" s="5">
        <v>18.99</v>
      </c>
      <c r="R379" s="5"/>
      <c r="S379" s="5"/>
      <c r="T379" s="5"/>
      <c r="U379" s="5"/>
      <c r="V379" s="5"/>
      <c r="W379" s="5"/>
      <c r="X379" s="5"/>
      <c r="Y379" s="5" t="s">
        <v>1674</v>
      </c>
      <c r="Z379" s="5" t="s">
        <v>391</v>
      </c>
      <c r="AA379" s="5" t="s">
        <v>2016</v>
      </c>
      <c r="AB379" s="5" t="s">
        <v>46</v>
      </c>
      <c r="AC379" s="5"/>
      <c r="AD379" s="5" t="b">
        <v>0</v>
      </c>
      <c r="AE379" s="5"/>
      <c r="AF379" s="5"/>
      <c r="AG379" s="9">
        <f t="shared" si="5"/>
        <v>43269</v>
      </c>
    </row>
    <row r="380" s="6" customFormat="1" spans="1:33">
      <c r="A380" s="5" t="s">
        <v>2017</v>
      </c>
      <c r="B380" s="5" t="s">
        <v>2017</v>
      </c>
      <c r="C380" s="5" t="s">
        <v>2018</v>
      </c>
      <c r="D380" s="5" t="s">
        <v>2019</v>
      </c>
      <c r="E380" s="5" t="s">
        <v>36</v>
      </c>
      <c r="F380" s="5" t="s">
        <v>37</v>
      </c>
      <c r="G380" s="5" t="s">
        <v>38</v>
      </c>
      <c r="H380" s="5"/>
      <c r="I380" s="5"/>
      <c r="J380" s="5" t="s">
        <v>156</v>
      </c>
      <c r="K380" s="5" t="s">
        <v>75</v>
      </c>
      <c r="L380" s="5" t="s">
        <v>76</v>
      </c>
      <c r="M380" s="5" t="s">
        <v>77</v>
      </c>
      <c r="N380" s="5" t="s">
        <v>36</v>
      </c>
      <c r="O380" s="5">
        <v>1</v>
      </c>
      <c r="P380" s="5" t="s">
        <v>43</v>
      </c>
      <c r="Q380" s="5">
        <v>12.99</v>
      </c>
      <c r="R380" s="5"/>
      <c r="S380" s="5">
        <v>3.99</v>
      </c>
      <c r="T380" s="5"/>
      <c r="U380" s="5"/>
      <c r="V380" s="5"/>
      <c r="W380" s="5"/>
      <c r="X380" s="5"/>
      <c r="Y380" s="5" t="s">
        <v>2020</v>
      </c>
      <c r="Z380" s="5" t="s">
        <v>54</v>
      </c>
      <c r="AA380" s="5" t="s">
        <v>2021</v>
      </c>
      <c r="AB380" s="5" t="s">
        <v>46</v>
      </c>
      <c r="AC380" s="5"/>
      <c r="AD380" s="5" t="b">
        <v>0</v>
      </c>
      <c r="AE380" s="5"/>
      <c r="AF380" s="5"/>
      <c r="AG380" s="9">
        <f t="shared" si="5"/>
        <v>43269</v>
      </c>
    </row>
    <row r="381" s="6" customFormat="1" spans="1:33">
      <c r="A381" s="5" t="s">
        <v>2022</v>
      </c>
      <c r="B381" s="5" t="s">
        <v>2022</v>
      </c>
      <c r="C381" s="5" t="s">
        <v>2023</v>
      </c>
      <c r="D381" s="5" t="s">
        <v>2024</v>
      </c>
      <c r="E381" s="5" t="s">
        <v>36</v>
      </c>
      <c r="F381" s="5" t="s">
        <v>37</v>
      </c>
      <c r="G381" s="5" t="s">
        <v>38</v>
      </c>
      <c r="H381" s="5"/>
      <c r="I381" s="5"/>
      <c r="J381" s="5" t="s">
        <v>39</v>
      </c>
      <c r="K381" s="5" t="s">
        <v>110</v>
      </c>
      <c r="L381" s="5" t="s">
        <v>111</v>
      </c>
      <c r="M381" s="5" t="s">
        <v>112</v>
      </c>
      <c r="N381" s="5" t="s">
        <v>36</v>
      </c>
      <c r="O381" s="5">
        <v>1</v>
      </c>
      <c r="P381" s="5" t="s">
        <v>43</v>
      </c>
      <c r="Q381" s="5">
        <v>12.99</v>
      </c>
      <c r="R381" s="5"/>
      <c r="S381" s="5"/>
      <c r="T381" s="5"/>
      <c r="U381" s="5"/>
      <c r="V381" s="5"/>
      <c r="W381" s="5"/>
      <c r="X381" s="5"/>
      <c r="Y381" s="5" t="s">
        <v>2025</v>
      </c>
      <c r="Z381" s="5" t="s">
        <v>264</v>
      </c>
      <c r="AA381" s="5" t="s">
        <v>2026</v>
      </c>
      <c r="AB381" s="5" t="s">
        <v>46</v>
      </c>
      <c r="AC381" s="5"/>
      <c r="AD381" s="5" t="b">
        <v>0</v>
      </c>
      <c r="AE381" s="5"/>
      <c r="AF381" s="5"/>
      <c r="AG381" s="9">
        <f t="shared" si="5"/>
        <v>43269</v>
      </c>
    </row>
    <row r="382" s="6" customFormat="1" spans="1:33">
      <c r="A382" s="5" t="s">
        <v>2027</v>
      </c>
      <c r="B382" s="5" t="s">
        <v>2027</v>
      </c>
      <c r="C382" s="5" t="s">
        <v>2028</v>
      </c>
      <c r="D382" s="5" t="s">
        <v>2029</v>
      </c>
      <c r="E382" s="5" t="s">
        <v>36</v>
      </c>
      <c r="F382" s="5" t="s">
        <v>37</v>
      </c>
      <c r="G382" s="5" t="s">
        <v>38</v>
      </c>
      <c r="H382" s="5"/>
      <c r="I382" s="5"/>
      <c r="J382" s="5" t="s">
        <v>39</v>
      </c>
      <c r="K382" s="5" t="s">
        <v>75</v>
      </c>
      <c r="L382" s="5" t="s">
        <v>76</v>
      </c>
      <c r="M382" s="5" t="s">
        <v>77</v>
      </c>
      <c r="N382" s="5" t="s">
        <v>36</v>
      </c>
      <c r="O382" s="5">
        <v>1</v>
      </c>
      <c r="P382" s="5" t="s">
        <v>43</v>
      </c>
      <c r="Q382" s="5">
        <v>12.99</v>
      </c>
      <c r="R382" s="5"/>
      <c r="S382" s="5"/>
      <c r="T382" s="5"/>
      <c r="U382" s="5"/>
      <c r="V382" s="5"/>
      <c r="W382" s="5"/>
      <c r="X382" s="5"/>
      <c r="Y382" s="5" t="s">
        <v>1571</v>
      </c>
      <c r="Z382" s="5" t="s">
        <v>54</v>
      </c>
      <c r="AA382" s="5" t="s">
        <v>2030</v>
      </c>
      <c r="AB382" s="5" t="s">
        <v>46</v>
      </c>
      <c r="AC382" s="5"/>
      <c r="AD382" s="5" t="b">
        <v>0</v>
      </c>
      <c r="AE382" s="5"/>
      <c r="AF382" s="5"/>
      <c r="AG382" s="9">
        <f t="shared" si="5"/>
        <v>43269</v>
      </c>
    </row>
    <row r="383" s="6" customFormat="1" spans="1:33">
      <c r="A383" s="5" t="s">
        <v>2031</v>
      </c>
      <c r="B383" s="5" t="s">
        <v>2031</v>
      </c>
      <c r="C383" s="5" t="s">
        <v>2032</v>
      </c>
      <c r="D383" s="5" t="s">
        <v>2033</v>
      </c>
      <c r="E383" s="5" t="s">
        <v>36</v>
      </c>
      <c r="F383" s="5" t="s">
        <v>37</v>
      </c>
      <c r="G383" s="5" t="s">
        <v>38</v>
      </c>
      <c r="H383" s="5"/>
      <c r="I383" s="5"/>
      <c r="J383" s="5" t="s">
        <v>39</v>
      </c>
      <c r="K383" s="5" t="s">
        <v>75</v>
      </c>
      <c r="L383" s="5" t="s">
        <v>76</v>
      </c>
      <c r="M383" s="5" t="s">
        <v>77</v>
      </c>
      <c r="N383" s="5" t="s">
        <v>36</v>
      </c>
      <c r="O383" s="5">
        <v>1</v>
      </c>
      <c r="P383" s="5" t="s">
        <v>43</v>
      </c>
      <c r="Q383" s="5">
        <v>12.99</v>
      </c>
      <c r="R383" s="5"/>
      <c r="S383" s="5">
        <v>4.21</v>
      </c>
      <c r="T383" s="5"/>
      <c r="U383" s="5"/>
      <c r="V383" s="5"/>
      <c r="W383" s="5"/>
      <c r="X383" s="5"/>
      <c r="Y383" s="5" t="s">
        <v>2034</v>
      </c>
      <c r="Z383" s="5" t="s">
        <v>218</v>
      </c>
      <c r="AA383" s="5" t="s">
        <v>2035</v>
      </c>
      <c r="AB383" s="5" t="s">
        <v>46</v>
      </c>
      <c r="AC383" s="5"/>
      <c r="AD383" s="5" t="b">
        <v>0</v>
      </c>
      <c r="AE383" s="5"/>
      <c r="AF383" s="5"/>
      <c r="AG383" s="9">
        <f t="shared" si="5"/>
        <v>43269</v>
      </c>
    </row>
    <row r="384" s="6" customFormat="1" spans="1:33">
      <c r="A384" s="5" t="s">
        <v>2036</v>
      </c>
      <c r="B384" s="5" t="s">
        <v>2036</v>
      </c>
      <c r="C384" s="5" t="s">
        <v>2037</v>
      </c>
      <c r="D384" s="5" t="s">
        <v>2038</v>
      </c>
      <c r="E384" s="5" t="s">
        <v>36</v>
      </c>
      <c r="F384" s="5" t="s">
        <v>37</v>
      </c>
      <c r="G384" s="5" t="s">
        <v>38</v>
      </c>
      <c r="H384" s="5"/>
      <c r="I384" s="5"/>
      <c r="J384" s="5" t="s">
        <v>287</v>
      </c>
      <c r="K384" s="5" t="s">
        <v>147</v>
      </c>
      <c r="L384" s="5" t="s">
        <v>148</v>
      </c>
      <c r="M384" s="5" t="s">
        <v>149</v>
      </c>
      <c r="N384" s="5" t="s">
        <v>36</v>
      </c>
      <c r="O384" s="5">
        <v>1</v>
      </c>
      <c r="P384" s="5" t="s">
        <v>43</v>
      </c>
      <c r="Q384" s="5">
        <v>12.98</v>
      </c>
      <c r="R384" s="5"/>
      <c r="S384" s="5">
        <v>3</v>
      </c>
      <c r="T384" s="5"/>
      <c r="U384" s="5"/>
      <c r="V384" s="5"/>
      <c r="W384" s="5"/>
      <c r="X384" s="5">
        <v>3</v>
      </c>
      <c r="Y384" s="5" t="s">
        <v>2039</v>
      </c>
      <c r="Z384" s="5" t="s">
        <v>142</v>
      </c>
      <c r="AA384" s="5" t="s">
        <v>2040</v>
      </c>
      <c r="AB384" s="5" t="s">
        <v>46</v>
      </c>
      <c r="AC384" s="5"/>
      <c r="AD384" s="5" t="b">
        <v>0</v>
      </c>
      <c r="AE384" s="5"/>
      <c r="AF384" s="5"/>
      <c r="AG384" s="9">
        <f t="shared" si="5"/>
        <v>43269</v>
      </c>
    </row>
    <row r="385" s="6" customFormat="1" spans="1:33">
      <c r="A385" s="5" t="s">
        <v>2041</v>
      </c>
      <c r="B385" s="5" t="s">
        <v>2041</v>
      </c>
      <c r="C385" s="5" t="s">
        <v>2042</v>
      </c>
      <c r="D385" s="5" t="s">
        <v>2043</v>
      </c>
      <c r="E385" s="5" t="s">
        <v>36</v>
      </c>
      <c r="F385" s="5" t="s">
        <v>37</v>
      </c>
      <c r="G385" s="5" t="s">
        <v>38</v>
      </c>
      <c r="H385" s="5"/>
      <c r="I385" s="5"/>
      <c r="J385" s="5" t="s">
        <v>39</v>
      </c>
      <c r="K385" s="5" t="s">
        <v>269</v>
      </c>
      <c r="L385" s="5" t="s">
        <v>270</v>
      </c>
      <c r="M385" s="5" t="s">
        <v>271</v>
      </c>
      <c r="N385" s="5" t="s">
        <v>36</v>
      </c>
      <c r="O385" s="5">
        <v>1</v>
      </c>
      <c r="P385" s="5" t="s">
        <v>43</v>
      </c>
      <c r="Q385" s="5">
        <v>24.99</v>
      </c>
      <c r="R385" s="5"/>
      <c r="S385" s="5"/>
      <c r="T385" s="5"/>
      <c r="U385" s="5"/>
      <c r="V385" s="5"/>
      <c r="W385" s="5"/>
      <c r="X385" s="5"/>
      <c r="Y385" s="5" t="s">
        <v>1702</v>
      </c>
      <c r="Z385" s="5" t="s">
        <v>142</v>
      </c>
      <c r="AA385" s="5" t="s">
        <v>2044</v>
      </c>
      <c r="AB385" s="5" t="s">
        <v>46</v>
      </c>
      <c r="AC385" s="5"/>
      <c r="AD385" s="5" t="b">
        <v>0</v>
      </c>
      <c r="AE385" s="5"/>
      <c r="AF385" s="5"/>
      <c r="AG385" s="9">
        <f t="shared" si="5"/>
        <v>43269</v>
      </c>
    </row>
    <row r="386" s="6" customFormat="1" spans="1:33">
      <c r="A386" s="5" t="s">
        <v>2045</v>
      </c>
      <c r="B386" s="5" t="s">
        <v>2045</v>
      </c>
      <c r="C386" s="5" t="s">
        <v>2046</v>
      </c>
      <c r="D386" s="5" t="s">
        <v>2047</v>
      </c>
      <c r="E386" s="5" t="s">
        <v>36</v>
      </c>
      <c r="F386" s="5" t="s">
        <v>37</v>
      </c>
      <c r="G386" s="5" t="s">
        <v>38</v>
      </c>
      <c r="H386" s="5"/>
      <c r="I386" s="5"/>
      <c r="J386" s="5" t="s">
        <v>39</v>
      </c>
      <c r="K386" s="5" t="s">
        <v>50</v>
      </c>
      <c r="L386" s="5" t="s">
        <v>51</v>
      </c>
      <c r="M386" s="5" t="s">
        <v>52</v>
      </c>
      <c r="N386" s="5" t="s">
        <v>36</v>
      </c>
      <c r="O386" s="5">
        <v>1</v>
      </c>
      <c r="P386" s="5" t="s">
        <v>43</v>
      </c>
      <c r="Q386" s="5">
        <v>18.99</v>
      </c>
      <c r="R386" s="5"/>
      <c r="S386" s="5"/>
      <c r="T386" s="5"/>
      <c r="U386" s="5"/>
      <c r="V386" s="5"/>
      <c r="W386" s="5"/>
      <c r="X386" s="5"/>
      <c r="Y386" s="5" t="s">
        <v>2048</v>
      </c>
      <c r="Z386" s="5" t="s">
        <v>54</v>
      </c>
      <c r="AA386" s="5" t="s">
        <v>2049</v>
      </c>
      <c r="AB386" s="5" t="s">
        <v>46</v>
      </c>
      <c r="AC386" s="5"/>
      <c r="AD386" s="5" t="b">
        <v>0</v>
      </c>
      <c r="AE386" s="5"/>
      <c r="AF386" s="5"/>
      <c r="AG386" s="9">
        <f t="shared" ref="AG386:AG449" si="6">DATEVALUE(LEFT(C386,10))</f>
        <v>43269</v>
      </c>
    </row>
    <row r="387" s="6" customFormat="1" spans="1:33">
      <c r="A387" s="5" t="s">
        <v>2050</v>
      </c>
      <c r="B387" s="5" t="s">
        <v>2050</v>
      </c>
      <c r="C387" s="5" t="s">
        <v>2051</v>
      </c>
      <c r="D387" s="5" t="s">
        <v>2052</v>
      </c>
      <c r="E387" s="5" t="s">
        <v>36</v>
      </c>
      <c r="F387" s="5" t="s">
        <v>37</v>
      </c>
      <c r="G387" s="5" t="s">
        <v>38</v>
      </c>
      <c r="H387" s="5"/>
      <c r="I387" s="5"/>
      <c r="J387" s="5" t="s">
        <v>39</v>
      </c>
      <c r="K387" s="5" t="s">
        <v>101</v>
      </c>
      <c r="L387" s="5" t="s">
        <v>102</v>
      </c>
      <c r="M387" s="5" t="s">
        <v>103</v>
      </c>
      <c r="N387" s="5" t="s">
        <v>36</v>
      </c>
      <c r="O387" s="5">
        <v>1</v>
      </c>
      <c r="P387" s="5" t="s">
        <v>43</v>
      </c>
      <c r="Q387" s="5">
        <v>12.99</v>
      </c>
      <c r="R387" s="5"/>
      <c r="S387" s="5"/>
      <c r="T387" s="5"/>
      <c r="U387" s="5"/>
      <c r="V387" s="5"/>
      <c r="W387" s="5"/>
      <c r="X387" s="5"/>
      <c r="Y387" s="5" t="s">
        <v>2053</v>
      </c>
      <c r="Z387" s="5" t="s">
        <v>105</v>
      </c>
      <c r="AA387" s="5" t="s">
        <v>2054</v>
      </c>
      <c r="AB387" s="5" t="s">
        <v>46</v>
      </c>
      <c r="AC387" s="5"/>
      <c r="AD387" s="5" t="b">
        <v>0</v>
      </c>
      <c r="AE387" s="5"/>
      <c r="AF387" s="5"/>
      <c r="AG387" s="9">
        <f t="shared" si="6"/>
        <v>43269</v>
      </c>
    </row>
    <row r="388" s="6" customFormat="1" spans="1:33">
      <c r="A388" s="5" t="s">
        <v>2055</v>
      </c>
      <c r="B388" s="5" t="s">
        <v>2055</v>
      </c>
      <c r="C388" s="5" t="s">
        <v>2056</v>
      </c>
      <c r="D388" s="5" t="s">
        <v>2057</v>
      </c>
      <c r="E388" s="5" t="s">
        <v>36</v>
      </c>
      <c r="F388" s="5" t="s">
        <v>37</v>
      </c>
      <c r="G388" s="5" t="s">
        <v>38</v>
      </c>
      <c r="H388" s="5"/>
      <c r="I388" s="5"/>
      <c r="J388" s="5" t="s">
        <v>39</v>
      </c>
      <c r="K388" s="5" t="s">
        <v>75</v>
      </c>
      <c r="L388" s="5" t="s">
        <v>76</v>
      </c>
      <c r="M388" s="5" t="s">
        <v>77</v>
      </c>
      <c r="N388" s="5" t="s">
        <v>36</v>
      </c>
      <c r="O388" s="5">
        <v>1</v>
      </c>
      <c r="P388" s="5" t="s">
        <v>43</v>
      </c>
      <c r="Q388" s="5">
        <v>12.99</v>
      </c>
      <c r="R388" s="5"/>
      <c r="S388" s="5"/>
      <c r="T388" s="5"/>
      <c r="U388" s="5"/>
      <c r="V388" s="5"/>
      <c r="W388" s="5">
        <v>0.65</v>
      </c>
      <c r="X388" s="5"/>
      <c r="Y388" s="5" t="s">
        <v>630</v>
      </c>
      <c r="Z388" s="5" t="s">
        <v>631</v>
      </c>
      <c r="AA388" s="5" t="s">
        <v>2058</v>
      </c>
      <c r="AB388" s="5" t="s">
        <v>46</v>
      </c>
      <c r="AC388" s="5" t="s">
        <v>2059</v>
      </c>
      <c r="AD388" s="5" t="b">
        <v>0</v>
      </c>
      <c r="AE388" s="5"/>
      <c r="AF388" s="5"/>
      <c r="AG388" s="9">
        <f t="shared" si="6"/>
        <v>43269</v>
      </c>
    </row>
    <row r="389" s="6" customFormat="1" spans="1:33">
      <c r="A389" s="5" t="s">
        <v>2055</v>
      </c>
      <c r="B389" s="5" t="s">
        <v>2055</v>
      </c>
      <c r="C389" s="5" t="s">
        <v>2056</v>
      </c>
      <c r="D389" s="5" t="s">
        <v>2057</v>
      </c>
      <c r="E389" s="5" t="s">
        <v>36</v>
      </c>
      <c r="F389" s="5" t="s">
        <v>37</v>
      </c>
      <c r="G389" s="5" t="s">
        <v>38</v>
      </c>
      <c r="H389" s="5"/>
      <c r="I389" s="5"/>
      <c r="J389" s="5" t="s">
        <v>39</v>
      </c>
      <c r="K389" s="5" t="s">
        <v>1291</v>
      </c>
      <c r="L389" s="5" t="s">
        <v>1292</v>
      </c>
      <c r="M389" s="5" t="s">
        <v>1293</v>
      </c>
      <c r="N389" s="5" t="s">
        <v>36</v>
      </c>
      <c r="O389" s="5">
        <v>1</v>
      </c>
      <c r="P389" s="5" t="s">
        <v>43</v>
      </c>
      <c r="Q389" s="5">
        <v>12.99</v>
      </c>
      <c r="R389" s="5"/>
      <c r="S389" s="5"/>
      <c r="T389" s="5"/>
      <c r="U389" s="5"/>
      <c r="V389" s="5"/>
      <c r="W389" s="5">
        <v>1.1</v>
      </c>
      <c r="X389" s="5"/>
      <c r="Y389" s="5" t="s">
        <v>630</v>
      </c>
      <c r="Z389" s="5" t="s">
        <v>631</v>
      </c>
      <c r="AA389" s="5" t="s">
        <v>2058</v>
      </c>
      <c r="AB389" s="5" t="s">
        <v>46</v>
      </c>
      <c r="AC389" s="5" t="s">
        <v>2059</v>
      </c>
      <c r="AD389" s="5" t="b">
        <v>0</v>
      </c>
      <c r="AE389" s="5"/>
      <c r="AF389" s="5"/>
      <c r="AG389" s="9">
        <f t="shared" si="6"/>
        <v>43269</v>
      </c>
    </row>
    <row r="390" s="6" customFormat="1" spans="1:33">
      <c r="A390" s="5" t="s">
        <v>2055</v>
      </c>
      <c r="B390" s="5" t="s">
        <v>2055</v>
      </c>
      <c r="C390" s="5" t="s">
        <v>2056</v>
      </c>
      <c r="D390" s="5" t="s">
        <v>2057</v>
      </c>
      <c r="E390" s="5" t="s">
        <v>36</v>
      </c>
      <c r="F390" s="5" t="s">
        <v>37</v>
      </c>
      <c r="G390" s="5" t="s">
        <v>38</v>
      </c>
      <c r="H390" s="5"/>
      <c r="I390" s="5"/>
      <c r="J390" s="5" t="s">
        <v>39</v>
      </c>
      <c r="K390" s="5" t="s">
        <v>434</v>
      </c>
      <c r="L390" s="5" t="s">
        <v>435</v>
      </c>
      <c r="M390" s="5" t="s">
        <v>436</v>
      </c>
      <c r="N390" s="5" t="s">
        <v>36</v>
      </c>
      <c r="O390" s="5">
        <v>1</v>
      </c>
      <c r="P390" s="5" t="s">
        <v>43</v>
      </c>
      <c r="Q390" s="5">
        <v>13.99</v>
      </c>
      <c r="R390" s="5"/>
      <c r="S390" s="5"/>
      <c r="T390" s="5"/>
      <c r="U390" s="5"/>
      <c r="V390" s="5"/>
      <c r="W390" s="5">
        <v>0.5</v>
      </c>
      <c r="X390" s="5"/>
      <c r="Y390" s="5" t="s">
        <v>630</v>
      </c>
      <c r="Z390" s="5" t="s">
        <v>631</v>
      </c>
      <c r="AA390" s="5" t="s">
        <v>2058</v>
      </c>
      <c r="AB390" s="5" t="s">
        <v>46</v>
      </c>
      <c r="AC390" s="5" t="s">
        <v>2060</v>
      </c>
      <c r="AD390" s="5" t="b">
        <v>0</v>
      </c>
      <c r="AE390" s="5"/>
      <c r="AF390" s="5"/>
      <c r="AG390" s="9">
        <f t="shared" si="6"/>
        <v>43269</v>
      </c>
    </row>
    <row r="391" s="6" customFormat="1" spans="1:33">
      <c r="A391" s="5" t="s">
        <v>2061</v>
      </c>
      <c r="B391" s="5" t="s">
        <v>2061</v>
      </c>
      <c r="C391" s="5" t="s">
        <v>2062</v>
      </c>
      <c r="D391" s="5" t="s">
        <v>2063</v>
      </c>
      <c r="E391" s="5" t="s">
        <v>36</v>
      </c>
      <c r="F391" s="5" t="s">
        <v>37</v>
      </c>
      <c r="G391" s="5" t="s">
        <v>38</v>
      </c>
      <c r="H391" s="5"/>
      <c r="I391" s="5"/>
      <c r="J391" s="5" t="s">
        <v>39</v>
      </c>
      <c r="K391" s="5" t="s">
        <v>147</v>
      </c>
      <c r="L391" s="5" t="s">
        <v>148</v>
      </c>
      <c r="M391" s="5" t="s">
        <v>149</v>
      </c>
      <c r="N391" s="5" t="s">
        <v>36</v>
      </c>
      <c r="O391" s="5">
        <v>1</v>
      </c>
      <c r="P391" s="5" t="s">
        <v>43</v>
      </c>
      <c r="Q391" s="5">
        <v>12.98</v>
      </c>
      <c r="R391" s="5"/>
      <c r="S391" s="5"/>
      <c r="T391" s="5"/>
      <c r="U391" s="5"/>
      <c r="V391" s="5"/>
      <c r="W391" s="5"/>
      <c r="X391" s="5"/>
      <c r="Y391" s="5" t="s">
        <v>917</v>
      </c>
      <c r="Z391" s="5" t="s">
        <v>54</v>
      </c>
      <c r="AA391" s="5">
        <v>92708</v>
      </c>
      <c r="AB391" s="5" t="s">
        <v>46</v>
      </c>
      <c r="AC391" s="5"/>
      <c r="AD391" s="5" t="b">
        <v>0</v>
      </c>
      <c r="AE391" s="5"/>
      <c r="AF391" s="5"/>
      <c r="AG391" s="9">
        <f t="shared" si="6"/>
        <v>43269</v>
      </c>
    </row>
    <row r="392" s="6" customFormat="1" spans="1:33">
      <c r="A392" s="5" t="s">
        <v>2064</v>
      </c>
      <c r="B392" s="5" t="s">
        <v>2064</v>
      </c>
      <c r="C392" s="5" t="s">
        <v>2065</v>
      </c>
      <c r="D392" s="5" t="s">
        <v>2066</v>
      </c>
      <c r="E392" s="5" t="s">
        <v>36</v>
      </c>
      <c r="F392" s="5" t="s">
        <v>37</v>
      </c>
      <c r="G392" s="5" t="s">
        <v>38</v>
      </c>
      <c r="H392" s="5"/>
      <c r="I392" s="5"/>
      <c r="J392" s="5" t="s">
        <v>39</v>
      </c>
      <c r="K392" s="5" t="s">
        <v>641</v>
      </c>
      <c r="L392" s="5" t="s">
        <v>2067</v>
      </c>
      <c r="M392" s="5" t="s">
        <v>2068</v>
      </c>
      <c r="N392" s="5" t="s">
        <v>36</v>
      </c>
      <c r="O392" s="5">
        <v>1</v>
      </c>
      <c r="P392" s="5" t="s">
        <v>43</v>
      </c>
      <c r="Q392" s="5">
        <v>20</v>
      </c>
      <c r="R392" s="5">
        <v>2</v>
      </c>
      <c r="S392" s="5"/>
      <c r="T392" s="5"/>
      <c r="U392" s="5"/>
      <c r="V392" s="5"/>
      <c r="W392" s="5"/>
      <c r="X392" s="5"/>
      <c r="Y392" s="5" t="s">
        <v>2069</v>
      </c>
      <c r="Z392" s="5" t="s">
        <v>474</v>
      </c>
      <c r="AA392" s="5">
        <v>98052</v>
      </c>
      <c r="AB392" s="5" t="s">
        <v>46</v>
      </c>
      <c r="AC392" s="5" t="s">
        <v>172</v>
      </c>
      <c r="AD392" s="5" t="b">
        <v>0</v>
      </c>
      <c r="AE392" s="5"/>
      <c r="AF392" s="5"/>
      <c r="AG392" s="9">
        <f t="shared" si="6"/>
        <v>43269</v>
      </c>
    </row>
    <row r="393" s="6" customFormat="1" spans="1:33">
      <c r="A393" s="5" t="s">
        <v>2070</v>
      </c>
      <c r="B393" s="5" t="s">
        <v>2070</v>
      </c>
      <c r="C393" s="5" t="s">
        <v>2071</v>
      </c>
      <c r="D393" s="5" t="s">
        <v>2072</v>
      </c>
      <c r="E393" s="5" t="s">
        <v>36</v>
      </c>
      <c r="F393" s="5" t="s">
        <v>37</v>
      </c>
      <c r="G393" s="5" t="s">
        <v>38</v>
      </c>
      <c r="H393" s="5"/>
      <c r="I393" s="5"/>
      <c r="J393" s="5" t="s">
        <v>39</v>
      </c>
      <c r="K393" s="5" t="s">
        <v>243</v>
      </c>
      <c r="L393" s="5" t="s">
        <v>244</v>
      </c>
      <c r="M393" s="5" t="s">
        <v>245</v>
      </c>
      <c r="N393" s="5" t="s">
        <v>36</v>
      </c>
      <c r="O393" s="5">
        <v>1</v>
      </c>
      <c r="P393" s="5" t="s">
        <v>43</v>
      </c>
      <c r="Q393" s="5">
        <v>18.99</v>
      </c>
      <c r="R393" s="5"/>
      <c r="S393" s="5"/>
      <c r="T393" s="5"/>
      <c r="U393" s="5"/>
      <c r="V393" s="5"/>
      <c r="W393" s="5"/>
      <c r="X393" s="5"/>
      <c r="Y393" s="5" t="s">
        <v>2073</v>
      </c>
      <c r="Z393" s="5" t="s">
        <v>1050</v>
      </c>
      <c r="AA393" s="5" t="s">
        <v>2074</v>
      </c>
      <c r="AB393" s="5" t="s">
        <v>46</v>
      </c>
      <c r="AC393" s="5"/>
      <c r="AD393" s="5" t="b">
        <v>0</v>
      </c>
      <c r="AE393" s="5"/>
      <c r="AF393" s="5"/>
      <c r="AG393" s="9">
        <f t="shared" si="6"/>
        <v>43269</v>
      </c>
    </row>
    <row r="394" s="6" customFormat="1" spans="1:33">
      <c r="A394" s="5" t="s">
        <v>2075</v>
      </c>
      <c r="B394" s="5" t="s">
        <v>2075</v>
      </c>
      <c r="C394" s="5" t="s">
        <v>2076</v>
      </c>
      <c r="D394" s="5" t="s">
        <v>2077</v>
      </c>
      <c r="E394" s="5" t="s">
        <v>36</v>
      </c>
      <c r="F394" s="5" t="s">
        <v>37</v>
      </c>
      <c r="G394" s="5" t="s">
        <v>38</v>
      </c>
      <c r="H394" s="5"/>
      <c r="I394" s="5"/>
      <c r="J394" s="5" t="s">
        <v>39</v>
      </c>
      <c r="K394" s="5" t="s">
        <v>75</v>
      </c>
      <c r="L394" s="5" t="s">
        <v>76</v>
      </c>
      <c r="M394" s="5" t="s">
        <v>77</v>
      </c>
      <c r="N394" s="5" t="s">
        <v>36</v>
      </c>
      <c r="O394" s="5">
        <v>1</v>
      </c>
      <c r="P394" s="5" t="s">
        <v>43</v>
      </c>
      <c r="Q394" s="5">
        <v>12.99</v>
      </c>
      <c r="R394" s="5"/>
      <c r="S394" s="5"/>
      <c r="T394" s="5"/>
      <c r="U394" s="5"/>
      <c r="V394" s="5"/>
      <c r="W394" s="5"/>
      <c r="X394" s="5"/>
      <c r="Y394" s="5" t="s">
        <v>462</v>
      </c>
      <c r="Z394" s="5" t="s">
        <v>463</v>
      </c>
      <c r="AA394" s="5" t="s">
        <v>2078</v>
      </c>
      <c r="AB394" s="5" t="s">
        <v>46</v>
      </c>
      <c r="AC394" s="5"/>
      <c r="AD394" s="5" t="b">
        <v>0</v>
      </c>
      <c r="AE394" s="5"/>
      <c r="AF394" s="5"/>
      <c r="AG394" s="9">
        <f t="shared" si="6"/>
        <v>43269</v>
      </c>
    </row>
    <row r="395" s="6" customFormat="1" spans="1:33">
      <c r="A395" s="5" t="s">
        <v>2079</v>
      </c>
      <c r="B395" s="5" t="s">
        <v>2079</v>
      </c>
      <c r="C395" s="5" t="s">
        <v>2080</v>
      </c>
      <c r="D395" s="5" t="s">
        <v>2081</v>
      </c>
      <c r="E395" s="5" t="s">
        <v>36</v>
      </c>
      <c r="F395" s="5" t="s">
        <v>37</v>
      </c>
      <c r="G395" s="5" t="s">
        <v>38</v>
      </c>
      <c r="H395" s="5"/>
      <c r="I395" s="5"/>
      <c r="J395" s="5" t="s">
        <v>39</v>
      </c>
      <c r="K395" s="5" t="s">
        <v>110</v>
      </c>
      <c r="L395" s="5" t="s">
        <v>111</v>
      </c>
      <c r="M395" s="5" t="s">
        <v>112</v>
      </c>
      <c r="N395" s="5" t="s">
        <v>36</v>
      </c>
      <c r="O395" s="5">
        <v>1</v>
      </c>
      <c r="P395" s="5" t="s">
        <v>43</v>
      </c>
      <c r="Q395" s="5">
        <v>12.99</v>
      </c>
      <c r="R395" s="5"/>
      <c r="S395" s="5"/>
      <c r="T395" s="5"/>
      <c r="U395" s="5"/>
      <c r="V395" s="5"/>
      <c r="W395" s="5"/>
      <c r="X395" s="5"/>
      <c r="Y395" s="5" t="s">
        <v>861</v>
      </c>
      <c r="Z395" s="5" t="s">
        <v>54</v>
      </c>
      <c r="AA395" s="5" t="s">
        <v>2082</v>
      </c>
      <c r="AB395" s="5" t="s">
        <v>46</v>
      </c>
      <c r="AC395" s="5"/>
      <c r="AD395" s="5" t="b">
        <v>0</v>
      </c>
      <c r="AE395" s="5"/>
      <c r="AF395" s="5"/>
      <c r="AG395" s="9">
        <f t="shared" si="6"/>
        <v>43269</v>
      </c>
    </row>
    <row r="396" s="6" customFormat="1" spans="1:33">
      <c r="A396" s="5" t="s">
        <v>2083</v>
      </c>
      <c r="B396" s="5" t="s">
        <v>2083</v>
      </c>
      <c r="C396" s="5" t="s">
        <v>2084</v>
      </c>
      <c r="D396" s="5" t="s">
        <v>2085</v>
      </c>
      <c r="E396" s="5" t="s">
        <v>36</v>
      </c>
      <c r="F396" s="5" t="s">
        <v>37</v>
      </c>
      <c r="G396" s="5" t="s">
        <v>38</v>
      </c>
      <c r="H396" s="5"/>
      <c r="I396" s="5"/>
      <c r="J396" s="5" t="s">
        <v>39</v>
      </c>
      <c r="K396" s="5" t="s">
        <v>312</v>
      </c>
      <c r="L396" s="5" t="s">
        <v>313</v>
      </c>
      <c r="M396" s="5" t="s">
        <v>314</v>
      </c>
      <c r="N396" s="5" t="s">
        <v>36</v>
      </c>
      <c r="O396" s="5">
        <v>1</v>
      </c>
      <c r="P396" s="5" t="s">
        <v>43</v>
      </c>
      <c r="Q396" s="5">
        <v>24.99</v>
      </c>
      <c r="R396" s="5"/>
      <c r="S396" s="5"/>
      <c r="T396" s="5"/>
      <c r="U396" s="5"/>
      <c r="V396" s="5"/>
      <c r="W396" s="5"/>
      <c r="X396" s="5"/>
      <c r="Y396" s="5" t="s">
        <v>2086</v>
      </c>
      <c r="Z396" s="5" t="s">
        <v>54</v>
      </c>
      <c r="AA396" s="5" t="s">
        <v>2087</v>
      </c>
      <c r="AB396" s="5" t="s">
        <v>46</v>
      </c>
      <c r="AC396" s="5"/>
      <c r="AD396" s="5" t="b">
        <v>0</v>
      </c>
      <c r="AE396" s="5"/>
      <c r="AF396" s="5"/>
      <c r="AG396" s="9">
        <f t="shared" si="6"/>
        <v>43269</v>
      </c>
    </row>
    <row r="397" s="6" customFormat="1" spans="1:33">
      <c r="A397" s="5" t="s">
        <v>2088</v>
      </c>
      <c r="B397" s="5" t="s">
        <v>2088</v>
      </c>
      <c r="C397" s="5" t="s">
        <v>2089</v>
      </c>
      <c r="D397" s="5" t="s">
        <v>2090</v>
      </c>
      <c r="E397" s="5" t="s">
        <v>36</v>
      </c>
      <c r="F397" s="5" t="s">
        <v>37</v>
      </c>
      <c r="G397" s="5" t="s">
        <v>38</v>
      </c>
      <c r="H397" s="5"/>
      <c r="I397" s="5"/>
      <c r="J397" s="5" t="s">
        <v>39</v>
      </c>
      <c r="K397" s="5" t="s">
        <v>50</v>
      </c>
      <c r="L397" s="5" t="s">
        <v>51</v>
      </c>
      <c r="M397" s="5" t="s">
        <v>52</v>
      </c>
      <c r="N397" s="5" t="s">
        <v>36</v>
      </c>
      <c r="O397" s="5">
        <v>1</v>
      </c>
      <c r="P397" s="5" t="s">
        <v>43</v>
      </c>
      <c r="Q397" s="5">
        <v>18.99</v>
      </c>
      <c r="R397" s="5"/>
      <c r="S397" s="5"/>
      <c r="T397" s="5"/>
      <c r="U397" s="5"/>
      <c r="V397" s="5"/>
      <c r="W397" s="5"/>
      <c r="X397" s="5"/>
      <c r="Y397" s="5" t="s">
        <v>1674</v>
      </c>
      <c r="Z397" s="5" t="s">
        <v>391</v>
      </c>
      <c r="AA397" s="5" t="s">
        <v>2091</v>
      </c>
      <c r="AB397" s="5" t="s">
        <v>46</v>
      </c>
      <c r="AC397" s="5"/>
      <c r="AD397" s="5" t="b">
        <v>0</v>
      </c>
      <c r="AE397" s="5"/>
      <c r="AF397" s="5"/>
      <c r="AG397" s="9">
        <f t="shared" si="6"/>
        <v>43269</v>
      </c>
    </row>
    <row r="398" s="6" customFormat="1" spans="1:33">
      <c r="A398" s="5" t="s">
        <v>2092</v>
      </c>
      <c r="B398" s="5" t="s">
        <v>2092</v>
      </c>
      <c r="C398" s="5" t="s">
        <v>2093</v>
      </c>
      <c r="D398" s="5" t="s">
        <v>2094</v>
      </c>
      <c r="E398" s="5" t="s">
        <v>36</v>
      </c>
      <c r="F398" s="5" t="s">
        <v>37</v>
      </c>
      <c r="G398" s="5" t="s">
        <v>38</v>
      </c>
      <c r="H398" s="5"/>
      <c r="I398" s="5"/>
      <c r="J398" s="5" t="s">
        <v>39</v>
      </c>
      <c r="K398" s="5" t="s">
        <v>101</v>
      </c>
      <c r="L398" s="5" t="s">
        <v>102</v>
      </c>
      <c r="M398" s="5" t="s">
        <v>103</v>
      </c>
      <c r="N398" s="5" t="s">
        <v>36</v>
      </c>
      <c r="O398" s="5">
        <v>1</v>
      </c>
      <c r="P398" s="5" t="s">
        <v>43</v>
      </c>
      <c r="Q398" s="5">
        <v>12.99</v>
      </c>
      <c r="R398" s="5"/>
      <c r="S398" s="5"/>
      <c r="T398" s="5"/>
      <c r="U398" s="5"/>
      <c r="V398" s="5"/>
      <c r="W398" s="5"/>
      <c r="X398" s="5"/>
      <c r="Y398" s="5" t="s">
        <v>985</v>
      </c>
      <c r="Z398" s="5" t="s">
        <v>96</v>
      </c>
      <c r="AA398" s="5" t="s">
        <v>2095</v>
      </c>
      <c r="AB398" s="5" t="s">
        <v>46</v>
      </c>
      <c r="AC398" s="5"/>
      <c r="AD398" s="5" t="b">
        <v>0</v>
      </c>
      <c r="AE398" s="5"/>
      <c r="AF398" s="5"/>
      <c r="AG398" s="9">
        <f t="shared" si="6"/>
        <v>43269</v>
      </c>
    </row>
    <row r="399" s="6" customFormat="1" spans="1:33">
      <c r="A399" s="5" t="s">
        <v>2096</v>
      </c>
      <c r="B399" s="5" t="s">
        <v>2096</v>
      </c>
      <c r="C399" s="5" t="s">
        <v>2097</v>
      </c>
      <c r="D399" s="5" t="s">
        <v>2098</v>
      </c>
      <c r="E399" s="5" t="s">
        <v>36</v>
      </c>
      <c r="F399" s="5" t="s">
        <v>37</v>
      </c>
      <c r="G399" s="5" t="s">
        <v>38</v>
      </c>
      <c r="H399" s="5"/>
      <c r="I399" s="5"/>
      <c r="J399" s="5" t="s">
        <v>128</v>
      </c>
      <c r="K399" s="5" t="s">
        <v>119</v>
      </c>
      <c r="L399" s="5" t="s">
        <v>2099</v>
      </c>
      <c r="M399" s="5" t="s">
        <v>121</v>
      </c>
      <c r="N399" s="5" t="s">
        <v>36</v>
      </c>
      <c r="O399" s="5">
        <v>1</v>
      </c>
      <c r="P399" s="5" t="s">
        <v>43</v>
      </c>
      <c r="Q399" s="5">
        <v>25.99</v>
      </c>
      <c r="R399" s="5"/>
      <c r="S399" s="5"/>
      <c r="T399" s="5"/>
      <c r="U399" s="5"/>
      <c r="V399" s="5"/>
      <c r="W399" s="5"/>
      <c r="X399" s="5"/>
      <c r="Y399" s="5" t="s">
        <v>2100</v>
      </c>
      <c r="Z399" s="5" t="s">
        <v>105</v>
      </c>
      <c r="AA399" s="5" t="s">
        <v>2101</v>
      </c>
      <c r="AB399" s="5" t="s">
        <v>46</v>
      </c>
      <c r="AC399" s="5"/>
      <c r="AD399" s="5" t="b">
        <v>0</v>
      </c>
      <c r="AE399" s="5"/>
      <c r="AF399" s="5"/>
      <c r="AG399" s="9">
        <f t="shared" si="6"/>
        <v>43269</v>
      </c>
    </row>
    <row r="400" s="6" customFormat="1" spans="1:33">
      <c r="A400" s="5" t="s">
        <v>2102</v>
      </c>
      <c r="B400" s="5" t="s">
        <v>2102</v>
      </c>
      <c r="C400" s="5" t="s">
        <v>2103</v>
      </c>
      <c r="D400" s="5" t="s">
        <v>2104</v>
      </c>
      <c r="E400" s="5" t="s">
        <v>36</v>
      </c>
      <c r="F400" s="5" t="s">
        <v>37</v>
      </c>
      <c r="G400" s="5" t="s">
        <v>38</v>
      </c>
      <c r="H400" s="5"/>
      <c r="I400" s="5"/>
      <c r="J400" s="5" t="s">
        <v>39</v>
      </c>
      <c r="K400" s="5" t="s">
        <v>147</v>
      </c>
      <c r="L400" s="5" t="s">
        <v>148</v>
      </c>
      <c r="M400" s="5" t="s">
        <v>149</v>
      </c>
      <c r="N400" s="5" t="s">
        <v>36</v>
      </c>
      <c r="O400" s="5">
        <v>1</v>
      </c>
      <c r="P400" s="5" t="s">
        <v>43</v>
      </c>
      <c r="Q400" s="5">
        <v>12.98</v>
      </c>
      <c r="R400" s="5"/>
      <c r="S400" s="5"/>
      <c r="T400" s="5"/>
      <c r="U400" s="5"/>
      <c r="V400" s="5"/>
      <c r="W400" s="5">
        <v>0.65</v>
      </c>
      <c r="X400" s="5"/>
      <c r="Y400" s="5" t="s">
        <v>2105</v>
      </c>
      <c r="Z400" s="5" t="s">
        <v>391</v>
      </c>
      <c r="AA400" s="5" t="s">
        <v>2106</v>
      </c>
      <c r="AB400" s="5" t="s">
        <v>46</v>
      </c>
      <c r="AC400" s="5" t="s">
        <v>115</v>
      </c>
      <c r="AD400" s="5" t="b">
        <v>0</v>
      </c>
      <c r="AE400" s="5"/>
      <c r="AF400" s="5"/>
      <c r="AG400" s="9">
        <f t="shared" si="6"/>
        <v>43269</v>
      </c>
    </row>
    <row r="401" s="6" customFormat="1" spans="1:33">
      <c r="A401" s="5" t="s">
        <v>2102</v>
      </c>
      <c r="B401" s="5" t="s">
        <v>2102</v>
      </c>
      <c r="C401" s="5" t="s">
        <v>2103</v>
      </c>
      <c r="D401" s="5" t="s">
        <v>2104</v>
      </c>
      <c r="E401" s="5" t="s">
        <v>36</v>
      </c>
      <c r="F401" s="5" t="s">
        <v>37</v>
      </c>
      <c r="G401" s="5" t="s">
        <v>38</v>
      </c>
      <c r="H401" s="5"/>
      <c r="I401" s="5"/>
      <c r="J401" s="5" t="s">
        <v>39</v>
      </c>
      <c r="K401" s="5" t="s">
        <v>1291</v>
      </c>
      <c r="L401" s="5" t="s">
        <v>1292</v>
      </c>
      <c r="M401" s="5" t="s">
        <v>1293</v>
      </c>
      <c r="N401" s="5" t="s">
        <v>36</v>
      </c>
      <c r="O401" s="5">
        <v>1</v>
      </c>
      <c r="P401" s="5" t="s">
        <v>43</v>
      </c>
      <c r="Q401" s="5">
        <v>12.99</v>
      </c>
      <c r="R401" s="5"/>
      <c r="S401" s="5"/>
      <c r="T401" s="5"/>
      <c r="U401" s="5"/>
      <c r="V401" s="5"/>
      <c r="W401" s="5">
        <v>0.65</v>
      </c>
      <c r="X401" s="5"/>
      <c r="Y401" s="5" t="s">
        <v>2105</v>
      </c>
      <c r="Z401" s="5" t="s">
        <v>391</v>
      </c>
      <c r="AA401" s="5" t="s">
        <v>2106</v>
      </c>
      <c r="AB401" s="5" t="s">
        <v>46</v>
      </c>
      <c r="AC401" s="5" t="s">
        <v>115</v>
      </c>
      <c r="AD401" s="5" t="b">
        <v>0</v>
      </c>
      <c r="AE401" s="5"/>
      <c r="AF401" s="5"/>
      <c r="AG401" s="9">
        <f t="shared" si="6"/>
        <v>43269</v>
      </c>
    </row>
    <row r="402" s="6" customFormat="1" spans="1:33">
      <c r="A402" s="5" t="s">
        <v>2107</v>
      </c>
      <c r="B402" s="5" t="s">
        <v>2107</v>
      </c>
      <c r="C402" s="5" t="s">
        <v>2108</v>
      </c>
      <c r="D402" s="5" t="s">
        <v>2109</v>
      </c>
      <c r="E402" s="5" t="s">
        <v>36</v>
      </c>
      <c r="F402" s="5" t="s">
        <v>37</v>
      </c>
      <c r="G402" s="5" t="s">
        <v>38</v>
      </c>
      <c r="H402" s="5"/>
      <c r="I402" s="5"/>
      <c r="J402" s="5" t="s">
        <v>39</v>
      </c>
      <c r="K402" s="5" t="s">
        <v>58</v>
      </c>
      <c r="L402" s="5" t="s">
        <v>59</v>
      </c>
      <c r="M402" s="5" t="s">
        <v>60</v>
      </c>
      <c r="N402" s="5" t="s">
        <v>36</v>
      </c>
      <c r="O402" s="5">
        <v>1</v>
      </c>
      <c r="P402" s="5" t="s">
        <v>43</v>
      </c>
      <c r="Q402" s="5">
        <v>13.99</v>
      </c>
      <c r="R402" s="5"/>
      <c r="S402" s="5"/>
      <c r="T402" s="5"/>
      <c r="U402" s="5"/>
      <c r="V402" s="5"/>
      <c r="W402" s="5"/>
      <c r="X402" s="5"/>
      <c r="Y402" s="5" t="s">
        <v>2110</v>
      </c>
      <c r="Z402" s="5" t="s">
        <v>247</v>
      </c>
      <c r="AA402" s="5" t="s">
        <v>2111</v>
      </c>
      <c r="AB402" s="5" t="s">
        <v>46</v>
      </c>
      <c r="AC402" s="5"/>
      <c r="AD402" s="5" t="b">
        <v>0</v>
      </c>
      <c r="AE402" s="5"/>
      <c r="AF402" s="5"/>
      <c r="AG402" s="9">
        <f t="shared" si="6"/>
        <v>43269</v>
      </c>
    </row>
    <row r="403" s="6" customFormat="1" spans="1:33">
      <c r="A403" s="5" t="s">
        <v>2112</v>
      </c>
      <c r="B403" s="5" t="s">
        <v>2112</v>
      </c>
      <c r="C403" s="5" t="s">
        <v>2113</v>
      </c>
      <c r="D403" s="5" t="s">
        <v>2114</v>
      </c>
      <c r="E403" s="5" t="s">
        <v>36</v>
      </c>
      <c r="F403" s="5" t="s">
        <v>37</v>
      </c>
      <c r="G403" s="5" t="s">
        <v>38</v>
      </c>
      <c r="H403" s="5"/>
      <c r="I403" s="5"/>
      <c r="J403" s="5" t="s">
        <v>39</v>
      </c>
      <c r="K403" s="5" t="s">
        <v>641</v>
      </c>
      <c r="L403" s="5" t="s">
        <v>1286</v>
      </c>
      <c r="M403" s="5" t="s">
        <v>1287</v>
      </c>
      <c r="N403" s="5" t="s">
        <v>36</v>
      </c>
      <c r="O403" s="5">
        <v>1</v>
      </c>
      <c r="P403" s="5" t="s">
        <v>43</v>
      </c>
      <c r="Q403" s="5">
        <v>20</v>
      </c>
      <c r="R403" s="5"/>
      <c r="S403" s="5"/>
      <c r="T403" s="5"/>
      <c r="U403" s="5"/>
      <c r="V403" s="5"/>
      <c r="W403" s="5">
        <v>4</v>
      </c>
      <c r="X403" s="5"/>
      <c r="Y403" s="5" t="s">
        <v>719</v>
      </c>
      <c r="Z403" s="5" t="s">
        <v>505</v>
      </c>
      <c r="AA403" s="5" t="s">
        <v>1285</v>
      </c>
      <c r="AB403" s="5" t="s">
        <v>46</v>
      </c>
      <c r="AC403" s="5" t="s">
        <v>172</v>
      </c>
      <c r="AD403" s="5" t="b">
        <v>0</v>
      </c>
      <c r="AE403" s="5"/>
      <c r="AF403" s="5"/>
      <c r="AG403" s="9">
        <f t="shared" si="6"/>
        <v>43269</v>
      </c>
    </row>
    <row r="404" s="6" customFormat="1" spans="1:33">
      <c r="A404" s="5" t="s">
        <v>2112</v>
      </c>
      <c r="B404" s="5" t="s">
        <v>2112</v>
      </c>
      <c r="C404" s="5" t="s">
        <v>2113</v>
      </c>
      <c r="D404" s="5" t="s">
        <v>2114</v>
      </c>
      <c r="E404" s="5" t="s">
        <v>36</v>
      </c>
      <c r="F404" s="5" t="s">
        <v>37</v>
      </c>
      <c r="G404" s="5" t="s">
        <v>38</v>
      </c>
      <c r="H404" s="5"/>
      <c r="I404" s="5"/>
      <c r="J404" s="5" t="s">
        <v>39</v>
      </c>
      <c r="K404" s="5" t="s">
        <v>641</v>
      </c>
      <c r="L404" s="5" t="s">
        <v>2115</v>
      </c>
      <c r="M404" s="5" t="s">
        <v>2116</v>
      </c>
      <c r="N404" s="5" t="s">
        <v>36</v>
      </c>
      <c r="O404" s="5">
        <v>1</v>
      </c>
      <c r="P404" s="5" t="s">
        <v>43</v>
      </c>
      <c r="Q404" s="5">
        <v>20</v>
      </c>
      <c r="R404" s="5"/>
      <c r="S404" s="5"/>
      <c r="T404" s="5"/>
      <c r="U404" s="5"/>
      <c r="V404" s="5"/>
      <c r="W404" s="5">
        <v>4</v>
      </c>
      <c r="X404" s="5"/>
      <c r="Y404" s="5" t="s">
        <v>719</v>
      </c>
      <c r="Z404" s="5" t="s">
        <v>505</v>
      </c>
      <c r="AA404" s="5" t="s">
        <v>1285</v>
      </c>
      <c r="AB404" s="5" t="s">
        <v>46</v>
      </c>
      <c r="AC404" s="5" t="s">
        <v>172</v>
      </c>
      <c r="AD404" s="5" t="b">
        <v>0</v>
      </c>
      <c r="AE404" s="5"/>
      <c r="AF404" s="5"/>
      <c r="AG404" s="9">
        <f t="shared" si="6"/>
        <v>43269</v>
      </c>
    </row>
    <row r="405" s="6" customFormat="1" spans="1:33">
      <c r="A405" s="5" t="s">
        <v>2112</v>
      </c>
      <c r="B405" s="5" t="s">
        <v>2112</v>
      </c>
      <c r="C405" s="5" t="s">
        <v>2113</v>
      </c>
      <c r="D405" s="5" t="s">
        <v>2114</v>
      </c>
      <c r="E405" s="5" t="s">
        <v>36</v>
      </c>
      <c r="F405" s="5" t="s">
        <v>37</v>
      </c>
      <c r="G405" s="5" t="s">
        <v>38</v>
      </c>
      <c r="H405" s="5"/>
      <c r="I405" s="5"/>
      <c r="J405" s="5" t="s">
        <v>39</v>
      </c>
      <c r="K405" s="5" t="s">
        <v>641</v>
      </c>
      <c r="L405" s="5" t="s">
        <v>2117</v>
      </c>
      <c r="M405" s="5" t="s">
        <v>2118</v>
      </c>
      <c r="N405" s="5" t="s">
        <v>36</v>
      </c>
      <c r="O405" s="5">
        <v>1</v>
      </c>
      <c r="P405" s="5" t="s">
        <v>43</v>
      </c>
      <c r="Q405" s="5">
        <v>20</v>
      </c>
      <c r="R405" s="5"/>
      <c r="S405" s="5"/>
      <c r="T405" s="5"/>
      <c r="U405" s="5"/>
      <c r="V405" s="5"/>
      <c r="W405" s="5">
        <v>4</v>
      </c>
      <c r="X405" s="5"/>
      <c r="Y405" s="5" t="s">
        <v>719</v>
      </c>
      <c r="Z405" s="5" t="s">
        <v>505</v>
      </c>
      <c r="AA405" s="5" t="s">
        <v>1285</v>
      </c>
      <c r="AB405" s="5" t="s">
        <v>46</v>
      </c>
      <c r="AC405" s="5" t="s">
        <v>172</v>
      </c>
      <c r="AD405" s="5" t="b">
        <v>0</v>
      </c>
      <c r="AE405" s="5"/>
      <c r="AF405" s="5"/>
      <c r="AG405" s="9">
        <f t="shared" si="6"/>
        <v>43269</v>
      </c>
    </row>
    <row r="406" s="6" customFormat="1" spans="1:33">
      <c r="A406" s="5" t="s">
        <v>2119</v>
      </c>
      <c r="B406" s="5" t="s">
        <v>2119</v>
      </c>
      <c r="C406" s="5" t="s">
        <v>2120</v>
      </c>
      <c r="D406" s="5" t="s">
        <v>2121</v>
      </c>
      <c r="E406" s="5" t="s">
        <v>36</v>
      </c>
      <c r="F406" s="5" t="s">
        <v>37</v>
      </c>
      <c r="G406" s="5" t="s">
        <v>38</v>
      </c>
      <c r="H406" s="5"/>
      <c r="I406" s="5"/>
      <c r="J406" s="5" t="s">
        <v>128</v>
      </c>
      <c r="K406" s="5" t="s">
        <v>1291</v>
      </c>
      <c r="L406" s="5" t="s">
        <v>1292</v>
      </c>
      <c r="M406" s="5" t="s">
        <v>1293</v>
      </c>
      <c r="N406" s="5" t="s">
        <v>36</v>
      </c>
      <c r="O406" s="5">
        <v>1</v>
      </c>
      <c r="P406" s="5" t="s">
        <v>43</v>
      </c>
      <c r="Q406" s="5">
        <v>12.99</v>
      </c>
      <c r="R406" s="5"/>
      <c r="S406" s="5"/>
      <c r="T406" s="5"/>
      <c r="U406" s="5"/>
      <c r="V406" s="5"/>
      <c r="W406" s="5"/>
      <c r="X406" s="5"/>
      <c r="Y406" s="5" t="s">
        <v>2122</v>
      </c>
      <c r="Z406" s="5" t="s">
        <v>2123</v>
      </c>
      <c r="AA406" s="5" t="s">
        <v>2124</v>
      </c>
      <c r="AB406" s="5" t="s">
        <v>46</v>
      </c>
      <c r="AC406" s="5"/>
      <c r="AD406" s="5" t="b">
        <v>0</v>
      </c>
      <c r="AE406" s="5"/>
      <c r="AF406" s="5"/>
      <c r="AG406" s="9">
        <f t="shared" si="6"/>
        <v>43269</v>
      </c>
    </row>
    <row r="407" s="6" customFormat="1" spans="1:33">
      <c r="A407" s="5" t="s">
        <v>2125</v>
      </c>
      <c r="B407" s="5" t="s">
        <v>2125</v>
      </c>
      <c r="C407" s="5" t="s">
        <v>2126</v>
      </c>
      <c r="D407" s="5" t="s">
        <v>2127</v>
      </c>
      <c r="E407" s="5" t="s">
        <v>36</v>
      </c>
      <c r="F407" s="5" t="s">
        <v>37</v>
      </c>
      <c r="G407" s="5" t="s">
        <v>38</v>
      </c>
      <c r="H407" s="5"/>
      <c r="I407" s="5"/>
      <c r="J407" s="5" t="s">
        <v>39</v>
      </c>
      <c r="K407" s="5" t="s">
        <v>514</v>
      </c>
      <c r="L407" s="5" t="s">
        <v>515</v>
      </c>
      <c r="M407" s="5" t="s">
        <v>516</v>
      </c>
      <c r="N407" s="5" t="s">
        <v>36</v>
      </c>
      <c r="O407" s="5">
        <v>1</v>
      </c>
      <c r="P407" s="5" t="s">
        <v>43</v>
      </c>
      <c r="Q407" s="5">
        <v>14.98</v>
      </c>
      <c r="R407" s="5"/>
      <c r="S407" s="5"/>
      <c r="T407" s="5"/>
      <c r="U407" s="5"/>
      <c r="V407" s="5"/>
      <c r="W407" s="5"/>
      <c r="X407" s="5"/>
      <c r="Y407" s="5" t="s">
        <v>489</v>
      </c>
      <c r="Z407" s="5" t="s">
        <v>142</v>
      </c>
      <c r="AA407" s="5" t="s">
        <v>2128</v>
      </c>
      <c r="AB407" s="5" t="s">
        <v>46</v>
      </c>
      <c r="AC407" s="5"/>
      <c r="AD407" s="5" t="b">
        <v>0</v>
      </c>
      <c r="AE407" s="5"/>
      <c r="AF407" s="5"/>
      <c r="AG407" s="9">
        <f t="shared" si="6"/>
        <v>43269</v>
      </c>
    </row>
    <row r="408" s="6" customFormat="1" spans="1:33">
      <c r="A408" s="5" t="s">
        <v>2129</v>
      </c>
      <c r="B408" s="5" t="s">
        <v>2129</v>
      </c>
      <c r="C408" s="5" t="s">
        <v>2130</v>
      </c>
      <c r="D408" s="5" t="s">
        <v>2131</v>
      </c>
      <c r="E408" s="5" t="s">
        <v>36</v>
      </c>
      <c r="F408" s="5" t="s">
        <v>37</v>
      </c>
      <c r="G408" s="5" t="s">
        <v>38</v>
      </c>
      <c r="H408" s="5"/>
      <c r="I408" s="5"/>
      <c r="J408" s="5" t="s">
        <v>39</v>
      </c>
      <c r="K408" s="5" t="s">
        <v>75</v>
      </c>
      <c r="L408" s="5" t="s">
        <v>479</v>
      </c>
      <c r="M408" s="5" t="s">
        <v>77</v>
      </c>
      <c r="N408" s="5" t="s">
        <v>36</v>
      </c>
      <c r="O408" s="5">
        <v>1</v>
      </c>
      <c r="P408" s="5" t="s">
        <v>43</v>
      </c>
      <c r="Q408" s="5">
        <v>12.99</v>
      </c>
      <c r="R408" s="5"/>
      <c r="S408" s="5"/>
      <c r="T408" s="5"/>
      <c r="U408" s="5"/>
      <c r="V408" s="5"/>
      <c r="W408" s="5"/>
      <c r="X408" s="5"/>
      <c r="Y408" s="5" t="s">
        <v>2132</v>
      </c>
      <c r="Z408" s="5" t="s">
        <v>1594</v>
      </c>
      <c r="AA408" s="5" t="s">
        <v>2133</v>
      </c>
      <c r="AB408" s="5" t="s">
        <v>46</v>
      </c>
      <c r="AC408" s="5"/>
      <c r="AD408" s="5" t="b">
        <v>0</v>
      </c>
      <c r="AE408" s="5"/>
      <c r="AF408" s="5"/>
      <c r="AG408" s="9">
        <f t="shared" si="6"/>
        <v>43269</v>
      </c>
    </row>
    <row r="409" s="6" customFormat="1" spans="1:33">
      <c r="A409" s="5" t="s">
        <v>2134</v>
      </c>
      <c r="B409" s="5" t="s">
        <v>2134</v>
      </c>
      <c r="C409" s="5" t="s">
        <v>2135</v>
      </c>
      <c r="D409" s="5" t="s">
        <v>2136</v>
      </c>
      <c r="E409" s="5" t="s">
        <v>36</v>
      </c>
      <c r="F409" s="5" t="s">
        <v>37</v>
      </c>
      <c r="G409" s="5" t="s">
        <v>38</v>
      </c>
      <c r="H409" s="5"/>
      <c r="I409" s="5"/>
      <c r="J409" s="5" t="s">
        <v>39</v>
      </c>
      <c r="K409" s="5" t="s">
        <v>75</v>
      </c>
      <c r="L409" s="5" t="s">
        <v>76</v>
      </c>
      <c r="M409" s="5" t="s">
        <v>77</v>
      </c>
      <c r="N409" s="5" t="s">
        <v>36</v>
      </c>
      <c r="O409" s="5">
        <v>1</v>
      </c>
      <c r="P409" s="5" t="s">
        <v>43</v>
      </c>
      <c r="Q409" s="5">
        <v>12.99</v>
      </c>
      <c r="R409" s="5"/>
      <c r="S409" s="5"/>
      <c r="T409" s="5"/>
      <c r="U409" s="5"/>
      <c r="V409" s="5"/>
      <c r="W409" s="5"/>
      <c r="X409" s="5"/>
      <c r="Y409" s="5" t="s">
        <v>2137</v>
      </c>
      <c r="Z409" s="5" t="s">
        <v>377</v>
      </c>
      <c r="AA409" s="5" t="s">
        <v>2138</v>
      </c>
      <c r="AB409" s="5" t="s">
        <v>46</v>
      </c>
      <c r="AC409" s="5"/>
      <c r="AD409" s="5" t="b">
        <v>0</v>
      </c>
      <c r="AE409" s="5"/>
      <c r="AF409" s="5"/>
      <c r="AG409" s="9">
        <f t="shared" si="6"/>
        <v>43269</v>
      </c>
    </row>
    <row r="410" s="6" customFormat="1" spans="1:33">
      <c r="A410" s="5" t="s">
        <v>2139</v>
      </c>
      <c r="B410" s="5" t="s">
        <v>2139</v>
      </c>
      <c r="C410" s="5" t="s">
        <v>2140</v>
      </c>
      <c r="D410" s="5" t="s">
        <v>2141</v>
      </c>
      <c r="E410" s="5" t="s">
        <v>36</v>
      </c>
      <c r="F410" s="5" t="s">
        <v>37</v>
      </c>
      <c r="G410" s="5" t="s">
        <v>38</v>
      </c>
      <c r="H410" s="5"/>
      <c r="I410" s="5"/>
      <c r="J410" s="5" t="s">
        <v>39</v>
      </c>
      <c r="K410" s="5" t="s">
        <v>243</v>
      </c>
      <c r="L410" s="5" t="s">
        <v>244</v>
      </c>
      <c r="M410" s="5" t="s">
        <v>245</v>
      </c>
      <c r="N410" s="5" t="s">
        <v>36</v>
      </c>
      <c r="O410" s="5">
        <v>1</v>
      </c>
      <c r="P410" s="5" t="s">
        <v>43</v>
      </c>
      <c r="Q410" s="5">
        <v>18.99</v>
      </c>
      <c r="R410" s="5"/>
      <c r="S410" s="5"/>
      <c r="T410" s="5"/>
      <c r="U410" s="5"/>
      <c r="V410" s="5"/>
      <c r="W410" s="5"/>
      <c r="X410" s="5"/>
      <c r="Y410" s="5" t="s">
        <v>2142</v>
      </c>
      <c r="Z410" s="5" t="s">
        <v>218</v>
      </c>
      <c r="AA410" s="5" t="s">
        <v>2143</v>
      </c>
      <c r="AB410" s="5" t="s">
        <v>46</v>
      </c>
      <c r="AC410" s="5"/>
      <c r="AD410" s="5" t="b">
        <v>0</v>
      </c>
      <c r="AE410" s="5"/>
      <c r="AF410" s="5"/>
      <c r="AG410" s="9">
        <f t="shared" si="6"/>
        <v>43269</v>
      </c>
    </row>
    <row r="411" s="6" customFormat="1" spans="1:33">
      <c r="A411" s="5" t="s">
        <v>2144</v>
      </c>
      <c r="B411" s="5" t="s">
        <v>2144</v>
      </c>
      <c r="C411" s="5" t="s">
        <v>2145</v>
      </c>
      <c r="D411" s="5" t="s">
        <v>2146</v>
      </c>
      <c r="E411" s="5" t="s">
        <v>36</v>
      </c>
      <c r="F411" s="5" t="s">
        <v>37</v>
      </c>
      <c r="G411" s="5" t="s">
        <v>38</v>
      </c>
      <c r="H411" s="5"/>
      <c r="I411" s="5"/>
      <c r="J411" s="5" t="s">
        <v>39</v>
      </c>
      <c r="K411" s="5" t="s">
        <v>75</v>
      </c>
      <c r="L411" s="5" t="s">
        <v>76</v>
      </c>
      <c r="M411" s="5" t="s">
        <v>77</v>
      </c>
      <c r="N411" s="5" t="s">
        <v>36</v>
      </c>
      <c r="O411" s="5">
        <v>1</v>
      </c>
      <c r="P411" s="5" t="s">
        <v>43</v>
      </c>
      <c r="Q411" s="5">
        <v>12.99</v>
      </c>
      <c r="R411" s="5"/>
      <c r="S411" s="5"/>
      <c r="T411" s="5"/>
      <c r="U411" s="5"/>
      <c r="V411" s="5"/>
      <c r="W411" s="5"/>
      <c r="X411" s="5"/>
      <c r="Y411" s="5" t="s">
        <v>2147</v>
      </c>
      <c r="Z411" s="5" t="s">
        <v>183</v>
      </c>
      <c r="AA411" s="5" t="s">
        <v>2148</v>
      </c>
      <c r="AB411" s="5" t="s">
        <v>46</v>
      </c>
      <c r="AC411" s="5"/>
      <c r="AD411" s="5" t="b">
        <v>0</v>
      </c>
      <c r="AE411" s="5"/>
      <c r="AF411" s="5"/>
      <c r="AG411" s="9">
        <f t="shared" si="6"/>
        <v>43270</v>
      </c>
    </row>
    <row r="412" s="6" customFormat="1" spans="1:33">
      <c r="A412" s="5" t="s">
        <v>2149</v>
      </c>
      <c r="B412" s="5" t="s">
        <v>2149</v>
      </c>
      <c r="C412" s="5" t="s">
        <v>2150</v>
      </c>
      <c r="D412" s="5" t="s">
        <v>2151</v>
      </c>
      <c r="E412" s="5" t="s">
        <v>36</v>
      </c>
      <c r="F412" s="5" t="s">
        <v>37</v>
      </c>
      <c r="G412" s="5" t="s">
        <v>38</v>
      </c>
      <c r="H412" s="5"/>
      <c r="I412" s="5"/>
      <c r="J412" s="5" t="s">
        <v>39</v>
      </c>
      <c r="K412" s="5" t="s">
        <v>2152</v>
      </c>
      <c r="L412" s="5" t="s">
        <v>2153</v>
      </c>
      <c r="M412" s="5" t="s">
        <v>2154</v>
      </c>
      <c r="N412" s="5" t="s">
        <v>36</v>
      </c>
      <c r="O412" s="5">
        <v>1</v>
      </c>
      <c r="P412" s="5" t="s">
        <v>43</v>
      </c>
      <c r="Q412" s="5">
        <v>12</v>
      </c>
      <c r="R412" s="5"/>
      <c r="S412" s="5"/>
      <c r="T412" s="5"/>
      <c r="U412" s="5"/>
      <c r="V412" s="5"/>
      <c r="W412" s="5"/>
      <c r="X412" s="5"/>
      <c r="Y412" s="5" t="s">
        <v>2155</v>
      </c>
      <c r="Z412" s="5" t="s">
        <v>1546</v>
      </c>
      <c r="AA412" s="5">
        <v>91331</v>
      </c>
      <c r="AB412" s="5" t="s">
        <v>46</v>
      </c>
      <c r="AC412" s="5"/>
      <c r="AD412" s="5" t="b">
        <v>0</v>
      </c>
      <c r="AE412" s="5"/>
      <c r="AF412" s="5"/>
      <c r="AG412" s="9">
        <f t="shared" si="6"/>
        <v>43270</v>
      </c>
    </row>
    <row r="413" s="6" customFormat="1" spans="1:33">
      <c r="A413" s="5" t="s">
        <v>2156</v>
      </c>
      <c r="B413" s="5" t="s">
        <v>2156</v>
      </c>
      <c r="C413" s="5" t="s">
        <v>2157</v>
      </c>
      <c r="D413" s="5" t="s">
        <v>2158</v>
      </c>
      <c r="E413" s="5" t="s">
        <v>36</v>
      </c>
      <c r="F413" s="5" t="s">
        <v>37</v>
      </c>
      <c r="G413" s="5" t="s">
        <v>38</v>
      </c>
      <c r="H413" s="5"/>
      <c r="I413" s="5"/>
      <c r="J413" s="5" t="s">
        <v>39</v>
      </c>
      <c r="K413" s="5" t="s">
        <v>50</v>
      </c>
      <c r="L413" s="5" t="s">
        <v>51</v>
      </c>
      <c r="M413" s="5" t="s">
        <v>52</v>
      </c>
      <c r="N413" s="5" t="s">
        <v>36</v>
      </c>
      <c r="O413" s="5">
        <v>1</v>
      </c>
      <c r="P413" s="5" t="s">
        <v>43</v>
      </c>
      <c r="Q413" s="5">
        <v>18.99</v>
      </c>
      <c r="R413" s="5"/>
      <c r="S413" s="5"/>
      <c r="T413" s="5"/>
      <c r="U413" s="5"/>
      <c r="V413" s="5"/>
      <c r="W413" s="5"/>
      <c r="X413" s="5"/>
      <c r="Y413" s="5" t="s">
        <v>536</v>
      </c>
      <c r="Z413" s="5" t="s">
        <v>247</v>
      </c>
      <c r="AA413" s="5" t="s">
        <v>2159</v>
      </c>
      <c r="AB413" s="5" t="s">
        <v>46</v>
      </c>
      <c r="AC413" s="5"/>
      <c r="AD413" s="5" t="b">
        <v>0</v>
      </c>
      <c r="AE413" s="5"/>
      <c r="AF413" s="5"/>
      <c r="AG413" s="9">
        <f t="shared" si="6"/>
        <v>43270</v>
      </c>
    </row>
    <row r="414" s="6" customFormat="1" spans="1:33">
      <c r="A414" s="5" t="s">
        <v>2160</v>
      </c>
      <c r="B414" s="5" t="s">
        <v>2160</v>
      </c>
      <c r="C414" s="5" t="s">
        <v>2161</v>
      </c>
      <c r="D414" s="5" t="s">
        <v>2162</v>
      </c>
      <c r="E414" s="5" t="s">
        <v>36</v>
      </c>
      <c r="F414" s="5" t="s">
        <v>37</v>
      </c>
      <c r="G414" s="5" t="s">
        <v>38</v>
      </c>
      <c r="H414" s="5"/>
      <c r="I414" s="5"/>
      <c r="J414" s="5" t="s">
        <v>39</v>
      </c>
      <c r="K414" s="5" t="s">
        <v>110</v>
      </c>
      <c r="L414" s="5" t="s">
        <v>111</v>
      </c>
      <c r="M414" s="5" t="s">
        <v>112</v>
      </c>
      <c r="N414" s="5" t="s">
        <v>36</v>
      </c>
      <c r="O414" s="5">
        <v>1</v>
      </c>
      <c r="P414" s="5" t="s">
        <v>43</v>
      </c>
      <c r="Q414" s="5">
        <v>12.99</v>
      </c>
      <c r="R414" s="5"/>
      <c r="S414" s="5"/>
      <c r="T414" s="5"/>
      <c r="U414" s="5"/>
      <c r="V414" s="5"/>
      <c r="W414" s="5">
        <v>0.65</v>
      </c>
      <c r="X414" s="5"/>
      <c r="Y414" s="5" t="s">
        <v>122</v>
      </c>
      <c r="Z414" s="5" t="s">
        <v>123</v>
      </c>
      <c r="AA414" s="5" t="s">
        <v>2163</v>
      </c>
      <c r="AB414" s="5" t="s">
        <v>46</v>
      </c>
      <c r="AC414" s="5" t="s">
        <v>115</v>
      </c>
      <c r="AD414" s="5" t="b">
        <v>0</v>
      </c>
      <c r="AE414" s="5"/>
      <c r="AF414" s="5"/>
      <c r="AG414" s="9">
        <f t="shared" si="6"/>
        <v>43270</v>
      </c>
    </row>
    <row r="415" s="6" customFormat="1" spans="1:33">
      <c r="A415" s="5" t="s">
        <v>2160</v>
      </c>
      <c r="B415" s="5" t="s">
        <v>2160</v>
      </c>
      <c r="C415" s="5" t="s">
        <v>2161</v>
      </c>
      <c r="D415" s="5" t="s">
        <v>2162</v>
      </c>
      <c r="E415" s="5" t="s">
        <v>36</v>
      </c>
      <c r="F415" s="5" t="s">
        <v>37</v>
      </c>
      <c r="G415" s="5" t="s">
        <v>38</v>
      </c>
      <c r="H415" s="5"/>
      <c r="I415" s="5"/>
      <c r="J415" s="5" t="s">
        <v>39</v>
      </c>
      <c r="K415" s="5" t="s">
        <v>147</v>
      </c>
      <c r="L415" s="5" t="s">
        <v>148</v>
      </c>
      <c r="M415" s="5" t="s">
        <v>149</v>
      </c>
      <c r="N415" s="5" t="s">
        <v>36</v>
      </c>
      <c r="O415" s="5">
        <v>1</v>
      </c>
      <c r="P415" s="5" t="s">
        <v>43</v>
      </c>
      <c r="Q415" s="5">
        <v>12.98</v>
      </c>
      <c r="R415" s="5"/>
      <c r="S415" s="5"/>
      <c r="T415" s="5"/>
      <c r="U415" s="5"/>
      <c r="V415" s="5"/>
      <c r="W415" s="5">
        <v>0.65</v>
      </c>
      <c r="X415" s="5"/>
      <c r="Y415" s="5" t="s">
        <v>122</v>
      </c>
      <c r="Z415" s="5" t="s">
        <v>123</v>
      </c>
      <c r="AA415" s="5" t="s">
        <v>2163</v>
      </c>
      <c r="AB415" s="5" t="s">
        <v>46</v>
      </c>
      <c r="AC415" s="5" t="s">
        <v>115</v>
      </c>
      <c r="AD415" s="5" t="b">
        <v>0</v>
      </c>
      <c r="AE415" s="5"/>
      <c r="AF415" s="5"/>
      <c r="AG415" s="9">
        <f t="shared" si="6"/>
        <v>43270</v>
      </c>
    </row>
    <row r="416" s="6" customFormat="1" spans="1:33">
      <c r="A416" s="5" t="s">
        <v>2164</v>
      </c>
      <c r="B416" s="5" t="s">
        <v>2164</v>
      </c>
      <c r="C416" s="5" t="s">
        <v>2165</v>
      </c>
      <c r="D416" s="5" t="s">
        <v>2166</v>
      </c>
      <c r="E416" s="5" t="s">
        <v>36</v>
      </c>
      <c r="F416" s="5" t="s">
        <v>37</v>
      </c>
      <c r="G416" s="5" t="s">
        <v>38</v>
      </c>
      <c r="H416" s="5"/>
      <c r="I416" s="5"/>
      <c r="J416" s="5" t="s">
        <v>39</v>
      </c>
      <c r="K416" s="5" t="s">
        <v>570</v>
      </c>
      <c r="L416" s="5" t="s">
        <v>578</v>
      </c>
      <c r="M416" s="5" t="s">
        <v>572</v>
      </c>
      <c r="N416" s="5" t="s">
        <v>36</v>
      </c>
      <c r="O416" s="5">
        <v>1</v>
      </c>
      <c r="P416" s="5" t="s">
        <v>43</v>
      </c>
      <c r="Q416" s="5">
        <v>24.99</v>
      </c>
      <c r="R416" s="5">
        <v>2.47</v>
      </c>
      <c r="S416" s="5"/>
      <c r="T416" s="5"/>
      <c r="U416" s="5"/>
      <c r="V416" s="5"/>
      <c r="W416" s="5"/>
      <c r="X416" s="5"/>
      <c r="Y416" s="5" t="s">
        <v>2167</v>
      </c>
      <c r="Z416" s="5" t="s">
        <v>474</v>
      </c>
      <c r="AA416" s="5" t="s">
        <v>2168</v>
      </c>
      <c r="AB416" s="5" t="s">
        <v>46</v>
      </c>
      <c r="AC416" s="5"/>
      <c r="AD416" s="5" t="b">
        <v>0</v>
      </c>
      <c r="AE416" s="5"/>
      <c r="AF416" s="5"/>
      <c r="AG416" s="9">
        <f t="shared" si="6"/>
        <v>43270</v>
      </c>
    </row>
    <row r="417" s="6" customFormat="1" spans="1:33">
      <c r="A417" s="5" t="s">
        <v>2169</v>
      </c>
      <c r="B417" s="5" t="s">
        <v>2169</v>
      </c>
      <c r="C417" s="5" t="s">
        <v>2170</v>
      </c>
      <c r="D417" s="5" t="s">
        <v>2171</v>
      </c>
      <c r="E417" s="5" t="s">
        <v>36</v>
      </c>
      <c r="F417" s="5" t="s">
        <v>37</v>
      </c>
      <c r="G417" s="5" t="s">
        <v>38</v>
      </c>
      <c r="H417" s="5"/>
      <c r="I417" s="5"/>
      <c r="J417" s="5" t="s">
        <v>39</v>
      </c>
      <c r="K417" s="5" t="s">
        <v>147</v>
      </c>
      <c r="L417" s="5" t="s">
        <v>148</v>
      </c>
      <c r="M417" s="5" t="s">
        <v>149</v>
      </c>
      <c r="N417" s="5" t="s">
        <v>36</v>
      </c>
      <c r="O417" s="5">
        <v>1</v>
      </c>
      <c r="P417" s="5" t="s">
        <v>43</v>
      </c>
      <c r="Q417" s="5">
        <v>12.98</v>
      </c>
      <c r="R417" s="5"/>
      <c r="S417" s="5"/>
      <c r="T417" s="5"/>
      <c r="U417" s="5"/>
      <c r="V417" s="5"/>
      <c r="W417" s="5"/>
      <c r="X417" s="5"/>
      <c r="Y417" s="5" t="s">
        <v>2172</v>
      </c>
      <c r="Z417" s="5" t="s">
        <v>151</v>
      </c>
      <c r="AA417" s="5" t="s">
        <v>2173</v>
      </c>
      <c r="AB417" s="5" t="s">
        <v>46</v>
      </c>
      <c r="AC417" s="5"/>
      <c r="AD417" s="5" t="b">
        <v>0</v>
      </c>
      <c r="AE417" s="5"/>
      <c r="AF417" s="5"/>
      <c r="AG417" s="9">
        <f t="shared" si="6"/>
        <v>43270</v>
      </c>
    </row>
    <row r="418" s="6" customFormat="1" spans="1:33">
      <c r="A418" s="5" t="s">
        <v>2174</v>
      </c>
      <c r="B418" s="5" t="s">
        <v>2174</v>
      </c>
      <c r="C418" s="5" t="s">
        <v>2175</v>
      </c>
      <c r="D418" s="5" t="s">
        <v>2176</v>
      </c>
      <c r="E418" s="5" t="s">
        <v>36</v>
      </c>
      <c r="F418" s="5" t="s">
        <v>37</v>
      </c>
      <c r="G418" s="5" t="s">
        <v>38</v>
      </c>
      <c r="H418" s="5"/>
      <c r="I418" s="5"/>
      <c r="J418" s="5" t="s">
        <v>39</v>
      </c>
      <c r="K418" s="5" t="s">
        <v>312</v>
      </c>
      <c r="L418" s="5" t="s">
        <v>313</v>
      </c>
      <c r="M418" s="5" t="s">
        <v>314</v>
      </c>
      <c r="N418" s="5" t="s">
        <v>36</v>
      </c>
      <c r="O418" s="5">
        <v>1</v>
      </c>
      <c r="P418" s="5" t="s">
        <v>43</v>
      </c>
      <c r="Q418" s="5">
        <v>24.99</v>
      </c>
      <c r="R418" s="5"/>
      <c r="S418" s="5"/>
      <c r="T418" s="5"/>
      <c r="U418" s="5"/>
      <c r="V418" s="5"/>
      <c r="W418" s="5"/>
      <c r="X418" s="5"/>
      <c r="Y418" s="5" t="s">
        <v>2177</v>
      </c>
      <c r="Z418" s="5" t="s">
        <v>183</v>
      </c>
      <c r="AA418" s="5" t="s">
        <v>2178</v>
      </c>
      <c r="AB418" s="5" t="s">
        <v>46</v>
      </c>
      <c r="AC418" s="5"/>
      <c r="AD418" s="5" t="b">
        <v>0</v>
      </c>
      <c r="AE418" s="5"/>
      <c r="AF418" s="5"/>
      <c r="AG418" s="9">
        <f t="shared" si="6"/>
        <v>43270</v>
      </c>
    </row>
    <row r="419" s="6" customFormat="1" spans="1:33">
      <c r="A419" s="5" t="s">
        <v>2179</v>
      </c>
      <c r="B419" s="5" t="s">
        <v>2179</v>
      </c>
      <c r="C419" s="5" t="s">
        <v>2180</v>
      </c>
      <c r="D419" s="5" t="s">
        <v>2181</v>
      </c>
      <c r="E419" s="5" t="s">
        <v>36</v>
      </c>
      <c r="F419" s="5" t="s">
        <v>37</v>
      </c>
      <c r="G419" s="5" t="s">
        <v>38</v>
      </c>
      <c r="H419" s="5"/>
      <c r="I419" s="5"/>
      <c r="J419" s="5" t="s">
        <v>128</v>
      </c>
      <c r="K419" s="5" t="s">
        <v>101</v>
      </c>
      <c r="L419" s="5" t="s">
        <v>102</v>
      </c>
      <c r="M419" s="5" t="s">
        <v>103</v>
      </c>
      <c r="N419" s="5" t="s">
        <v>36</v>
      </c>
      <c r="O419" s="5">
        <v>1</v>
      </c>
      <c r="P419" s="5" t="s">
        <v>43</v>
      </c>
      <c r="Q419" s="5">
        <v>12.99</v>
      </c>
      <c r="R419" s="5"/>
      <c r="S419" s="5">
        <v>5.99</v>
      </c>
      <c r="T419" s="5"/>
      <c r="U419" s="5"/>
      <c r="V419" s="5"/>
      <c r="W419" s="5"/>
      <c r="X419" s="5"/>
      <c r="Y419" s="5" t="s">
        <v>2182</v>
      </c>
      <c r="Z419" s="5" t="s">
        <v>247</v>
      </c>
      <c r="AA419" s="5" t="s">
        <v>2183</v>
      </c>
      <c r="AB419" s="5" t="s">
        <v>46</v>
      </c>
      <c r="AC419" s="5"/>
      <c r="AD419" s="5" t="b">
        <v>0</v>
      </c>
      <c r="AE419" s="5"/>
      <c r="AF419" s="5"/>
      <c r="AG419" s="9">
        <f t="shared" si="6"/>
        <v>43270</v>
      </c>
    </row>
    <row r="420" s="6" customFormat="1" spans="1:33">
      <c r="A420" s="5" t="s">
        <v>2184</v>
      </c>
      <c r="B420" s="5" t="s">
        <v>2184</v>
      </c>
      <c r="C420" s="5" t="s">
        <v>2185</v>
      </c>
      <c r="D420" s="5" t="s">
        <v>2186</v>
      </c>
      <c r="E420" s="5" t="s">
        <v>36</v>
      </c>
      <c r="F420" s="5" t="s">
        <v>37</v>
      </c>
      <c r="G420" s="5" t="s">
        <v>38</v>
      </c>
      <c r="H420" s="5"/>
      <c r="I420" s="5"/>
      <c r="J420" s="5" t="s">
        <v>39</v>
      </c>
      <c r="K420" s="5" t="s">
        <v>278</v>
      </c>
      <c r="L420" s="5" t="s">
        <v>279</v>
      </c>
      <c r="M420" s="5" t="s">
        <v>280</v>
      </c>
      <c r="N420" s="5" t="s">
        <v>36</v>
      </c>
      <c r="O420" s="5">
        <v>1</v>
      </c>
      <c r="P420" s="5" t="s">
        <v>43</v>
      </c>
      <c r="Q420" s="5">
        <v>24.99</v>
      </c>
      <c r="R420" s="5"/>
      <c r="S420" s="5"/>
      <c r="T420" s="5"/>
      <c r="U420" s="5"/>
      <c r="V420" s="5"/>
      <c r="W420" s="5"/>
      <c r="X420" s="5"/>
      <c r="Y420" s="5" t="s">
        <v>2187</v>
      </c>
      <c r="Z420" s="5" t="s">
        <v>54</v>
      </c>
      <c r="AA420" s="5" t="s">
        <v>2188</v>
      </c>
      <c r="AB420" s="5" t="s">
        <v>46</v>
      </c>
      <c r="AC420" s="5"/>
      <c r="AD420" s="5" t="b">
        <v>0</v>
      </c>
      <c r="AE420" s="5"/>
      <c r="AF420" s="5"/>
      <c r="AG420" s="9">
        <f t="shared" si="6"/>
        <v>43270</v>
      </c>
    </row>
    <row r="421" s="6" customFormat="1" spans="1:33">
      <c r="A421" s="5" t="s">
        <v>2189</v>
      </c>
      <c r="B421" s="5" t="s">
        <v>2189</v>
      </c>
      <c r="C421" s="5" t="s">
        <v>2190</v>
      </c>
      <c r="D421" s="5" t="s">
        <v>2191</v>
      </c>
      <c r="E421" s="5" t="s">
        <v>36</v>
      </c>
      <c r="F421" s="5" t="s">
        <v>37</v>
      </c>
      <c r="G421" s="5" t="s">
        <v>38</v>
      </c>
      <c r="H421" s="5"/>
      <c r="I421" s="5"/>
      <c r="J421" s="5" t="s">
        <v>39</v>
      </c>
      <c r="K421" s="5" t="s">
        <v>209</v>
      </c>
      <c r="L421" s="5" t="s">
        <v>210</v>
      </c>
      <c r="M421" s="5" t="s">
        <v>211</v>
      </c>
      <c r="N421" s="5" t="s">
        <v>36</v>
      </c>
      <c r="O421" s="5">
        <v>4</v>
      </c>
      <c r="P421" s="5" t="s">
        <v>43</v>
      </c>
      <c r="Q421" s="5">
        <v>55.96</v>
      </c>
      <c r="R421" s="5"/>
      <c r="S421" s="5"/>
      <c r="T421" s="5"/>
      <c r="U421" s="5"/>
      <c r="V421" s="5"/>
      <c r="W421" s="5"/>
      <c r="X421" s="5"/>
      <c r="Y421" s="5" t="s">
        <v>2192</v>
      </c>
      <c r="Z421" s="5" t="s">
        <v>264</v>
      </c>
      <c r="AA421" s="5" t="s">
        <v>2193</v>
      </c>
      <c r="AB421" s="5" t="s">
        <v>46</v>
      </c>
      <c r="AC421" s="5"/>
      <c r="AD421" s="5" t="b">
        <v>0</v>
      </c>
      <c r="AE421" s="5"/>
      <c r="AF421" s="5"/>
      <c r="AG421" s="9">
        <f t="shared" si="6"/>
        <v>43270</v>
      </c>
    </row>
    <row r="422" s="6" customFormat="1" spans="1:33">
      <c r="A422" s="5" t="s">
        <v>2194</v>
      </c>
      <c r="B422" s="5" t="s">
        <v>2194</v>
      </c>
      <c r="C422" s="5" t="s">
        <v>2195</v>
      </c>
      <c r="D422" s="5" t="s">
        <v>2196</v>
      </c>
      <c r="E422" s="5" t="s">
        <v>614</v>
      </c>
      <c r="F422" s="5" t="s">
        <v>37</v>
      </c>
      <c r="G422" s="5" t="s">
        <v>38</v>
      </c>
      <c r="H422" s="5"/>
      <c r="I422" s="5"/>
      <c r="J422" s="5" t="s">
        <v>39</v>
      </c>
      <c r="K422" s="5" t="s">
        <v>2197</v>
      </c>
      <c r="L422" s="5" t="s">
        <v>2198</v>
      </c>
      <c r="M422" s="5" t="s">
        <v>2199</v>
      </c>
      <c r="N422" s="5" t="s">
        <v>614</v>
      </c>
      <c r="O422" s="5">
        <v>0</v>
      </c>
      <c r="P422" s="5"/>
      <c r="Q422" s="5"/>
      <c r="R422" s="5"/>
      <c r="S422" s="5"/>
      <c r="T422" s="5"/>
      <c r="U422" s="5"/>
      <c r="V422" s="5"/>
      <c r="W422" s="5"/>
      <c r="X422" s="5"/>
      <c r="Y422" s="5" t="s">
        <v>2200</v>
      </c>
      <c r="Z422" s="5" t="s">
        <v>54</v>
      </c>
      <c r="AA422" s="5" t="s">
        <v>2201</v>
      </c>
      <c r="AB422" s="5" t="s">
        <v>46</v>
      </c>
      <c r="AC422" s="5"/>
      <c r="AD422" s="5" t="b">
        <v>0</v>
      </c>
      <c r="AE422" s="5"/>
      <c r="AF422" s="5"/>
      <c r="AG422" s="9">
        <f t="shared" si="6"/>
        <v>43270</v>
      </c>
    </row>
    <row r="423" s="6" customFormat="1" spans="1:33">
      <c r="A423" s="5" t="s">
        <v>2202</v>
      </c>
      <c r="B423" s="5" t="s">
        <v>2202</v>
      </c>
      <c r="C423" s="5" t="s">
        <v>2203</v>
      </c>
      <c r="D423" s="5" t="s">
        <v>2204</v>
      </c>
      <c r="E423" s="5" t="s">
        <v>36</v>
      </c>
      <c r="F423" s="5" t="s">
        <v>37</v>
      </c>
      <c r="G423" s="5" t="s">
        <v>38</v>
      </c>
      <c r="H423" s="5"/>
      <c r="I423" s="5"/>
      <c r="J423" s="5" t="s">
        <v>39</v>
      </c>
      <c r="K423" s="5" t="s">
        <v>1291</v>
      </c>
      <c r="L423" s="5" t="s">
        <v>1292</v>
      </c>
      <c r="M423" s="5" t="s">
        <v>1293</v>
      </c>
      <c r="N423" s="5" t="s">
        <v>36</v>
      </c>
      <c r="O423" s="5">
        <v>1</v>
      </c>
      <c r="P423" s="5" t="s">
        <v>43</v>
      </c>
      <c r="Q423" s="5">
        <v>12.99</v>
      </c>
      <c r="R423" s="5"/>
      <c r="S423" s="5"/>
      <c r="T423" s="5"/>
      <c r="U423" s="5"/>
      <c r="V423" s="5"/>
      <c r="W423" s="5"/>
      <c r="X423" s="5"/>
      <c r="Y423" s="5" t="s">
        <v>2205</v>
      </c>
      <c r="Z423" s="5" t="s">
        <v>505</v>
      </c>
      <c r="AA423" s="5">
        <v>55025</v>
      </c>
      <c r="AB423" s="5" t="s">
        <v>46</v>
      </c>
      <c r="AC423" s="5"/>
      <c r="AD423" s="5" t="b">
        <v>0</v>
      </c>
      <c r="AE423" s="5"/>
      <c r="AF423" s="5"/>
      <c r="AG423" s="9">
        <f t="shared" si="6"/>
        <v>43270</v>
      </c>
    </row>
    <row r="424" s="6" customFormat="1" spans="1:33">
      <c r="A424" s="5" t="s">
        <v>2206</v>
      </c>
      <c r="B424" s="5" t="s">
        <v>2206</v>
      </c>
      <c r="C424" s="5" t="s">
        <v>2207</v>
      </c>
      <c r="D424" s="5" t="s">
        <v>2208</v>
      </c>
      <c r="E424" s="5" t="s">
        <v>36</v>
      </c>
      <c r="F424" s="5" t="s">
        <v>37</v>
      </c>
      <c r="G424" s="5" t="s">
        <v>38</v>
      </c>
      <c r="H424" s="5"/>
      <c r="I424" s="5"/>
      <c r="J424" s="5" t="s">
        <v>39</v>
      </c>
      <c r="K424" s="5" t="s">
        <v>293</v>
      </c>
      <c r="L424" s="5" t="s">
        <v>294</v>
      </c>
      <c r="M424" s="5" t="s">
        <v>295</v>
      </c>
      <c r="N424" s="5" t="s">
        <v>36</v>
      </c>
      <c r="O424" s="5">
        <v>1</v>
      </c>
      <c r="P424" s="5" t="s">
        <v>43</v>
      </c>
      <c r="Q424" s="5">
        <v>18.99</v>
      </c>
      <c r="R424" s="5"/>
      <c r="S424" s="5"/>
      <c r="T424" s="5"/>
      <c r="U424" s="5"/>
      <c r="V424" s="5"/>
      <c r="W424" s="5"/>
      <c r="X424" s="5"/>
      <c r="Y424" s="5" t="s">
        <v>2209</v>
      </c>
      <c r="Z424" s="5" t="s">
        <v>54</v>
      </c>
      <c r="AA424" s="5" t="s">
        <v>2210</v>
      </c>
      <c r="AB424" s="5" t="s">
        <v>46</v>
      </c>
      <c r="AC424" s="5"/>
      <c r="AD424" s="5" t="b">
        <v>0</v>
      </c>
      <c r="AE424" s="5"/>
      <c r="AF424" s="5"/>
      <c r="AG424" s="9">
        <f t="shared" si="6"/>
        <v>43270</v>
      </c>
    </row>
    <row r="425" s="6" customFormat="1" spans="1:33">
      <c r="A425" s="5" t="s">
        <v>2211</v>
      </c>
      <c r="B425" s="5" t="s">
        <v>2211</v>
      </c>
      <c r="C425" s="5" t="s">
        <v>2212</v>
      </c>
      <c r="D425" s="5" t="s">
        <v>2213</v>
      </c>
      <c r="E425" s="5" t="s">
        <v>36</v>
      </c>
      <c r="F425" s="5" t="s">
        <v>37</v>
      </c>
      <c r="G425" s="5" t="s">
        <v>38</v>
      </c>
      <c r="H425" s="5"/>
      <c r="I425" s="5"/>
      <c r="J425" s="5" t="s">
        <v>39</v>
      </c>
      <c r="K425" s="5" t="s">
        <v>67</v>
      </c>
      <c r="L425" s="5" t="s">
        <v>68</v>
      </c>
      <c r="M425" s="5" t="s">
        <v>69</v>
      </c>
      <c r="N425" s="5" t="s">
        <v>36</v>
      </c>
      <c r="O425" s="5">
        <v>1</v>
      </c>
      <c r="P425" s="5" t="s">
        <v>43</v>
      </c>
      <c r="Q425" s="5">
        <v>25.99</v>
      </c>
      <c r="R425" s="5"/>
      <c r="S425" s="5"/>
      <c r="T425" s="5"/>
      <c r="U425" s="5"/>
      <c r="V425" s="5"/>
      <c r="W425" s="5"/>
      <c r="X425" s="5"/>
      <c r="Y425" s="5" t="s">
        <v>2214</v>
      </c>
      <c r="Z425" s="5" t="s">
        <v>142</v>
      </c>
      <c r="AA425" s="5">
        <v>33026</v>
      </c>
      <c r="AB425" s="5" t="s">
        <v>46</v>
      </c>
      <c r="AC425" s="5"/>
      <c r="AD425" s="5" t="b">
        <v>0</v>
      </c>
      <c r="AE425" s="5"/>
      <c r="AF425" s="5"/>
      <c r="AG425" s="9">
        <f t="shared" si="6"/>
        <v>43270</v>
      </c>
    </row>
    <row r="426" s="6" customFormat="1" spans="1:33">
      <c r="A426" s="5" t="s">
        <v>2215</v>
      </c>
      <c r="B426" s="5" t="s">
        <v>2215</v>
      </c>
      <c r="C426" s="5" t="s">
        <v>2216</v>
      </c>
      <c r="D426" s="5" t="s">
        <v>2217</v>
      </c>
      <c r="E426" s="5" t="s">
        <v>36</v>
      </c>
      <c r="F426" s="5" t="s">
        <v>37</v>
      </c>
      <c r="G426" s="5" t="s">
        <v>38</v>
      </c>
      <c r="H426" s="5"/>
      <c r="I426" s="5"/>
      <c r="J426" s="5" t="s">
        <v>39</v>
      </c>
      <c r="K426" s="5" t="s">
        <v>201</v>
      </c>
      <c r="L426" s="5" t="s">
        <v>202</v>
      </c>
      <c r="M426" s="5" t="s">
        <v>203</v>
      </c>
      <c r="N426" s="5" t="s">
        <v>36</v>
      </c>
      <c r="O426" s="5">
        <v>1</v>
      </c>
      <c r="P426" s="5" t="s">
        <v>43</v>
      </c>
      <c r="Q426" s="5">
        <v>18.99</v>
      </c>
      <c r="R426" s="5"/>
      <c r="S426" s="5"/>
      <c r="T426" s="5"/>
      <c r="U426" s="5"/>
      <c r="V426" s="5"/>
      <c r="W426" s="5"/>
      <c r="X426" s="5"/>
      <c r="Y426" s="5" t="s">
        <v>2218</v>
      </c>
      <c r="Z426" s="5" t="s">
        <v>1050</v>
      </c>
      <c r="AA426" s="5">
        <v>54016</v>
      </c>
      <c r="AB426" s="5" t="s">
        <v>46</v>
      </c>
      <c r="AC426" s="5"/>
      <c r="AD426" s="5" t="b">
        <v>0</v>
      </c>
      <c r="AE426" s="5"/>
      <c r="AF426" s="5"/>
      <c r="AG426" s="9">
        <f t="shared" si="6"/>
        <v>43270</v>
      </c>
    </row>
    <row r="427" s="6" customFormat="1" spans="1:33">
      <c r="A427" s="5" t="s">
        <v>2219</v>
      </c>
      <c r="B427" s="5" t="s">
        <v>2219</v>
      </c>
      <c r="C427" s="5" t="s">
        <v>2220</v>
      </c>
      <c r="D427" s="5" t="s">
        <v>2221</v>
      </c>
      <c r="E427" s="5" t="s">
        <v>36</v>
      </c>
      <c r="F427" s="5" t="s">
        <v>37</v>
      </c>
      <c r="G427" s="5" t="s">
        <v>38</v>
      </c>
      <c r="H427" s="5"/>
      <c r="I427" s="5"/>
      <c r="J427" s="5" t="s">
        <v>39</v>
      </c>
      <c r="K427" s="5" t="s">
        <v>2222</v>
      </c>
      <c r="L427" s="5" t="s">
        <v>2223</v>
      </c>
      <c r="M427" s="5" t="s">
        <v>2224</v>
      </c>
      <c r="N427" s="5" t="s">
        <v>36</v>
      </c>
      <c r="O427" s="5">
        <v>1</v>
      </c>
      <c r="P427" s="5" t="s">
        <v>43</v>
      </c>
      <c r="Q427" s="5">
        <v>29.99</v>
      </c>
      <c r="R427" s="5"/>
      <c r="S427" s="5"/>
      <c r="T427" s="5"/>
      <c r="U427" s="5"/>
      <c r="V427" s="5"/>
      <c r="W427" s="5"/>
      <c r="X427" s="5"/>
      <c r="Y427" s="5" t="s">
        <v>2225</v>
      </c>
      <c r="Z427" s="5" t="s">
        <v>223</v>
      </c>
      <c r="AA427" s="5" t="s">
        <v>2226</v>
      </c>
      <c r="AB427" s="5" t="s">
        <v>46</v>
      </c>
      <c r="AC427" s="5"/>
      <c r="AD427" s="5" t="b">
        <v>0</v>
      </c>
      <c r="AE427" s="5"/>
      <c r="AF427" s="5"/>
      <c r="AG427" s="9">
        <f t="shared" si="6"/>
        <v>43270</v>
      </c>
    </row>
    <row r="428" s="6" customFormat="1" spans="1:33">
      <c r="A428" s="5" t="s">
        <v>2227</v>
      </c>
      <c r="B428" s="5" t="s">
        <v>2227</v>
      </c>
      <c r="C428" s="5" t="s">
        <v>2228</v>
      </c>
      <c r="D428" s="5" t="s">
        <v>2229</v>
      </c>
      <c r="E428" s="5" t="s">
        <v>36</v>
      </c>
      <c r="F428" s="5" t="s">
        <v>37</v>
      </c>
      <c r="G428" s="5" t="s">
        <v>38</v>
      </c>
      <c r="H428" s="5"/>
      <c r="I428" s="5"/>
      <c r="J428" s="5" t="s">
        <v>39</v>
      </c>
      <c r="K428" s="5" t="s">
        <v>243</v>
      </c>
      <c r="L428" s="5" t="s">
        <v>244</v>
      </c>
      <c r="M428" s="5" t="s">
        <v>245</v>
      </c>
      <c r="N428" s="5" t="s">
        <v>36</v>
      </c>
      <c r="O428" s="5">
        <v>1</v>
      </c>
      <c r="P428" s="5" t="s">
        <v>43</v>
      </c>
      <c r="Q428" s="5">
        <v>18.99</v>
      </c>
      <c r="R428" s="5"/>
      <c r="S428" s="5"/>
      <c r="T428" s="5"/>
      <c r="U428" s="5"/>
      <c r="V428" s="5"/>
      <c r="W428" s="5"/>
      <c r="X428" s="5"/>
      <c r="Y428" s="5" t="s">
        <v>946</v>
      </c>
      <c r="Z428" s="5" t="s">
        <v>247</v>
      </c>
      <c r="AA428" s="5">
        <v>77098</v>
      </c>
      <c r="AB428" s="5" t="s">
        <v>46</v>
      </c>
      <c r="AC428" s="5"/>
      <c r="AD428" s="5" t="b">
        <v>0</v>
      </c>
      <c r="AE428" s="5"/>
      <c r="AF428" s="5"/>
      <c r="AG428" s="9">
        <f t="shared" si="6"/>
        <v>43270</v>
      </c>
    </row>
    <row r="429" s="6" customFormat="1" spans="1:33">
      <c r="A429" s="5" t="s">
        <v>2230</v>
      </c>
      <c r="B429" s="5" t="s">
        <v>2230</v>
      </c>
      <c r="C429" s="5" t="s">
        <v>2231</v>
      </c>
      <c r="D429" s="5" t="s">
        <v>2232</v>
      </c>
      <c r="E429" s="5" t="s">
        <v>36</v>
      </c>
      <c r="F429" s="5" t="s">
        <v>37</v>
      </c>
      <c r="G429" s="5" t="s">
        <v>38</v>
      </c>
      <c r="H429" s="5"/>
      <c r="I429" s="5"/>
      <c r="J429" s="5" t="s">
        <v>39</v>
      </c>
      <c r="K429" s="5" t="s">
        <v>760</v>
      </c>
      <c r="L429" s="5" t="s">
        <v>761</v>
      </c>
      <c r="M429" s="5" t="s">
        <v>762</v>
      </c>
      <c r="N429" s="5" t="s">
        <v>36</v>
      </c>
      <c r="O429" s="5">
        <v>1</v>
      </c>
      <c r="P429" s="5" t="s">
        <v>43</v>
      </c>
      <c r="Q429" s="5">
        <v>10</v>
      </c>
      <c r="R429" s="5">
        <v>0.84</v>
      </c>
      <c r="S429" s="5"/>
      <c r="T429" s="5"/>
      <c r="U429" s="5"/>
      <c r="V429" s="5"/>
      <c r="W429" s="5"/>
      <c r="X429" s="5"/>
      <c r="Y429" s="5" t="s">
        <v>2233</v>
      </c>
      <c r="Z429" s="5" t="s">
        <v>474</v>
      </c>
      <c r="AA429" s="5" t="s">
        <v>2234</v>
      </c>
      <c r="AB429" s="5" t="s">
        <v>46</v>
      </c>
      <c r="AC429" s="5"/>
      <c r="AD429" s="5" t="b">
        <v>0</v>
      </c>
      <c r="AE429" s="5"/>
      <c r="AF429" s="5"/>
      <c r="AG429" s="9">
        <f t="shared" si="6"/>
        <v>43270</v>
      </c>
    </row>
    <row r="430" s="6" customFormat="1" spans="1:33">
      <c r="A430" s="5" t="s">
        <v>2235</v>
      </c>
      <c r="B430" s="5" t="s">
        <v>2235</v>
      </c>
      <c r="C430" s="5" t="s">
        <v>2236</v>
      </c>
      <c r="D430" s="5" t="s">
        <v>2237</v>
      </c>
      <c r="E430" s="5" t="s">
        <v>36</v>
      </c>
      <c r="F430" s="5" t="s">
        <v>37</v>
      </c>
      <c r="G430" s="5" t="s">
        <v>38</v>
      </c>
      <c r="H430" s="5"/>
      <c r="I430" s="5"/>
      <c r="J430" s="5" t="s">
        <v>39</v>
      </c>
      <c r="K430" s="5" t="s">
        <v>201</v>
      </c>
      <c r="L430" s="5" t="s">
        <v>202</v>
      </c>
      <c r="M430" s="5" t="s">
        <v>203</v>
      </c>
      <c r="N430" s="5" t="s">
        <v>36</v>
      </c>
      <c r="O430" s="5">
        <v>1</v>
      </c>
      <c r="P430" s="5" t="s">
        <v>43</v>
      </c>
      <c r="Q430" s="5">
        <v>18.99</v>
      </c>
      <c r="R430" s="5"/>
      <c r="S430" s="5"/>
      <c r="T430" s="5"/>
      <c r="U430" s="5"/>
      <c r="V430" s="5"/>
      <c r="W430" s="5"/>
      <c r="X430" s="5"/>
      <c r="Y430" s="5" t="s">
        <v>2238</v>
      </c>
      <c r="Z430" s="5" t="s">
        <v>223</v>
      </c>
      <c r="AA430" s="5" t="s">
        <v>2239</v>
      </c>
      <c r="AB430" s="5" t="s">
        <v>46</v>
      </c>
      <c r="AC430" s="5"/>
      <c r="AD430" s="5" t="b">
        <v>0</v>
      </c>
      <c r="AE430" s="5"/>
      <c r="AF430" s="5"/>
      <c r="AG430" s="9">
        <f t="shared" si="6"/>
        <v>43270</v>
      </c>
    </row>
    <row r="431" s="6" customFormat="1" spans="1:33">
      <c r="A431" s="5" t="s">
        <v>2240</v>
      </c>
      <c r="B431" s="5" t="s">
        <v>2240</v>
      </c>
      <c r="C431" s="5" t="s">
        <v>2241</v>
      </c>
      <c r="D431" s="5" t="s">
        <v>2242</v>
      </c>
      <c r="E431" s="5" t="s">
        <v>36</v>
      </c>
      <c r="F431" s="5" t="s">
        <v>37</v>
      </c>
      <c r="G431" s="5" t="s">
        <v>38</v>
      </c>
      <c r="H431" s="5"/>
      <c r="I431" s="5"/>
      <c r="J431" s="5" t="s">
        <v>128</v>
      </c>
      <c r="K431" s="5" t="s">
        <v>269</v>
      </c>
      <c r="L431" s="5" t="s">
        <v>1958</v>
      </c>
      <c r="M431" s="5" t="s">
        <v>271</v>
      </c>
      <c r="N431" s="5" t="s">
        <v>36</v>
      </c>
      <c r="O431" s="5">
        <v>1</v>
      </c>
      <c r="P431" s="5" t="s">
        <v>43</v>
      </c>
      <c r="Q431" s="5">
        <v>25.99</v>
      </c>
      <c r="R431" s="5"/>
      <c r="S431" s="5"/>
      <c r="T431" s="5"/>
      <c r="U431" s="5"/>
      <c r="V431" s="5"/>
      <c r="W431" s="5"/>
      <c r="X431" s="5"/>
      <c r="Y431" s="5" t="s">
        <v>2243</v>
      </c>
      <c r="Z431" s="5" t="s">
        <v>54</v>
      </c>
      <c r="AA431" s="5" t="s">
        <v>2244</v>
      </c>
      <c r="AB431" s="5" t="s">
        <v>46</v>
      </c>
      <c r="AC431" s="5"/>
      <c r="AD431" s="5" t="b">
        <v>0</v>
      </c>
      <c r="AE431" s="5"/>
      <c r="AF431" s="5"/>
      <c r="AG431" s="9">
        <f t="shared" si="6"/>
        <v>43270</v>
      </c>
    </row>
    <row r="432" s="6" customFormat="1" spans="1:33">
      <c r="A432" s="5" t="s">
        <v>2245</v>
      </c>
      <c r="B432" s="5" t="s">
        <v>2245</v>
      </c>
      <c r="C432" s="5" t="s">
        <v>2246</v>
      </c>
      <c r="D432" s="5" t="s">
        <v>2247</v>
      </c>
      <c r="E432" s="5" t="s">
        <v>36</v>
      </c>
      <c r="F432" s="5" t="s">
        <v>37</v>
      </c>
      <c r="G432" s="5" t="s">
        <v>38</v>
      </c>
      <c r="H432" s="5"/>
      <c r="I432" s="5"/>
      <c r="J432" s="5" t="s">
        <v>39</v>
      </c>
      <c r="K432" s="5" t="s">
        <v>409</v>
      </c>
      <c r="L432" s="5" t="s">
        <v>2248</v>
      </c>
      <c r="M432" s="5" t="s">
        <v>2249</v>
      </c>
      <c r="N432" s="5" t="s">
        <v>36</v>
      </c>
      <c r="O432" s="5">
        <v>1</v>
      </c>
      <c r="P432" s="5" t="s">
        <v>43</v>
      </c>
      <c r="Q432" s="5">
        <v>9.9</v>
      </c>
      <c r="R432" s="5"/>
      <c r="S432" s="5"/>
      <c r="T432" s="5"/>
      <c r="U432" s="5"/>
      <c r="V432" s="5"/>
      <c r="W432" s="5"/>
      <c r="X432" s="5"/>
      <c r="Y432" s="5" t="s">
        <v>2250</v>
      </c>
      <c r="Z432" s="5" t="s">
        <v>96</v>
      </c>
      <c r="AA432" s="5" t="s">
        <v>2251</v>
      </c>
      <c r="AB432" s="5" t="s">
        <v>46</v>
      </c>
      <c r="AC432" s="5"/>
      <c r="AD432" s="5" t="b">
        <v>0</v>
      </c>
      <c r="AE432" s="5"/>
      <c r="AF432" s="5"/>
      <c r="AG432" s="9">
        <f t="shared" si="6"/>
        <v>43270</v>
      </c>
    </row>
    <row r="433" s="6" customFormat="1" spans="1:33">
      <c r="A433" s="5" t="s">
        <v>2252</v>
      </c>
      <c r="B433" s="5" t="s">
        <v>2252</v>
      </c>
      <c r="C433" s="5" t="s">
        <v>2253</v>
      </c>
      <c r="D433" s="5" t="s">
        <v>2254</v>
      </c>
      <c r="E433" s="5" t="s">
        <v>614</v>
      </c>
      <c r="F433" s="5" t="s">
        <v>37</v>
      </c>
      <c r="G433" s="5" t="s">
        <v>38</v>
      </c>
      <c r="H433" s="5"/>
      <c r="I433" s="5"/>
      <c r="J433" s="5" t="s">
        <v>39</v>
      </c>
      <c r="K433" s="5" t="s">
        <v>1756</v>
      </c>
      <c r="L433" s="5" t="s">
        <v>1757</v>
      </c>
      <c r="M433" s="5" t="s">
        <v>1758</v>
      </c>
      <c r="N433" s="5" t="s">
        <v>614</v>
      </c>
      <c r="O433" s="5">
        <v>0</v>
      </c>
      <c r="P433" s="5"/>
      <c r="Q433" s="5"/>
      <c r="R433" s="5"/>
      <c r="S433" s="5"/>
      <c r="T433" s="5"/>
      <c r="U433" s="5"/>
      <c r="V433" s="5"/>
      <c r="W433" s="5"/>
      <c r="X433" s="5"/>
      <c r="Y433" s="5" t="s">
        <v>150</v>
      </c>
      <c r="Z433" s="5" t="s">
        <v>151</v>
      </c>
      <c r="AA433" s="5" t="s">
        <v>1759</v>
      </c>
      <c r="AB433" s="5" t="s">
        <v>46</v>
      </c>
      <c r="AC433" s="5"/>
      <c r="AD433" s="5" t="b">
        <v>0</v>
      </c>
      <c r="AE433" s="5"/>
      <c r="AF433" s="5"/>
      <c r="AG433" s="9">
        <f t="shared" si="6"/>
        <v>43270</v>
      </c>
    </row>
    <row r="434" s="6" customFormat="1" spans="1:33">
      <c r="A434" s="5" t="s">
        <v>2252</v>
      </c>
      <c r="B434" s="5" t="s">
        <v>2252</v>
      </c>
      <c r="C434" s="5" t="s">
        <v>2253</v>
      </c>
      <c r="D434" s="5" t="s">
        <v>2254</v>
      </c>
      <c r="E434" s="5" t="s">
        <v>614</v>
      </c>
      <c r="F434" s="5" t="s">
        <v>37</v>
      </c>
      <c r="G434" s="5" t="s">
        <v>38</v>
      </c>
      <c r="H434" s="5"/>
      <c r="I434" s="5"/>
      <c r="J434" s="5" t="s">
        <v>39</v>
      </c>
      <c r="K434" s="5" t="s">
        <v>1756</v>
      </c>
      <c r="L434" s="5" t="s">
        <v>1757</v>
      </c>
      <c r="M434" s="5" t="s">
        <v>1758</v>
      </c>
      <c r="N434" s="5" t="s">
        <v>614</v>
      </c>
      <c r="O434" s="5">
        <v>0</v>
      </c>
      <c r="P434" s="5"/>
      <c r="Q434" s="5"/>
      <c r="R434" s="5"/>
      <c r="S434" s="5"/>
      <c r="T434" s="5"/>
      <c r="U434" s="5"/>
      <c r="V434" s="5"/>
      <c r="W434" s="5"/>
      <c r="X434" s="5"/>
      <c r="Y434" s="5" t="s">
        <v>150</v>
      </c>
      <c r="Z434" s="5" t="s">
        <v>151</v>
      </c>
      <c r="AA434" s="5" t="s">
        <v>1759</v>
      </c>
      <c r="AB434" s="5" t="s">
        <v>46</v>
      </c>
      <c r="AC434" s="5"/>
      <c r="AD434" s="5" t="b">
        <v>0</v>
      </c>
      <c r="AE434" s="5"/>
      <c r="AF434" s="5"/>
      <c r="AG434" s="9">
        <f t="shared" si="6"/>
        <v>43270</v>
      </c>
    </row>
    <row r="435" s="6" customFormat="1" spans="1:33">
      <c r="A435" s="5" t="s">
        <v>2255</v>
      </c>
      <c r="B435" s="5" t="s">
        <v>2255</v>
      </c>
      <c r="C435" s="5" t="s">
        <v>2256</v>
      </c>
      <c r="D435" s="5" t="s">
        <v>2257</v>
      </c>
      <c r="E435" s="5" t="s">
        <v>36</v>
      </c>
      <c r="F435" s="5" t="s">
        <v>37</v>
      </c>
      <c r="G435" s="5" t="s">
        <v>38</v>
      </c>
      <c r="H435" s="5"/>
      <c r="I435" s="5"/>
      <c r="J435" s="5" t="s">
        <v>39</v>
      </c>
      <c r="K435" s="5" t="s">
        <v>75</v>
      </c>
      <c r="L435" s="5" t="s">
        <v>76</v>
      </c>
      <c r="M435" s="5" t="s">
        <v>77</v>
      </c>
      <c r="N435" s="5" t="s">
        <v>36</v>
      </c>
      <c r="O435" s="5">
        <v>1</v>
      </c>
      <c r="P435" s="5" t="s">
        <v>43</v>
      </c>
      <c r="Q435" s="5">
        <v>12.99</v>
      </c>
      <c r="R435" s="5"/>
      <c r="S435" s="5"/>
      <c r="T435" s="5"/>
      <c r="U435" s="5"/>
      <c r="V435" s="5"/>
      <c r="W435" s="5"/>
      <c r="X435" s="5"/>
      <c r="Y435" s="5" t="s">
        <v>2258</v>
      </c>
      <c r="Z435" s="5" t="s">
        <v>151</v>
      </c>
      <c r="AA435" s="5" t="s">
        <v>2259</v>
      </c>
      <c r="AB435" s="5" t="s">
        <v>46</v>
      </c>
      <c r="AC435" s="5"/>
      <c r="AD435" s="5" t="b">
        <v>0</v>
      </c>
      <c r="AE435" s="5"/>
      <c r="AF435" s="5"/>
      <c r="AG435" s="9">
        <f t="shared" si="6"/>
        <v>43270</v>
      </c>
    </row>
    <row r="436" s="6" customFormat="1" spans="1:33">
      <c r="A436" s="5" t="s">
        <v>2260</v>
      </c>
      <c r="B436" s="5" t="s">
        <v>2260</v>
      </c>
      <c r="C436" s="5" t="s">
        <v>2261</v>
      </c>
      <c r="D436" s="5" t="s">
        <v>2262</v>
      </c>
      <c r="E436" s="5" t="s">
        <v>36</v>
      </c>
      <c r="F436" s="5" t="s">
        <v>37</v>
      </c>
      <c r="G436" s="5" t="s">
        <v>38</v>
      </c>
      <c r="H436" s="5"/>
      <c r="I436" s="5"/>
      <c r="J436" s="5" t="s">
        <v>39</v>
      </c>
      <c r="K436" s="5" t="s">
        <v>2222</v>
      </c>
      <c r="L436" s="5" t="s">
        <v>2223</v>
      </c>
      <c r="M436" s="5" t="s">
        <v>2224</v>
      </c>
      <c r="N436" s="5" t="s">
        <v>36</v>
      </c>
      <c r="O436" s="5">
        <v>1</v>
      </c>
      <c r="P436" s="5" t="s">
        <v>43</v>
      </c>
      <c r="Q436" s="5">
        <v>29.99</v>
      </c>
      <c r="R436" s="5"/>
      <c r="S436" s="5"/>
      <c r="T436" s="5"/>
      <c r="U436" s="5"/>
      <c r="V436" s="5"/>
      <c r="W436" s="5"/>
      <c r="X436" s="5"/>
      <c r="Y436" s="5" t="s">
        <v>2263</v>
      </c>
      <c r="Z436" s="5" t="s">
        <v>218</v>
      </c>
      <c r="AA436" s="5" t="s">
        <v>2264</v>
      </c>
      <c r="AB436" s="5" t="s">
        <v>46</v>
      </c>
      <c r="AC436" s="5"/>
      <c r="AD436" s="5" t="b">
        <v>0</v>
      </c>
      <c r="AE436" s="5"/>
      <c r="AF436" s="5"/>
      <c r="AG436" s="9">
        <f t="shared" si="6"/>
        <v>43270</v>
      </c>
    </row>
    <row r="437" s="6" customFormat="1" spans="1:33">
      <c r="A437" s="5" t="s">
        <v>2265</v>
      </c>
      <c r="B437" s="5" t="s">
        <v>2265</v>
      </c>
      <c r="C437" s="5" t="s">
        <v>2266</v>
      </c>
      <c r="D437" s="5" t="s">
        <v>2267</v>
      </c>
      <c r="E437" s="5" t="s">
        <v>36</v>
      </c>
      <c r="F437" s="5" t="s">
        <v>37</v>
      </c>
      <c r="G437" s="5" t="s">
        <v>38</v>
      </c>
      <c r="H437" s="5"/>
      <c r="I437" s="5"/>
      <c r="J437" s="5" t="s">
        <v>39</v>
      </c>
      <c r="K437" s="5" t="s">
        <v>119</v>
      </c>
      <c r="L437" s="5" t="s">
        <v>2099</v>
      </c>
      <c r="M437" s="5" t="s">
        <v>121</v>
      </c>
      <c r="N437" s="5" t="s">
        <v>36</v>
      </c>
      <c r="O437" s="5">
        <v>1</v>
      </c>
      <c r="P437" s="5" t="s">
        <v>43</v>
      </c>
      <c r="Q437" s="5">
        <v>25.99</v>
      </c>
      <c r="R437" s="5"/>
      <c r="S437" s="5"/>
      <c r="T437" s="5"/>
      <c r="U437" s="5"/>
      <c r="V437" s="5"/>
      <c r="W437" s="5"/>
      <c r="X437" s="5"/>
      <c r="Y437" s="5" t="s">
        <v>2268</v>
      </c>
      <c r="Z437" s="5" t="s">
        <v>151</v>
      </c>
      <c r="AA437" s="5" t="s">
        <v>2269</v>
      </c>
      <c r="AB437" s="5" t="s">
        <v>46</v>
      </c>
      <c r="AC437" s="5"/>
      <c r="AD437" s="5" t="b">
        <v>0</v>
      </c>
      <c r="AE437" s="5"/>
      <c r="AF437" s="5"/>
      <c r="AG437" s="9">
        <f t="shared" si="6"/>
        <v>43270</v>
      </c>
    </row>
    <row r="438" s="6" customFormat="1" spans="1:33">
      <c r="A438" s="5" t="s">
        <v>2270</v>
      </c>
      <c r="B438" s="5" t="s">
        <v>2270</v>
      </c>
      <c r="C438" s="5" t="s">
        <v>2271</v>
      </c>
      <c r="D438" s="5" t="s">
        <v>2272</v>
      </c>
      <c r="E438" s="5" t="s">
        <v>36</v>
      </c>
      <c r="F438" s="5" t="s">
        <v>37</v>
      </c>
      <c r="G438" s="5" t="s">
        <v>38</v>
      </c>
      <c r="H438" s="5"/>
      <c r="I438" s="5"/>
      <c r="J438" s="5" t="s">
        <v>39</v>
      </c>
      <c r="K438" s="5" t="s">
        <v>2197</v>
      </c>
      <c r="L438" s="5" t="s">
        <v>2198</v>
      </c>
      <c r="M438" s="5" t="s">
        <v>2199</v>
      </c>
      <c r="N438" s="5" t="s">
        <v>36</v>
      </c>
      <c r="O438" s="5">
        <v>1</v>
      </c>
      <c r="P438" s="5" t="s">
        <v>43</v>
      </c>
      <c r="Q438" s="5">
        <v>25.99</v>
      </c>
      <c r="R438" s="5"/>
      <c r="S438" s="5"/>
      <c r="T438" s="5"/>
      <c r="U438" s="5"/>
      <c r="V438" s="5"/>
      <c r="W438" s="5"/>
      <c r="X438" s="5"/>
      <c r="Y438" s="5" t="s">
        <v>2273</v>
      </c>
      <c r="Z438" s="5" t="s">
        <v>142</v>
      </c>
      <c r="AA438" s="5" t="s">
        <v>2274</v>
      </c>
      <c r="AB438" s="5" t="s">
        <v>46</v>
      </c>
      <c r="AC438" s="5"/>
      <c r="AD438" s="5" t="b">
        <v>0</v>
      </c>
      <c r="AE438" s="5"/>
      <c r="AF438" s="5"/>
      <c r="AG438" s="9">
        <f t="shared" si="6"/>
        <v>43270</v>
      </c>
    </row>
    <row r="439" spans="1:33">
      <c r="A439" s="5" t="s">
        <v>2275</v>
      </c>
      <c r="B439" s="5" t="s">
        <v>2275</v>
      </c>
      <c r="C439" s="5" t="s">
        <v>2276</v>
      </c>
      <c r="D439" s="5" t="s">
        <v>2277</v>
      </c>
      <c r="E439" s="5" t="s">
        <v>36</v>
      </c>
      <c r="F439" s="5" t="s">
        <v>37</v>
      </c>
      <c r="G439" s="5" t="s">
        <v>38</v>
      </c>
      <c r="H439" s="5"/>
      <c r="I439" s="5"/>
      <c r="J439" s="5" t="s">
        <v>39</v>
      </c>
      <c r="K439" s="5" t="s">
        <v>1625</v>
      </c>
      <c r="L439" s="5" t="s">
        <v>2278</v>
      </c>
      <c r="M439" s="5" t="s">
        <v>2279</v>
      </c>
      <c r="N439" s="5" t="s">
        <v>36</v>
      </c>
      <c r="O439" s="5">
        <v>1</v>
      </c>
      <c r="P439" s="5" t="s">
        <v>43</v>
      </c>
      <c r="Q439" s="5">
        <v>17.9</v>
      </c>
      <c r="R439" s="5"/>
      <c r="S439" s="5"/>
      <c r="T439" s="5"/>
      <c r="U439" s="5"/>
      <c r="V439" s="5"/>
      <c r="W439" s="5"/>
      <c r="X439" s="5"/>
      <c r="Y439" s="5" t="s">
        <v>955</v>
      </c>
      <c r="Z439" s="5" t="s">
        <v>142</v>
      </c>
      <c r="AA439" s="5" t="s">
        <v>2280</v>
      </c>
      <c r="AB439" s="5" t="s">
        <v>46</v>
      </c>
      <c r="AC439" s="5"/>
      <c r="AD439" s="5" t="b">
        <v>0</v>
      </c>
      <c r="AE439" s="5"/>
      <c r="AF439" s="5"/>
      <c r="AG439" s="9">
        <f t="shared" si="6"/>
        <v>43270</v>
      </c>
    </row>
    <row r="440" spans="1:33">
      <c r="A440" s="5" t="s">
        <v>2281</v>
      </c>
      <c r="B440" s="5" t="s">
        <v>2281</v>
      </c>
      <c r="C440" s="5" t="s">
        <v>2282</v>
      </c>
      <c r="D440" s="5" t="s">
        <v>2283</v>
      </c>
      <c r="E440" s="5" t="s">
        <v>36</v>
      </c>
      <c r="F440" s="5" t="s">
        <v>37</v>
      </c>
      <c r="G440" s="5" t="s">
        <v>38</v>
      </c>
      <c r="H440" s="5"/>
      <c r="I440" s="5"/>
      <c r="J440" s="5" t="s">
        <v>156</v>
      </c>
      <c r="K440" s="5" t="s">
        <v>587</v>
      </c>
      <c r="L440" s="5" t="s">
        <v>588</v>
      </c>
      <c r="M440" s="5" t="s">
        <v>589</v>
      </c>
      <c r="N440" s="5" t="s">
        <v>36</v>
      </c>
      <c r="O440" s="5">
        <v>1</v>
      </c>
      <c r="P440" s="5" t="s">
        <v>43</v>
      </c>
      <c r="Q440" s="5">
        <v>18.99</v>
      </c>
      <c r="R440" s="5"/>
      <c r="S440" s="5">
        <v>3.99</v>
      </c>
      <c r="T440" s="5"/>
      <c r="U440" s="5"/>
      <c r="V440" s="5"/>
      <c r="W440" s="5"/>
      <c r="X440" s="5"/>
      <c r="Y440" s="5" t="s">
        <v>2284</v>
      </c>
      <c r="Z440" s="5" t="s">
        <v>105</v>
      </c>
      <c r="AA440" s="5" t="s">
        <v>2285</v>
      </c>
      <c r="AB440" s="5" t="s">
        <v>46</v>
      </c>
      <c r="AC440" s="5"/>
      <c r="AD440" s="5" t="b">
        <v>0</v>
      </c>
      <c r="AE440" s="5"/>
      <c r="AF440" s="5"/>
      <c r="AG440" s="9">
        <f t="shared" si="6"/>
        <v>43270</v>
      </c>
    </row>
    <row r="441" spans="1:33">
      <c r="A441" s="5" t="s">
        <v>2286</v>
      </c>
      <c r="B441" s="5" t="s">
        <v>2286</v>
      </c>
      <c r="C441" s="5" t="s">
        <v>2287</v>
      </c>
      <c r="D441" s="5" t="s">
        <v>2288</v>
      </c>
      <c r="E441" s="5" t="s">
        <v>36</v>
      </c>
      <c r="F441" s="5" t="s">
        <v>37</v>
      </c>
      <c r="G441" s="5" t="s">
        <v>38</v>
      </c>
      <c r="H441" s="5"/>
      <c r="I441" s="5"/>
      <c r="J441" s="5" t="s">
        <v>128</v>
      </c>
      <c r="K441" s="5" t="s">
        <v>459</v>
      </c>
      <c r="L441" s="5" t="s">
        <v>460</v>
      </c>
      <c r="M441" s="5" t="s">
        <v>461</v>
      </c>
      <c r="N441" s="5" t="s">
        <v>36</v>
      </c>
      <c r="O441" s="5">
        <v>1</v>
      </c>
      <c r="P441" s="5" t="s">
        <v>43</v>
      </c>
      <c r="Q441" s="5">
        <v>15.98</v>
      </c>
      <c r="R441" s="5"/>
      <c r="S441" s="5"/>
      <c r="T441" s="5"/>
      <c r="U441" s="5"/>
      <c r="V441" s="5"/>
      <c r="W441" s="5"/>
      <c r="X441" s="5"/>
      <c r="Y441" s="5" t="s">
        <v>2289</v>
      </c>
      <c r="Z441" s="5" t="s">
        <v>151</v>
      </c>
      <c r="AA441" s="5">
        <v>14052</v>
      </c>
      <c r="AB441" s="5" t="s">
        <v>46</v>
      </c>
      <c r="AC441" s="5"/>
      <c r="AD441" s="5" t="b">
        <v>0</v>
      </c>
      <c r="AE441" s="5"/>
      <c r="AF441" s="5"/>
      <c r="AG441" s="9">
        <f t="shared" si="6"/>
        <v>43270</v>
      </c>
    </row>
    <row r="442" spans="1:33">
      <c r="A442" s="5" t="s">
        <v>2290</v>
      </c>
      <c r="B442" s="5" t="s">
        <v>2290</v>
      </c>
      <c r="C442" s="5" t="s">
        <v>2291</v>
      </c>
      <c r="D442" s="5" t="s">
        <v>2292</v>
      </c>
      <c r="E442" s="5" t="s">
        <v>36</v>
      </c>
      <c r="F442" s="5" t="s">
        <v>37</v>
      </c>
      <c r="G442" s="5" t="s">
        <v>38</v>
      </c>
      <c r="H442" s="5"/>
      <c r="I442" s="5"/>
      <c r="J442" s="5" t="s">
        <v>39</v>
      </c>
      <c r="K442" s="5" t="s">
        <v>75</v>
      </c>
      <c r="L442" s="5" t="s">
        <v>76</v>
      </c>
      <c r="M442" s="5" t="s">
        <v>77</v>
      </c>
      <c r="N442" s="5" t="s">
        <v>36</v>
      </c>
      <c r="O442" s="5">
        <v>1</v>
      </c>
      <c r="P442" s="5" t="s">
        <v>43</v>
      </c>
      <c r="Q442" s="5">
        <v>12.99</v>
      </c>
      <c r="R442" s="5"/>
      <c r="S442" s="5"/>
      <c r="T442" s="5"/>
      <c r="U442" s="5"/>
      <c r="V442" s="5"/>
      <c r="W442" s="5"/>
      <c r="X442" s="5"/>
      <c r="Y442" s="5" t="s">
        <v>2293</v>
      </c>
      <c r="Z442" s="5" t="s">
        <v>123</v>
      </c>
      <c r="AA442" s="5" t="s">
        <v>2294</v>
      </c>
      <c r="AB442" s="5" t="s">
        <v>46</v>
      </c>
      <c r="AC442" s="5"/>
      <c r="AD442" s="5" t="b">
        <v>0</v>
      </c>
      <c r="AE442" s="5"/>
      <c r="AF442" s="5"/>
      <c r="AG442" s="9">
        <f t="shared" si="6"/>
        <v>43270</v>
      </c>
    </row>
    <row r="443" spans="1:33">
      <c r="A443" s="5" t="s">
        <v>2295</v>
      </c>
      <c r="B443" s="5" t="s">
        <v>2295</v>
      </c>
      <c r="C443" s="5" t="s">
        <v>2296</v>
      </c>
      <c r="D443" s="5" t="s">
        <v>2297</v>
      </c>
      <c r="E443" s="5" t="s">
        <v>36</v>
      </c>
      <c r="F443" s="5" t="s">
        <v>37</v>
      </c>
      <c r="G443" s="5" t="s">
        <v>38</v>
      </c>
      <c r="H443" s="5"/>
      <c r="I443" s="5"/>
      <c r="J443" s="5" t="s">
        <v>39</v>
      </c>
      <c r="K443" s="5" t="s">
        <v>75</v>
      </c>
      <c r="L443" s="5" t="s">
        <v>76</v>
      </c>
      <c r="M443" s="5" t="s">
        <v>77</v>
      </c>
      <c r="N443" s="5" t="s">
        <v>36</v>
      </c>
      <c r="O443" s="5">
        <v>1</v>
      </c>
      <c r="P443" s="5" t="s">
        <v>43</v>
      </c>
      <c r="Q443" s="5">
        <v>12.99</v>
      </c>
      <c r="R443" s="5"/>
      <c r="S443" s="5"/>
      <c r="T443" s="5"/>
      <c r="U443" s="5"/>
      <c r="V443" s="5"/>
      <c r="W443" s="5"/>
      <c r="X443" s="5"/>
      <c r="Y443" s="5" t="s">
        <v>150</v>
      </c>
      <c r="Z443" s="5" t="s">
        <v>151</v>
      </c>
      <c r="AA443" s="5" t="s">
        <v>2298</v>
      </c>
      <c r="AB443" s="5" t="s">
        <v>46</v>
      </c>
      <c r="AC443" s="5"/>
      <c r="AD443" s="5" t="b">
        <v>0</v>
      </c>
      <c r="AE443" s="5"/>
      <c r="AF443" s="5"/>
      <c r="AG443" s="9">
        <f t="shared" si="6"/>
        <v>43270</v>
      </c>
    </row>
    <row r="444" spans="1:33">
      <c r="A444" s="5" t="s">
        <v>2299</v>
      </c>
      <c r="B444" s="5" t="s">
        <v>2299</v>
      </c>
      <c r="C444" s="5" t="s">
        <v>2300</v>
      </c>
      <c r="D444" s="5" t="s">
        <v>2301</v>
      </c>
      <c r="E444" s="5" t="s">
        <v>36</v>
      </c>
      <c r="F444" s="5" t="s">
        <v>37</v>
      </c>
      <c r="G444" s="5" t="s">
        <v>38</v>
      </c>
      <c r="H444" s="5"/>
      <c r="I444" s="5"/>
      <c r="J444" s="5" t="s">
        <v>39</v>
      </c>
      <c r="K444" s="5" t="s">
        <v>243</v>
      </c>
      <c r="L444" s="5" t="s">
        <v>244</v>
      </c>
      <c r="M444" s="5" t="s">
        <v>245</v>
      </c>
      <c r="N444" s="5" t="s">
        <v>36</v>
      </c>
      <c r="O444" s="5">
        <v>1</v>
      </c>
      <c r="P444" s="5" t="s">
        <v>43</v>
      </c>
      <c r="Q444" s="5">
        <v>18.99</v>
      </c>
      <c r="R444" s="5"/>
      <c r="S444" s="5"/>
      <c r="T444" s="5"/>
      <c r="U444" s="5"/>
      <c r="V444" s="5"/>
      <c r="W444" s="5"/>
      <c r="X444" s="5"/>
      <c r="Y444" s="5" t="s">
        <v>2302</v>
      </c>
      <c r="Z444" s="5" t="s">
        <v>105</v>
      </c>
      <c r="AA444" s="5" t="s">
        <v>2303</v>
      </c>
      <c r="AB444" s="5" t="s">
        <v>46</v>
      </c>
      <c r="AC444" s="5"/>
      <c r="AD444" s="5" t="b">
        <v>0</v>
      </c>
      <c r="AE444" s="5"/>
      <c r="AF444" s="5"/>
      <c r="AG444" s="9">
        <f t="shared" si="6"/>
        <v>43270</v>
      </c>
    </row>
    <row r="445" spans="1:33">
      <c r="A445" s="5" t="s">
        <v>2304</v>
      </c>
      <c r="B445" s="5" t="s">
        <v>2304</v>
      </c>
      <c r="C445" s="5" t="s">
        <v>2305</v>
      </c>
      <c r="D445" s="5" t="s">
        <v>2306</v>
      </c>
      <c r="E445" s="5" t="s">
        <v>36</v>
      </c>
      <c r="F445" s="5" t="s">
        <v>37</v>
      </c>
      <c r="G445" s="5" t="s">
        <v>38</v>
      </c>
      <c r="H445" s="5"/>
      <c r="I445" s="5"/>
      <c r="J445" s="5" t="s">
        <v>39</v>
      </c>
      <c r="K445" s="5" t="s">
        <v>75</v>
      </c>
      <c r="L445" s="5" t="s">
        <v>76</v>
      </c>
      <c r="M445" s="5" t="s">
        <v>77</v>
      </c>
      <c r="N445" s="5" t="s">
        <v>36</v>
      </c>
      <c r="O445" s="5">
        <v>1</v>
      </c>
      <c r="P445" s="5" t="s">
        <v>43</v>
      </c>
      <c r="Q445" s="5">
        <v>12.99</v>
      </c>
      <c r="R445" s="5"/>
      <c r="S445" s="5"/>
      <c r="T445" s="5"/>
      <c r="U445" s="5"/>
      <c r="V445" s="5"/>
      <c r="W445" s="5"/>
      <c r="X445" s="5"/>
      <c r="Y445" s="5" t="s">
        <v>2307</v>
      </c>
      <c r="Z445" s="5" t="s">
        <v>282</v>
      </c>
      <c r="AA445" s="5" t="s">
        <v>2308</v>
      </c>
      <c r="AB445" s="5" t="s">
        <v>46</v>
      </c>
      <c r="AC445" s="5"/>
      <c r="AD445" s="5" t="b">
        <v>0</v>
      </c>
      <c r="AE445" s="5"/>
      <c r="AF445" s="5"/>
      <c r="AG445" s="9">
        <f t="shared" si="6"/>
        <v>43270</v>
      </c>
    </row>
    <row r="446" spans="1:33">
      <c r="A446" s="5" t="s">
        <v>2309</v>
      </c>
      <c r="B446" s="5" t="s">
        <v>2309</v>
      </c>
      <c r="C446" s="5" t="s">
        <v>2310</v>
      </c>
      <c r="D446" s="5" t="s">
        <v>2311</v>
      </c>
      <c r="E446" s="5" t="s">
        <v>36</v>
      </c>
      <c r="F446" s="5" t="s">
        <v>37</v>
      </c>
      <c r="G446" s="5" t="s">
        <v>38</v>
      </c>
      <c r="H446" s="5"/>
      <c r="I446" s="5"/>
      <c r="J446" s="5" t="s">
        <v>39</v>
      </c>
      <c r="K446" s="5" t="s">
        <v>50</v>
      </c>
      <c r="L446" s="5" t="s">
        <v>51</v>
      </c>
      <c r="M446" s="5" t="s">
        <v>52</v>
      </c>
      <c r="N446" s="5" t="s">
        <v>36</v>
      </c>
      <c r="O446" s="5">
        <v>1</v>
      </c>
      <c r="P446" s="5" t="s">
        <v>43</v>
      </c>
      <c r="Q446" s="5">
        <v>18.99</v>
      </c>
      <c r="R446" s="5"/>
      <c r="S446" s="5"/>
      <c r="T446" s="5"/>
      <c r="U446" s="5"/>
      <c r="V446" s="5"/>
      <c r="W446" s="5"/>
      <c r="X446" s="5"/>
      <c r="Y446" s="5" t="s">
        <v>2312</v>
      </c>
      <c r="Z446" s="5" t="s">
        <v>463</v>
      </c>
      <c r="AA446" s="5">
        <v>80534</v>
      </c>
      <c r="AB446" s="5" t="s">
        <v>46</v>
      </c>
      <c r="AC446" s="5"/>
      <c r="AD446" s="5" t="b">
        <v>0</v>
      </c>
      <c r="AE446" s="5"/>
      <c r="AF446" s="5"/>
      <c r="AG446" s="9">
        <f t="shared" si="6"/>
        <v>43270</v>
      </c>
    </row>
    <row r="447" spans="1:33">
      <c r="A447" s="5" t="s">
        <v>2313</v>
      </c>
      <c r="B447" s="5" t="s">
        <v>2313</v>
      </c>
      <c r="C447" s="5" t="s">
        <v>2314</v>
      </c>
      <c r="D447" s="5" t="s">
        <v>2315</v>
      </c>
      <c r="E447" s="5" t="s">
        <v>36</v>
      </c>
      <c r="F447" s="5" t="s">
        <v>37</v>
      </c>
      <c r="G447" s="5" t="s">
        <v>38</v>
      </c>
      <c r="H447" s="5"/>
      <c r="I447" s="5"/>
      <c r="J447" s="5" t="s">
        <v>128</v>
      </c>
      <c r="K447" s="5" t="s">
        <v>1336</v>
      </c>
      <c r="L447" s="5" t="s">
        <v>2316</v>
      </c>
      <c r="M447" s="5" t="s">
        <v>2317</v>
      </c>
      <c r="N447" s="5" t="s">
        <v>36</v>
      </c>
      <c r="O447" s="5">
        <v>1</v>
      </c>
      <c r="P447" s="5" t="s">
        <v>43</v>
      </c>
      <c r="Q447" s="5">
        <v>10.99</v>
      </c>
      <c r="R447" s="5"/>
      <c r="S447" s="5">
        <v>1.26</v>
      </c>
      <c r="T447" s="5"/>
      <c r="U447" s="5"/>
      <c r="V447" s="5"/>
      <c r="W447" s="5"/>
      <c r="X447" s="5">
        <v>1.26</v>
      </c>
      <c r="Y447" s="5" t="s">
        <v>2318</v>
      </c>
      <c r="Z447" s="5" t="s">
        <v>631</v>
      </c>
      <c r="AA447" s="5">
        <v>3753</v>
      </c>
      <c r="AB447" s="5" t="s">
        <v>46</v>
      </c>
      <c r="AC447" s="5" t="s">
        <v>225</v>
      </c>
      <c r="AD447" s="5" t="b">
        <v>0</v>
      </c>
      <c r="AE447" s="5"/>
      <c r="AF447" s="5"/>
      <c r="AG447" s="9">
        <f t="shared" si="6"/>
        <v>43270</v>
      </c>
    </row>
    <row r="448" spans="1:33">
      <c r="A448" s="5" t="s">
        <v>2319</v>
      </c>
      <c r="B448" s="5" t="s">
        <v>2319</v>
      </c>
      <c r="C448" s="5" t="s">
        <v>2320</v>
      </c>
      <c r="D448" s="5" t="s">
        <v>2321</v>
      </c>
      <c r="E448" s="5" t="s">
        <v>36</v>
      </c>
      <c r="F448" s="5" t="s">
        <v>37</v>
      </c>
      <c r="G448" s="5" t="s">
        <v>38</v>
      </c>
      <c r="H448" s="5"/>
      <c r="I448" s="5"/>
      <c r="J448" s="5" t="s">
        <v>39</v>
      </c>
      <c r="K448" s="5" t="s">
        <v>147</v>
      </c>
      <c r="L448" s="5" t="s">
        <v>148</v>
      </c>
      <c r="M448" s="5" t="s">
        <v>149</v>
      </c>
      <c r="N448" s="5" t="s">
        <v>36</v>
      </c>
      <c r="O448" s="5">
        <v>1</v>
      </c>
      <c r="P448" s="5" t="s">
        <v>43</v>
      </c>
      <c r="Q448" s="5">
        <v>12.98</v>
      </c>
      <c r="R448" s="5"/>
      <c r="S448" s="5"/>
      <c r="T448" s="5"/>
      <c r="U448" s="5"/>
      <c r="V448" s="5"/>
      <c r="W448" s="5">
        <v>0.65</v>
      </c>
      <c r="X448" s="5"/>
      <c r="Y448" s="5" t="s">
        <v>2322</v>
      </c>
      <c r="Z448" s="5" t="s">
        <v>247</v>
      </c>
      <c r="AA448" s="5">
        <v>77845</v>
      </c>
      <c r="AB448" s="5" t="s">
        <v>46</v>
      </c>
      <c r="AC448" s="5" t="s">
        <v>115</v>
      </c>
      <c r="AD448" s="5" t="b">
        <v>0</v>
      </c>
      <c r="AE448" s="5"/>
      <c r="AF448" s="5"/>
      <c r="AG448" s="9">
        <f t="shared" si="6"/>
        <v>43270</v>
      </c>
    </row>
    <row r="449" spans="1:33">
      <c r="A449" s="5" t="s">
        <v>2319</v>
      </c>
      <c r="B449" s="5" t="s">
        <v>2319</v>
      </c>
      <c r="C449" s="5" t="s">
        <v>2320</v>
      </c>
      <c r="D449" s="5" t="s">
        <v>2321</v>
      </c>
      <c r="E449" s="5" t="s">
        <v>36</v>
      </c>
      <c r="F449" s="5" t="s">
        <v>37</v>
      </c>
      <c r="G449" s="5" t="s">
        <v>38</v>
      </c>
      <c r="H449" s="5"/>
      <c r="I449" s="5"/>
      <c r="J449" s="5" t="s">
        <v>39</v>
      </c>
      <c r="K449" s="5" t="s">
        <v>110</v>
      </c>
      <c r="L449" s="5" t="s">
        <v>111</v>
      </c>
      <c r="M449" s="5" t="s">
        <v>112</v>
      </c>
      <c r="N449" s="5" t="s">
        <v>36</v>
      </c>
      <c r="O449" s="5">
        <v>1</v>
      </c>
      <c r="P449" s="5" t="s">
        <v>43</v>
      </c>
      <c r="Q449" s="5">
        <v>12.99</v>
      </c>
      <c r="R449" s="5"/>
      <c r="S449" s="5"/>
      <c r="T449" s="5"/>
      <c r="U449" s="5"/>
      <c r="V449" s="5"/>
      <c r="W449" s="5">
        <v>0.65</v>
      </c>
      <c r="X449" s="5"/>
      <c r="Y449" s="5" t="s">
        <v>2322</v>
      </c>
      <c r="Z449" s="5" t="s">
        <v>247</v>
      </c>
      <c r="AA449" s="5">
        <v>77845</v>
      </c>
      <c r="AB449" s="5" t="s">
        <v>46</v>
      </c>
      <c r="AC449" s="5" t="s">
        <v>115</v>
      </c>
      <c r="AD449" s="5" t="b">
        <v>0</v>
      </c>
      <c r="AE449" s="5"/>
      <c r="AF449" s="5"/>
      <c r="AG449" s="9">
        <f t="shared" si="6"/>
        <v>43270</v>
      </c>
    </row>
    <row r="450" spans="1:33">
      <c r="A450" s="5" t="s">
        <v>2319</v>
      </c>
      <c r="B450" s="5" t="s">
        <v>2319</v>
      </c>
      <c r="C450" s="5" t="s">
        <v>2320</v>
      </c>
      <c r="D450" s="5" t="s">
        <v>2321</v>
      </c>
      <c r="E450" s="5" t="s">
        <v>36</v>
      </c>
      <c r="F450" s="5" t="s">
        <v>37</v>
      </c>
      <c r="G450" s="5" t="s">
        <v>38</v>
      </c>
      <c r="H450" s="5"/>
      <c r="I450" s="5"/>
      <c r="J450" s="5" t="s">
        <v>39</v>
      </c>
      <c r="K450" s="5" t="s">
        <v>101</v>
      </c>
      <c r="L450" s="5" t="s">
        <v>102</v>
      </c>
      <c r="M450" s="5" t="s">
        <v>103</v>
      </c>
      <c r="N450" s="5" t="s">
        <v>36</v>
      </c>
      <c r="O450" s="5">
        <v>1</v>
      </c>
      <c r="P450" s="5" t="s">
        <v>43</v>
      </c>
      <c r="Q450" s="5">
        <v>12.99</v>
      </c>
      <c r="R450" s="5"/>
      <c r="S450" s="5"/>
      <c r="T450" s="5"/>
      <c r="U450" s="5"/>
      <c r="V450" s="5"/>
      <c r="W450" s="5">
        <v>0.65</v>
      </c>
      <c r="X450" s="5"/>
      <c r="Y450" s="5" t="s">
        <v>2322</v>
      </c>
      <c r="Z450" s="5" t="s">
        <v>247</v>
      </c>
      <c r="AA450" s="5">
        <v>77845</v>
      </c>
      <c r="AB450" s="5" t="s">
        <v>46</v>
      </c>
      <c r="AC450" s="5" t="s">
        <v>115</v>
      </c>
      <c r="AD450" s="5" t="b">
        <v>0</v>
      </c>
      <c r="AE450" s="5"/>
      <c r="AF450" s="5"/>
      <c r="AG450" s="9">
        <f t="shared" ref="AG450:AG513" si="7">DATEVALUE(LEFT(C450,10))</f>
        <v>43270</v>
      </c>
    </row>
    <row r="451" spans="1:33">
      <c r="A451" s="5" t="s">
        <v>2323</v>
      </c>
      <c r="B451" s="5" t="s">
        <v>2323</v>
      </c>
      <c r="C451" s="5" t="s">
        <v>2324</v>
      </c>
      <c r="D451" s="5" t="s">
        <v>2325</v>
      </c>
      <c r="E451" s="5" t="s">
        <v>36</v>
      </c>
      <c r="F451" s="5" t="s">
        <v>37</v>
      </c>
      <c r="G451" s="5" t="s">
        <v>38</v>
      </c>
      <c r="H451" s="5"/>
      <c r="I451" s="5"/>
      <c r="J451" s="5" t="s">
        <v>128</v>
      </c>
      <c r="K451" s="5" t="s">
        <v>110</v>
      </c>
      <c r="L451" s="5" t="s">
        <v>111</v>
      </c>
      <c r="M451" s="5" t="s">
        <v>112</v>
      </c>
      <c r="N451" s="5" t="s">
        <v>36</v>
      </c>
      <c r="O451" s="5">
        <v>1</v>
      </c>
      <c r="P451" s="5" t="s">
        <v>43</v>
      </c>
      <c r="Q451" s="5">
        <v>12.99</v>
      </c>
      <c r="R451" s="5"/>
      <c r="S451" s="5">
        <v>0.25</v>
      </c>
      <c r="T451" s="5"/>
      <c r="U451" s="5"/>
      <c r="V451" s="5"/>
      <c r="W451" s="5">
        <v>0.65</v>
      </c>
      <c r="X451" s="5"/>
      <c r="Y451" s="5" t="s">
        <v>2326</v>
      </c>
      <c r="Z451" s="5" t="s">
        <v>54</v>
      </c>
      <c r="AA451" s="5" t="s">
        <v>2327</v>
      </c>
      <c r="AB451" s="5" t="s">
        <v>46</v>
      </c>
      <c r="AC451" s="5" t="s">
        <v>115</v>
      </c>
      <c r="AD451" s="5" t="b">
        <v>0</v>
      </c>
      <c r="AE451" s="5"/>
      <c r="AF451" s="5"/>
      <c r="AG451" s="9">
        <f t="shared" si="7"/>
        <v>43270</v>
      </c>
    </row>
    <row r="452" spans="1:33">
      <c r="A452" s="5" t="s">
        <v>2323</v>
      </c>
      <c r="B452" s="5" t="s">
        <v>2323</v>
      </c>
      <c r="C452" s="5" t="s">
        <v>2324</v>
      </c>
      <c r="D452" s="5" t="s">
        <v>2325</v>
      </c>
      <c r="E452" s="5" t="s">
        <v>36</v>
      </c>
      <c r="F452" s="5" t="s">
        <v>37</v>
      </c>
      <c r="G452" s="5" t="s">
        <v>38</v>
      </c>
      <c r="H452" s="5"/>
      <c r="I452" s="5"/>
      <c r="J452" s="5" t="s">
        <v>128</v>
      </c>
      <c r="K452" s="5" t="s">
        <v>147</v>
      </c>
      <c r="L452" s="5" t="s">
        <v>148</v>
      </c>
      <c r="M452" s="5" t="s">
        <v>149</v>
      </c>
      <c r="N452" s="5" t="s">
        <v>36</v>
      </c>
      <c r="O452" s="5">
        <v>1</v>
      </c>
      <c r="P452" s="5" t="s">
        <v>43</v>
      </c>
      <c r="Q452" s="5">
        <v>12.98</v>
      </c>
      <c r="R452" s="5"/>
      <c r="S452" s="5">
        <v>0.26</v>
      </c>
      <c r="T452" s="5"/>
      <c r="U452" s="5"/>
      <c r="V452" s="5"/>
      <c r="W452" s="5">
        <v>0.65</v>
      </c>
      <c r="X452" s="5"/>
      <c r="Y452" s="5" t="s">
        <v>2326</v>
      </c>
      <c r="Z452" s="5" t="s">
        <v>54</v>
      </c>
      <c r="AA452" s="5" t="s">
        <v>2327</v>
      </c>
      <c r="AB452" s="5" t="s">
        <v>46</v>
      </c>
      <c r="AC452" s="5" t="s">
        <v>115</v>
      </c>
      <c r="AD452" s="5" t="b">
        <v>0</v>
      </c>
      <c r="AE452" s="5"/>
      <c r="AF452" s="5"/>
      <c r="AG452" s="9">
        <f t="shared" si="7"/>
        <v>43270</v>
      </c>
    </row>
    <row r="453" spans="1:33">
      <c r="A453" s="5" t="s">
        <v>2328</v>
      </c>
      <c r="B453" s="5" t="s">
        <v>2328</v>
      </c>
      <c r="C453" s="5" t="s">
        <v>2329</v>
      </c>
      <c r="D453" s="5" t="s">
        <v>2330</v>
      </c>
      <c r="E453" s="5" t="s">
        <v>36</v>
      </c>
      <c r="F453" s="5" t="s">
        <v>37</v>
      </c>
      <c r="G453" s="5" t="s">
        <v>38</v>
      </c>
      <c r="H453" s="5"/>
      <c r="I453" s="5"/>
      <c r="J453" s="5" t="s">
        <v>39</v>
      </c>
      <c r="K453" s="5" t="s">
        <v>147</v>
      </c>
      <c r="L453" s="5" t="s">
        <v>148</v>
      </c>
      <c r="M453" s="5" t="s">
        <v>149</v>
      </c>
      <c r="N453" s="5" t="s">
        <v>36</v>
      </c>
      <c r="O453" s="5">
        <v>1</v>
      </c>
      <c r="P453" s="5" t="s">
        <v>43</v>
      </c>
      <c r="Q453" s="5">
        <v>12.98</v>
      </c>
      <c r="R453" s="5"/>
      <c r="S453" s="5"/>
      <c r="T453" s="5"/>
      <c r="U453" s="5"/>
      <c r="V453" s="5"/>
      <c r="W453" s="5"/>
      <c r="X453" s="5"/>
      <c r="Y453" s="5" t="s">
        <v>1316</v>
      </c>
      <c r="Z453" s="5" t="s">
        <v>54</v>
      </c>
      <c r="AA453" s="5" t="s">
        <v>2331</v>
      </c>
      <c r="AB453" s="5" t="s">
        <v>46</v>
      </c>
      <c r="AC453" s="5"/>
      <c r="AD453" s="5" t="b">
        <v>0</v>
      </c>
      <c r="AE453" s="5"/>
      <c r="AF453" s="5"/>
      <c r="AG453" s="9">
        <f t="shared" si="7"/>
        <v>43270</v>
      </c>
    </row>
    <row r="454" spans="1:33">
      <c r="A454" s="5" t="s">
        <v>2332</v>
      </c>
      <c r="B454" s="5" t="s">
        <v>2332</v>
      </c>
      <c r="C454" s="5" t="s">
        <v>2333</v>
      </c>
      <c r="D454" s="5" t="s">
        <v>2334</v>
      </c>
      <c r="E454" s="5" t="s">
        <v>36</v>
      </c>
      <c r="F454" s="5" t="s">
        <v>37</v>
      </c>
      <c r="G454" s="5" t="s">
        <v>38</v>
      </c>
      <c r="H454" s="5"/>
      <c r="I454" s="5"/>
      <c r="J454" s="5" t="s">
        <v>39</v>
      </c>
      <c r="K454" s="5" t="s">
        <v>541</v>
      </c>
      <c r="L454" s="5" t="s">
        <v>1106</v>
      </c>
      <c r="M454" s="5" t="s">
        <v>1107</v>
      </c>
      <c r="N454" s="5" t="s">
        <v>36</v>
      </c>
      <c r="O454" s="5">
        <v>1</v>
      </c>
      <c r="P454" s="5" t="s">
        <v>43</v>
      </c>
      <c r="Q454" s="5">
        <v>10.98</v>
      </c>
      <c r="R454" s="5"/>
      <c r="S454" s="5"/>
      <c r="T454" s="5"/>
      <c r="U454" s="5"/>
      <c r="V454" s="5"/>
      <c r="W454" s="5"/>
      <c r="X454" s="5"/>
      <c r="Y454" s="5" t="s">
        <v>2335</v>
      </c>
      <c r="Z454" s="5" t="s">
        <v>151</v>
      </c>
      <c r="AA454" s="5" t="s">
        <v>2336</v>
      </c>
      <c r="AB454" s="5" t="s">
        <v>46</v>
      </c>
      <c r="AC454" s="5"/>
      <c r="AD454" s="5" t="b">
        <v>0</v>
      </c>
      <c r="AE454" s="5"/>
      <c r="AF454" s="5"/>
      <c r="AG454" s="9">
        <f t="shared" si="7"/>
        <v>43270</v>
      </c>
    </row>
    <row r="455" spans="1:33">
      <c r="A455" s="5" t="s">
        <v>2337</v>
      </c>
      <c r="B455" s="5" t="s">
        <v>2337</v>
      </c>
      <c r="C455" s="5" t="s">
        <v>2338</v>
      </c>
      <c r="D455" s="5" t="s">
        <v>2339</v>
      </c>
      <c r="E455" s="5" t="s">
        <v>36</v>
      </c>
      <c r="F455" s="5" t="s">
        <v>37</v>
      </c>
      <c r="G455" s="5" t="s">
        <v>38</v>
      </c>
      <c r="H455" s="5"/>
      <c r="I455" s="5"/>
      <c r="J455" s="5" t="s">
        <v>39</v>
      </c>
      <c r="K455" s="5" t="s">
        <v>50</v>
      </c>
      <c r="L455" s="5" t="s">
        <v>51</v>
      </c>
      <c r="M455" s="5" t="s">
        <v>52</v>
      </c>
      <c r="N455" s="5" t="s">
        <v>36</v>
      </c>
      <c r="O455" s="5">
        <v>1</v>
      </c>
      <c r="P455" s="5" t="s">
        <v>43</v>
      </c>
      <c r="Q455" s="5">
        <v>18.99</v>
      </c>
      <c r="R455" s="5"/>
      <c r="S455" s="5"/>
      <c r="T455" s="5"/>
      <c r="U455" s="5"/>
      <c r="V455" s="5"/>
      <c r="W455" s="5"/>
      <c r="X455" s="5"/>
      <c r="Y455" s="5" t="s">
        <v>2340</v>
      </c>
      <c r="Z455" s="5" t="s">
        <v>96</v>
      </c>
      <c r="AA455" s="5">
        <v>60411</v>
      </c>
      <c r="AB455" s="5" t="s">
        <v>46</v>
      </c>
      <c r="AC455" s="5"/>
      <c r="AD455" s="5" t="b">
        <v>0</v>
      </c>
      <c r="AE455" s="5"/>
      <c r="AF455" s="5"/>
      <c r="AG455" s="9">
        <f t="shared" si="7"/>
        <v>43270</v>
      </c>
    </row>
    <row r="456" spans="1:33">
      <c r="A456" s="5" t="s">
        <v>2341</v>
      </c>
      <c r="B456" s="5" t="s">
        <v>2341</v>
      </c>
      <c r="C456" s="5" t="s">
        <v>2342</v>
      </c>
      <c r="D456" s="5" t="s">
        <v>2343</v>
      </c>
      <c r="E456" s="5" t="s">
        <v>36</v>
      </c>
      <c r="F456" s="5" t="s">
        <v>37</v>
      </c>
      <c r="G456" s="5" t="s">
        <v>38</v>
      </c>
      <c r="H456" s="5"/>
      <c r="I456" s="5"/>
      <c r="J456" s="5" t="s">
        <v>39</v>
      </c>
      <c r="K456" s="5" t="s">
        <v>2344</v>
      </c>
      <c r="L456" s="5" t="s">
        <v>2345</v>
      </c>
      <c r="M456" s="5" t="s">
        <v>2346</v>
      </c>
      <c r="N456" s="5" t="s">
        <v>36</v>
      </c>
      <c r="O456" s="5">
        <v>1</v>
      </c>
      <c r="P456" s="5" t="s">
        <v>43</v>
      </c>
      <c r="Q456" s="5">
        <v>13.99</v>
      </c>
      <c r="R456" s="5"/>
      <c r="S456" s="5"/>
      <c r="T456" s="5"/>
      <c r="U456" s="5"/>
      <c r="V456" s="5"/>
      <c r="W456" s="5"/>
      <c r="X456" s="5"/>
      <c r="Y456" s="5" t="s">
        <v>2347</v>
      </c>
      <c r="Z456" s="5" t="s">
        <v>96</v>
      </c>
      <c r="AA456" s="5" t="s">
        <v>2348</v>
      </c>
      <c r="AB456" s="5" t="s">
        <v>46</v>
      </c>
      <c r="AC456" s="5"/>
      <c r="AD456" s="5" t="b">
        <v>0</v>
      </c>
      <c r="AE456" s="5"/>
      <c r="AF456" s="5"/>
      <c r="AG456" s="9">
        <f t="shared" si="7"/>
        <v>43270</v>
      </c>
    </row>
    <row r="457" spans="1:33">
      <c r="A457" s="5" t="s">
        <v>2349</v>
      </c>
      <c r="B457" s="5" t="s">
        <v>2349</v>
      </c>
      <c r="C457" s="5" t="s">
        <v>2350</v>
      </c>
      <c r="D457" s="5" t="s">
        <v>2351</v>
      </c>
      <c r="E457" s="5" t="s">
        <v>36</v>
      </c>
      <c r="F457" s="5" t="s">
        <v>37</v>
      </c>
      <c r="G457" s="5" t="s">
        <v>38</v>
      </c>
      <c r="H457" s="5"/>
      <c r="I457" s="5"/>
      <c r="J457" s="5" t="s">
        <v>39</v>
      </c>
      <c r="K457" s="5" t="s">
        <v>110</v>
      </c>
      <c r="L457" s="5" t="s">
        <v>111</v>
      </c>
      <c r="M457" s="5" t="s">
        <v>112</v>
      </c>
      <c r="N457" s="5" t="s">
        <v>36</v>
      </c>
      <c r="O457" s="5">
        <v>1</v>
      </c>
      <c r="P457" s="5" t="s">
        <v>43</v>
      </c>
      <c r="Q457" s="5">
        <v>12.99</v>
      </c>
      <c r="R457" s="5">
        <v>0.74</v>
      </c>
      <c r="S457" s="5"/>
      <c r="T457" s="5"/>
      <c r="U457" s="5"/>
      <c r="V457" s="5"/>
      <c r="W457" s="5">
        <v>0.65</v>
      </c>
      <c r="X457" s="5"/>
      <c r="Y457" s="5" t="s">
        <v>2352</v>
      </c>
      <c r="Z457" s="5" t="s">
        <v>2353</v>
      </c>
      <c r="AA457" s="5">
        <v>15824</v>
      </c>
      <c r="AB457" s="5" t="s">
        <v>46</v>
      </c>
      <c r="AC457" s="5" t="s">
        <v>115</v>
      </c>
      <c r="AD457" s="5" t="b">
        <v>0</v>
      </c>
      <c r="AE457" s="5"/>
      <c r="AF457" s="5"/>
      <c r="AG457" s="9">
        <f t="shared" si="7"/>
        <v>43270</v>
      </c>
    </row>
    <row r="458" spans="1:33">
      <c r="A458" s="5" t="s">
        <v>2349</v>
      </c>
      <c r="B458" s="5" t="s">
        <v>2349</v>
      </c>
      <c r="C458" s="5" t="s">
        <v>2350</v>
      </c>
      <c r="D458" s="5" t="s">
        <v>2351</v>
      </c>
      <c r="E458" s="5" t="s">
        <v>36</v>
      </c>
      <c r="F458" s="5" t="s">
        <v>37</v>
      </c>
      <c r="G458" s="5" t="s">
        <v>38</v>
      </c>
      <c r="H458" s="5"/>
      <c r="I458" s="5"/>
      <c r="J458" s="5" t="s">
        <v>39</v>
      </c>
      <c r="K458" s="5" t="s">
        <v>101</v>
      </c>
      <c r="L458" s="5" t="s">
        <v>102</v>
      </c>
      <c r="M458" s="5" t="s">
        <v>103</v>
      </c>
      <c r="N458" s="5" t="s">
        <v>36</v>
      </c>
      <c r="O458" s="5">
        <v>2</v>
      </c>
      <c r="P458" s="5" t="s">
        <v>43</v>
      </c>
      <c r="Q458" s="5">
        <v>25.98</v>
      </c>
      <c r="R458" s="5">
        <v>1.48</v>
      </c>
      <c r="S458" s="5"/>
      <c r="T458" s="5"/>
      <c r="U458" s="5"/>
      <c r="V458" s="5"/>
      <c r="W458" s="5">
        <v>1.3</v>
      </c>
      <c r="X458" s="5"/>
      <c r="Y458" s="5" t="s">
        <v>2352</v>
      </c>
      <c r="Z458" s="5" t="s">
        <v>2353</v>
      </c>
      <c r="AA458" s="5">
        <v>15824</v>
      </c>
      <c r="AB458" s="5" t="s">
        <v>46</v>
      </c>
      <c r="AC458" s="5" t="s">
        <v>115</v>
      </c>
      <c r="AD458" s="5" t="b">
        <v>0</v>
      </c>
      <c r="AE458" s="5"/>
      <c r="AF458" s="5"/>
      <c r="AG458" s="9">
        <f t="shared" si="7"/>
        <v>43270</v>
      </c>
    </row>
    <row r="459" spans="1:33">
      <c r="A459" s="5" t="s">
        <v>2354</v>
      </c>
      <c r="B459" s="5" t="s">
        <v>2354</v>
      </c>
      <c r="C459" s="5" t="s">
        <v>2355</v>
      </c>
      <c r="D459" s="5" t="s">
        <v>2356</v>
      </c>
      <c r="E459" s="5" t="s">
        <v>36</v>
      </c>
      <c r="F459" s="5" t="s">
        <v>37</v>
      </c>
      <c r="G459" s="5" t="s">
        <v>38</v>
      </c>
      <c r="H459" s="5"/>
      <c r="I459" s="5"/>
      <c r="J459" s="5" t="s">
        <v>39</v>
      </c>
      <c r="K459" s="5" t="s">
        <v>201</v>
      </c>
      <c r="L459" s="5" t="s">
        <v>202</v>
      </c>
      <c r="M459" s="5" t="s">
        <v>203</v>
      </c>
      <c r="N459" s="5" t="s">
        <v>36</v>
      </c>
      <c r="O459" s="5">
        <v>1</v>
      </c>
      <c r="P459" s="5" t="s">
        <v>43</v>
      </c>
      <c r="Q459" s="5">
        <v>18.99</v>
      </c>
      <c r="R459" s="5"/>
      <c r="S459" s="5"/>
      <c r="T459" s="5"/>
      <c r="U459" s="5"/>
      <c r="V459" s="5"/>
      <c r="W459" s="5"/>
      <c r="X459" s="5"/>
      <c r="Y459" s="5" t="s">
        <v>2357</v>
      </c>
      <c r="Z459" s="5" t="s">
        <v>247</v>
      </c>
      <c r="AA459" s="5" t="s">
        <v>2358</v>
      </c>
      <c r="AB459" s="5" t="s">
        <v>46</v>
      </c>
      <c r="AC459" s="5"/>
      <c r="AD459" s="5" t="b">
        <v>0</v>
      </c>
      <c r="AE459" s="5"/>
      <c r="AF459" s="5"/>
      <c r="AG459" s="9">
        <f t="shared" si="7"/>
        <v>43270</v>
      </c>
    </row>
    <row r="460" spans="1:33">
      <c r="A460" s="5" t="s">
        <v>2359</v>
      </c>
      <c r="B460" s="5" t="s">
        <v>2359</v>
      </c>
      <c r="C460" s="5" t="s">
        <v>2360</v>
      </c>
      <c r="D460" s="5" t="s">
        <v>2361</v>
      </c>
      <c r="E460" s="5" t="s">
        <v>36</v>
      </c>
      <c r="F460" s="5" t="s">
        <v>37</v>
      </c>
      <c r="G460" s="5" t="s">
        <v>38</v>
      </c>
      <c r="H460" s="5"/>
      <c r="I460" s="5"/>
      <c r="J460" s="5" t="s">
        <v>39</v>
      </c>
      <c r="K460" s="5" t="s">
        <v>533</v>
      </c>
      <c r="L460" s="5" t="s">
        <v>1048</v>
      </c>
      <c r="M460" s="5" t="s">
        <v>535</v>
      </c>
      <c r="N460" s="5" t="s">
        <v>36</v>
      </c>
      <c r="O460" s="5">
        <v>1</v>
      </c>
      <c r="P460" s="5" t="s">
        <v>43</v>
      </c>
      <c r="Q460" s="5">
        <v>25.99</v>
      </c>
      <c r="R460" s="5"/>
      <c r="S460" s="5"/>
      <c r="T460" s="5"/>
      <c r="U460" s="5"/>
      <c r="V460" s="5"/>
      <c r="W460" s="5"/>
      <c r="X460" s="5"/>
      <c r="Y460" s="5" t="s">
        <v>489</v>
      </c>
      <c r="Z460" s="5" t="s">
        <v>142</v>
      </c>
      <c r="AA460" s="5" t="s">
        <v>2362</v>
      </c>
      <c r="AB460" s="5" t="s">
        <v>46</v>
      </c>
      <c r="AC460" s="5"/>
      <c r="AD460" s="5" t="b">
        <v>0</v>
      </c>
      <c r="AE460" s="5"/>
      <c r="AF460" s="5"/>
      <c r="AG460" s="9">
        <f t="shared" si="7"/>
        <v>43270</v>
      </c>
    </row>
    <row r="461" spans="1:33">
      <c r="A461" s="5" t="s">
        <v>2363</v>
      </c>
      <c r="B461" s="5" t="s">
        <v>2363</v>
      </c>
      <c r="C461" s="5" t="s">
        <v>2364</v>
      </c>
      <c r="D461" s="5" t="s">
        <v>2365</v>
      </c>
      <c r="E461" s="5" t="s">
        <v>36</v>
      </c>
      <c r="F461" s="5" t="s">
        <v>37</v>
      </c>
      <c r="G461" s="5" t="s">
        <v>38</v>
      </c>
      <c r="H461" s="5"/>
      <c r="I461" s="5"/>
      <c r="J461" s="5" t="s">
        <v>39</v>
      </c>
      <c r="K461" s="5" t="s">
        <v>1550</v>
      </c>
      <c r="L461" s="5" t="s">
        <v>1551</v>
      </c>
      <c r="M461" s="5" t="s">
        <v>1552</v>
      </c>
      <c r="N461" s="5" t="s">
        <v>36</v>
      </c>
      <c r="O461" s="5">
        <v>1</v>
      </c>
      <c r="P461" s="5" t="s">
        <v>43</v>
      </c>
      <c r="Q461" s="5">
        <v>25.99</v>
      </c>
      <c r="R461" s="5"/>
      <c r="S461" s="5"/>
      <c r="T461" s="5"/>
      <c r="U461" s="5"/>
      <c r="V461" s="5"/>
      <c r="W461" s="5"/>
      <c r="X461" s="5"/>
      <c r="Y461" s="5" t="s">
        <v>2366</v>
      </c>
      <c r="Z461" s="5" t="s">
        <v>329</v>
      </c>
      <c r="AA461" s="5" t="s">
        <v>2367</v>
      </c>
      <c r="AB461" s="5" t="s">
        <v>46</v>
      </c>
      <c r="AC461" s="5"/>
      <c r="AD461" s="5" t="b">
        <v>0</v>
      </c>
      <c r="AE461" s="5"/>
      <c r="AF461" s="5"/>
      <c r="AG461" s="9">
        <f t="shared" si="7"/>
        <v>43270</v>
      </c>
    </row>
    <row r="462" spans="1:33">
      <c r="A462" s="5" t="s">
        <v>2368</v>
      </c>
      <c r="B462" s="5" t="s">
        <v>2368</v>
      </c>
      <c r="C462" s="5" t="s">
        <v>2369</v>
      </c>
      <c r="D462" s="5" t="s">
        <v>2370</v>
      </c>
      <c r="E462" s="5" t="s">
        <v>36</v>
      </c>
      <c r="F462" s="5" t="s">
        <v>37</v>
      </c>
      <c r="G462" s="5" t="s">
        <v>38</v>
      </c>
      <c r="H462" s="5"/>
      <c r="I462" s="5"/>
      <c r="J462" s="5" t="s">
        <v>39</v>
      </c>
      <c r="K462" s="5" t="s">
        <v>83</v>
      </c>
      <c r="L462" s="5" t="s">
        <v>84</v>
      </c>
      <c r="M462" s="5" t="s">
        <v>85</v>
      </c>
      <c r="N462" s="5" t="s">
        <v>36</v>
      </c>
      <c r="O462" s="5">
        <v>1</v>
      </c>
      <c r="P462" s="5" t="s">
        <v>43</v>
      </c>
      <c r="Q462" s="5">
        <v>12.99</v>
      </c>
      <c r="R462" s="5">
        <v>0.74</v>
      </c>
      <c r="S462" s="5"/>
      <c r="T462" s="5"/>
      <c r="U462" s="5"/>
      <c r="V462" s="5"/>
      <c r="W462" s="5">
        <v>0.65</v>
      </c>
      <c r="X462" s="5"/>
      <c r="Y462" s="5" t="s">
        <v>2371</v>
      </c>
      <c r="Z462" s="5" t="s">
        <v>255</v>
      </c>
      <c r="AA462" s="5" t="s">
        <v>2372</v>
      </c>
      <c r="AB462" s="5" t="s">
        <v>46</v>
      </c>
      <c r="AC462" s="5" t="s">
        <v>115</v>
      </c>
      <c r="AD462" s="5" t="b">
        <v>0</v>
      </c>
      <c r="AE462" s="5"/>
      <c r="AF462" s="5"/>
      <c r="AG462" s="9">
        <f t="shared" si="7"/>
        <v>43270</v>
      </c>
    </row>
    <row r="463" spans="1:33">
      <c r="A463" s="5" t="s">
        <v>2368</v>
      </c>
      <c r="B463" s="5" t="s">
        <v>2368</v>
      </c>
      <c r="C463" s="5" t="s">
        <v>2369</v>
      </c>
      <c r="D463" s="5" t="s">
        <v>2370</v>
      </c>
      <c r="E463" s="5" t="s">
        <v>36</v>
      </c>
      <c r="F463" s="5" t="s">
        <v>37</v>
      </c>
      <c r="G463" s="5" t="s">
        <v>38</v>
      </c>
      <c r="H463" s="5"/>
      <c r="I463" s="5"/>
      <c r="J463" s="5" t="s">
        <v>39</v>
      </c>
      <c r="K463" s="5" t="s">
        <v>101</v>
      </c>
      <c r="L463" s="5" t="s">
        <v>102</v>
      </c>
      <c r="M463" s="5" t="s">
        <v>103</v>
      </c>
      <c r="N463" s="5" t="s">
        <v>36</v>
      </c>
      <c r="O463" s="5">
        <v>1</v>
      </c>
      <c r="P463" s="5" t="s">
        <v>43</v>
      </c>
      <c r="Q463" s="5">
        <v>12.99</v>
      </c>
      <c r="R463" s="5">
        <v>0.74</v>
      </c>
      <c r="S463" s="5"/>
      <c r="T463" s="5"/>
      <c r="U463" s="5"/>
      <c r="V463" s="5"/>
      <c r="W463" s="5">
        <v>0.65</v>
      </c>
      <c r="X463" s="5"/>
      <c r="Y463" s="5" t="s">
        <v>2371</v>
      </c>
      <c r="Z463" s="5" t="s">
        <v>255</v>
      </c>
      <c r="AA463" s="5" t="s">
        <v>2372</v>
      </c>
      <c r="AB463" s="5" t="s">
        <v>46</v>
      </c>
      <c r="AC463" s="5" t="s">
        <v>115</v>
      </c>
      <c r="AD463" s="5" t="b">
        <v>0</v>
      </c>
      <c r="AE463" s="5"/>
      <c r="AF463" s="5"/>
      <c r="AG463" s="9">
        <f t="shared" si="7"/>
        <v>43270</v>
      </c>
    </row>
    <row r="464" spans="1:33">
      <c r="A464" s="5" t="s">
        <v>2373</v>
      </c>
      <c r="B464" s="5" t="s">
        <v>2373</v>
      </c>
      <c r="C464" s="5" t="s">
        <v>2374</v>
      </c>
      <c r="D464" s="5" t="s">
        <v>2375</v>
      </c>
      <c r="E464" s="5" t="s">
        <v>36</v>
      </c>
      <c r="F464" s="5" t="s">
        <v>37</v>
      </c>
      <c r="G464" s="5" t="s">
        <v>38</v>
      </c>
      <c r="H464" s="5"/>
      <c r="I464" s="5"/>
      <c r="J464" s="5" t="s">
        <v>39</v>
      </c>
      <c r="K464" s="5" t="s">
        <v>110</v>
      </c>
      <c r="L464" s="5" t="s">
        <v>111</v>
      </c>
      <c r="M464" s="5" t="s">
        <v>112</v>
      </c>
      <c r="N464" s="5" t="s">
        <v>36</v>
      </c>
      <c r="O464" s="5">
        <v>1</v>
      </c>
      <c r="P464" s="5" t="s">
        <v>43</v>
      </c>
      <c r="Q464" s="5">
        <v>12.99</v>
      </c>
      <c r="R464" s="5"/>
      <c r="S464" s="5"/>
      <c r="T464" s="5"/>
      <c r="U464" s="5"/>
      <c r="V464" s="5"/>
      <c r="W464" s="5"/>
      <c r="X464" s="5"/>
      <c r="Y464" s="5" t="s">
        <v>2376</v>
      </c>
      <c r="Z464" s="5" t="s">
        <v>606</v>
      </c>
      <c r="AA464" s="5" t="s">
        <v>2377</v>
      </c>
      <c r="AB464" s="5" t="s">
        <v>46</v>
      </c>
      <c r="AC464" s="5"/>
      <c r="AD464" s="5" t="b">
        <v>0</v>
      </c>
      <c r="AE464" s="5"/>
      <c r="AF464" s="5"/>
      <c r="AG464" s="9">
        <f t="shared" si="7"/>
        <v>43270</v>
      </c>
    </row>
    <row r="465" spans="1:33">
      <c r="A465" s="5" t="s">
        <v>2378</v>
      </c>
      <c r="B465" s="5" t="s">
        <v>2378</v>
      </c>
      <c r="C465" s="5" t="s">
        <v>2379</v>
      </c>
      <c r="D465" s="5" t="s">
        <v>2380</v>
      </c>
      <c r="E465" s="5" t="s">
        <v>36</v>
      </c>
      <c r="F465" s="5" t="s">
        <v>37</v>
      </c>
      <c r="G465" s="5" t="s">
        <v>38</v>
      </c>
      <c r="H465" s="5"/>
      <c r="I465" s="5"/>
      <c r="J465" s="5" t="s">
        <v>39</v>
      </c>
      <c r="K465" s="5" t="s">
        <v>50</v>
      </c>
      <c r="L465" s="5" t="s">
        <v>51</v>
      </c>
      <c r="M465" s="5" t="s">
        <v>52</v>
      </c>
      <c r="N465" s="5" t="s">
        <v>36</v>
      </c>
      <c r="O465" s="5">
        <v>1</v>
      </c>
      <c r="P465" s="5" t="s">
        <v>43</v>
      </c>
      <c r="Q465" s="5">
        <v>18.99</v>
      </c>
      <c r="R465" s="5"/>
      <c r="S465" s="5"/>
      <c r="T465" s="5"/>
      <c r="U465" s="5"/>
      <c r="V465" s="5"/>
      <c r="W465" s="5"/>
      <c r="X465" s="5"/>
      <c r="Y465" s="5" t="s">
        <v>2381</v>
      </c>
      <c r="Z465" s="5" t="s">
        <v>307</v>
      </c>
      <c r="AA465" s="5" t="s">
        <v>2382</v>
      </c>
      <c r="AB465" s="5" t="s">
        <v>46</v>
      </c>
      <c r="AC465" s="5"/>
      <c r="AD465" s="5" t="b">
        <v>0</v>
      </c>
      <c r="AE465" s="5"/>
      <c r="AF465" s="5"/>
      <c r="AG465" s="9">
        <f t="shared" si="7"/>
        <v>43270</v>
      </c>
    </row>
    <row r="466" spans="1:33">
      <c r="A466" s="5" t="s">
        <v>2383</v>
      </c>
      <c r="B466" s="5" t="s">
        <v>2383</v>
      </c>
      <c r="C466" s="5" t="s">
        <v>2384</v>
      </c>
      <c r="D466" s="5" t="s">
        <v>2385</v>
      </c>
      <c r="E466" s="5" t="s">
        <v>36</v>
      </c>
      <c r="F466" s="5" t="s">
        <v>37</v>
      </c>
      <c r="G466" s="5" t="s">
        <v>38</v>
      </c>
      <c r="H466" s="5"/>
      <c r="I466" s="5"/>
      <c r="J466" s="5" t="s">
        <v>39</v>
      </c>
      <c r="K466" s="5" t="s">
        <v>110</v>
      </c>
      <c r="L466" s="5" t="s">
        <v>111</v>
      </c>
      <c r="M466" s="5" t="s">
        <v>112</v>
      </c>
      <c r="N466" s="5" t="s">
        <v>36</v>
      </c>
      <c r="O466" s="5">
        <v>1</v>
      </c>
      <c r="P466" s="5" t="s">
        <v>43</v>
      </c>
      <c r="Q466" s="5">
        <v>12.99</v>
      </c>
      <c r="R466" s="5"/>
      <c r="S466" s="5"/>
      <c r="T466" s="5"/>
      <c r="U466" s="5"/>
      <c r="V466" s="5"/>
      <c r="W466" s="5"/>
      <c r="X466" s="5"/>
      <c r="Y466" s="5" t="s">
        <v>1326</v>
      </c>
      <c r="Z466" s="5" t="s">
        <v>247</v>
      </c>
      <c r="AA466" s="5" t="s">
        <v>2386</v>
      </c>
      <c r="AB466" s="5" t="s">
        <v>46</v>
      </c>
      <c r="AC466" s="5"/>
      <c r="AD466" s="5" t="b">
        <v>0</v>
      </c>
      <c r="AE466" s="5"/>
      <c r="AF466" s="5"/>
      <c r="AG466" s="9">
        <f t="shared" si="7"/>
        <v>43270</v>
      </c>
    </row>
    <row r="467" spans="1:33">
      <c r="A467" s="5" t="s">
        <v>2387</v>
      </c>
      <c r="B467" s="5" t="s">
        <v>2387</v>
      </c>
      <c r="C467" s="5" t="s">
        <v>2388</v>
      </c>
      <c r="D467" s="5" t="s">
        <v>2389</v>
      </c>
      <c r="E467" s="5" t="s">
        <v>36</v>
      </c>
      <c r="F467" s="5" t="s">
        <v>37</v>
      </c>
      <c r="G467" s="5" t="s">
        <v>38</v>
      </c>
      <c r="H467" s="5"/>
      <c r="I467" s="5"/>
      <c r="J467" s="5" t="s">
        <v>39</v>
      </c>
      <c r="K467" s="5" t="s">
        <v>147</v>
      </c>
      <c r="L467" s="5" t="s">
        <v>148</v>
      </c>
      <c r="M467" s="5" t="s">
        <v>149</v>
      </c>
      <c r="N467" s="5" t="s">
        <v>36</v>
      </c>
      <c r="O467" s="5">
        <v>1</v>
      </c>
      <c r="P467" s="5" t="s">
        <v>43</v>
      </c>
      <c r="Q467" s="5">
        <v>12.98</v>
      </c>
      <c r="R467" s="5"/>
      <c r="S467" s="5"/>
      <c r="T467" s="5"/>
      <c r="U467" s="5"/>
      <c r="V467" s="5"/>
      <c r="W467" s="5"/>
      <c r="X467" s="5"/>
      <c r="Y467" s="5" t="s">
        <v>2390</v>
      </c>
      <c r="Z467" s="5" t="s">
        <v>649</v>
      </c>
      <c r="AA467" s="5">
        <v>2893</v>
      </c>
      <c r="AB467" s="5" t="s">
        <v>46</v>
      </c>
      <c r="AC467" s="5"/>
      <c r="AD467" s="5" t="b">
        <v>0</v>
      </c>
      <c r="AE467" s="5"/>
      <c r="AF467" s="5"/>
      <c r="AG467" s="9">
        <f t="shared" si="7"/>
        <v>43270</v>
      </c>
    </row>
    <row r="468" spans="1:33">
      <c r="A468" s="5" t="s">
        <v>2391</v>
      </c>
      <c r="B468" s="5" t="s">
        <v>2391</v>
      </c>
      <c r="C468" s="5" t="s">
        <v>2392</v>
      </c>
      <c r="D468" s="5" t="s">
        <v>2393</v>
      </c>
      <c r="E468" s="5" t="s">
        <v>36</v>
      </c>
      <c r="F468" s="5" t="s">
        <v>37</v>
      </c>
      <c r="G468" s="5" t="s">
        <v>38</v>
      </c>
      <c r="H468" s="5"/>
      <c r="I468" s="5"/>
      <c r="J468" s="5" t="s">
        <v>128</v>
      </c>
      <c r="K468" s="5" t="s">
        <v>40</v>
      </c>
      <c r="L468" s="5" t="s">
        <v>41</v>
      </c>
      <c r="M468" s="5" t="s">
        <v>42</v>
      </c>
      <c r="N468" s="5" t="s">
        <v>36</v>
      </c>
      <c r="O468" s="5">
        <v>1</v>
      </c>
      <c r="P468" s="5" t="s">
        <v>43</v>
      </c>
      <c r="Q468" s="5">
        <v>12.98</v>
      </c>
      <c r="R468" s="5"/>
      <c r="S468" s="5">
        <v>2.4</v>
      </c>
      <c r="T468" s="5"/>
      <c r="U468" s="5"/>
      <c r="V468" s="5"/>
      <c r="W468" s="5"/>
      <c r="X468" s="5">
        <v>2.4</v>
      </c>
      <c r="Y468" s="5" t="s">
        <v>2394</v>
      </c>
      <c r="Z468" s="5" t="s">
        <v>54</v>
      </c>
      <c r="AA468" s="5" t="s">
        <v>2395</v>
      </c>
      <c r="AB468" s="5" t="s">
        <v>46</v>
      </c>
      <c r="AC468" s="5" t="s">
        <v>225</v>
      </c>
      <c r="AD468" s="5" t="b">
        <v>0</v>
      </c>
      <c r="AE468" s="5"/>
      <c r="AF468" s="5"/>
      <c r="AG468" s="9">
        <f t="shared" si="7"/>
        <v>43270</v>
      </c>
    </row>
    <row r="469" spans="1:33">
      <c r="A469" s="5" t="s">
        <v>2391</v>
      </c>
      <c r="B469" s="5" t="s">
        <v>2391</v>
      </c>
      <c r="C469" s="5" t="s">
        <v>2392</v>
      </c>
      <c r="D469" s="5" t="s">
        <v>2393</v>
      </c>
      <c r="E469" s="5" t="s">
        <v>36</v>
      </c>
      <c r="F469" s="5" t="s">
        <v>37</v>
      </c>
      <c r="G469" s="5" t="s">
        <v>38</v>
      </c>
      <c r="H469" s="5"/>
      <c r="I469" s="5"/>
      <c r="J469" s="5" t="s">
        <v>128</v>
      </c>
      <c r="K469" s="5" t="s">
        <v>1004</v>
      </c>
      <c r="L469" s="5" t="s">
        <v>1005</v>
      </c>
      <c r="M469" s="5" t="s">
        <v>1006</v>
      </c>
      <c r="N469" s="5" t="s">
        <v>36</v>
      </c>
      <c r="O469" s="5">
        <v>1</v>
      </c>
      <c r="P469" s="5" t="s">
        <v>43</v>
      </c>
      <c r="Q469" s="5">
        <v>14.98</v>
      </c>
      <c r="R469" s="5"/>
      <c r="S469" s="5">
        <v>2.4</v>
      </c>
      <c r="T469" s="5"/>
      <c r="U469" s="5"/>
      <c r="V469" s="5"/>
      <c r="W469" s="5"/>
      <c r="X469" s="5">
        <v>2.4</v>
      </c>
      <c r="Y469" s="5" t="s">
        <v>2394</v>
      </c>
      <c r="Z469" s="5" t="s">
        <v>54</v>
      </c>
      <c r="AA469" s="5" t="s">
        <v>2395</v>
      </c>
      <c r="AB469" s="5" t="s">
        <v>46</v>
      </c>
      <c r="AC469" s="5" t="s">
        <v>225</v>
      </c>
      <c r="AD469" s="5" t="b">
        <v>0</v>
      </c>
      <c r="AE469" s="5"/>
      <c r="AF469" s="5"/>
      <c r="AG469" s="9">
        <f t="shared" si="7"/>
        <v>43270</v>
      </c>
    </row>
    <row r="470" spans="1:33">
      <c r="A470" s="5" t="s">
        <v>2396</v>
      </c>
      <c r="B470" s="5" t="s">
        <v>2396</v>
      </c>
      <c r="C470" s="5" t="s">
        <v>2397</v>
      </c>
      <c r="D470" s="5" t="s">
        <v>2398</v>
      </c>
      <c r="E470" s="5" t="s">
        <v>36</v>
      </c>
      <c r="F470" s="5" t="s">
        <v>37</v>
      </c>
      <c r="G470" s="5" t="s">
        <v>38</v>
      </c>
      <c r="H470" s="5"/>
      <c r="I470" s="5"/>
      <c r="J470" s="5" t="s">
        <v>39</v>
      </c>
      <c r="K470" s="5" t="s">
        <v>1291</v>
      </c>
      <c r="L470" s="5" t="s">
        <v>1292</v>
      </c>
      <c r="M470" s="5" t="s">
        <v>1293</v>
      </c>
      <c r="N470" s="5" t="s">
        <v>36</v>
      </c>
      <c r="O470" s="5">
        <v>1</v>
      </c>
      <c r="P470" s="5" t="s">
        <v>43</v>
      </c>
      <c r="Q470" s="5">
        <v>12.99</v>
      </c>
      <c r="R470" s="5"/>
      <c r="S470" s="5"/>
      <c r="T470" s="5"/>
      <c r="U470" s="5"/>
      <c r="V470" s="5"/>
      <c r="W470" s="5"/>
      <c r="X470" s="5"/>
      <c r="Y470" s="5" t="s">
        <v>2399</v>
      </c>
      <c r="Z470" s="5" t="s">
        <v>54</v>
      </c>
      <c r="AA470" s="5" t="s">
        <v>2400</v>
      </c>
      <c r="AB470" s="5" t="s">
        <v>46</v>
      </c>
      <c r="AC470" s="5"/>
      <c r="AD470" s="5" t="b">
        <v>0</v>
      </c>
      <c r="AE470" s="5"/>
      <c r="AF470" s="5"/>
      <c r="AG470" s="9">
        <f t="shared" si="7"/>
        <v>43270</v>
      </c>
    </row>
    <row r="471" spans="1:33">
      <c r="A471" s="5" t="s">
        <v>2401</v>
      </c>
      <c r="B471" s="5" t="s">
        <v>2401</v>
      </c>
      <c r="C471" s="5" t="s">
        <v>2402</v>
      </c>
      <c r="D471" s="5" t="s">
        <v>2403</v>
      </c>
      <c r="E471" s="5" t="s">
        <v>36</v>
      </c>
      <c r="F471" s="5" t="s">
        <v>37</v>
      </c>
      <c r="G471" s="5" t="s">
        <v>38</v>
      </c>
      <c r="H471" s="5"/>
      <c r="I471" s="5"/>
      <c r="J471" s="5" t="s">
        <v>128</v>
      </c>
      <c r="K471" s="5" t="s">
        <v>243</v>
      </c>
      <c r="L471" s="5" t="s">
        <v>244</v>
      </c>
      <c r="M471" s="5" t="s">
        <v>245</v>
      </c>
      <c r="N471" s="5" t="s">
        <v>36</v>
      </c>
      <c r="O471" s="5">
        <v>1</v>
      </c>
      <c r="P471" s="5" t="s">
        <v>43</v>
      </c>
      <c r="Q471" s="5">
        <v>18.99</v>
      </c>
      <c r="R471" s="5"/>
      <c r="S471" s="5"/>
      <c r="T471" s="5"/>
      <c r="U471" s="5"/>
      <c r="V471" s="5"/>
      <c r="W471" s="5"/>
      <c r="X471" s="5"/>
      <c r="Y471" s="5" t="s">
        <v>2404</v>
      </c>
      <c r="Z471" s="5" t="s">
        <v>377</v>
      </c>
      <c r="AA471" s="5" t="s">
        <v>2405</v>
      </c>
      <c r="AB471" s="5" t="s">
        <v>46</v>
      </c>
      <c r="AC471" s="5"/>
      <c r="AD471" s="5" t="b">
        <v>0</v>
      </c>
      <c r="AE471" s="5"/>
      <c r="AF471" s="5"/>
      <c r="AG471" s="9">
        <f t="shared" si="7"/>
        <v>43270</v>
      </c>
    </row>
    <row r="472" spans="1:33">
      <c r="A472" s="5" t="s">
        <v>2406</v>
      </c>
      <c r="B472" s="5" t="s">
        <v>2406</v>
      </c>
      <c r="C472" s="5" t="s">
        <v>2407</v>
      </c>
      <c r="D472" s="5" t="s">
        <v>2408</v>
      </c>
      <c r="E472" s="5" t="s">
        <v>36</v>
      </c>
      <c r="F472" s="5" t="s">
        <v>37</v>
      </c>
      <c r="G472" s="5" t="s">
        <v>38</v>
      </c>
      <c r="H472" s="5"/>
      <c r="I472" s="5"/>
      <c r="J472" s="5" t="s">
        <v>39</v>
      </c>
      <c r="K472" s="5" t="s">
        <v>58</v>
      </c>
      <c r="L472" s="5" t="s">
        <v>59</v>
      </c>
      <c r="M472" s="5" t="s">
        <v>60</v>
      </c>
      <c r="N472" s="5" t="s">
        <v>36</v>
      </c>
      <c r="O472" s="5">
        <v>1</v>
      </c>
      <c r="P472" s="5" t="s">
        <v>43</v>
      </c>
      <c r="Q472" s="5">
        <v>13.99</v>
      </c>
      <c r="R472" s="5"/>
      <c r="S472" s="5">
        <v>4.16</v>
      </c>
      <c r="T472" s="5"/>
      <c r="U472" s="5"/>
      <c r="V472" s="5"/>
      <c r="W472" s="5">
        <v>0.72</v>
      </c>
      <c r="X472" s="5"/>
      <c r="Y472" s="5" t="s">
        <v>2409</v>
      </c>
      <c r="Z472" s="5" t="s">
        <v>2410</v>
      </c>
      <c r="AA472" s="5" t="s">
        <v>2411</v>
      </c>
      <c r="AB472" s="5" t="s">
        <v>46</v>
      </c>
      <c r="AC472" s="5" t="s">
        <v>2060</v>
      </c>
      <c r="AD472" s="5" t="b">
        <v>0</v>
      </c>
      <c r="AE472" s="5"/>
      <c r="AF472" s="5"/>
      <c r="AG472" s="9">
        <f t="shared" si="7"/>
        <v>43270</v>
      </c>
    </row>
    <row r="473" spans="1:33">
      <c r="A473" s="5" t="s">
        <v>2406</v>
      </c>
      <c r="B473" s="5" t="s">
        <v>2406</v>
      </c>
      <c r="C473" s="5" t="s">
        <v>2407</v>
      </c>
      <c r="D473" s="5" t="s">
        <v>2408</v>
      </c>
      <c r="E473" s="5" t="s">
        <v>36</v>
      </c>
      <c r="F473" s="5" t="s">
        <v>37</v>
      </c>
      <c r="G473" s="5" t="s">
        <v>38</v>
      </c>
      <c r="H473" s="5"/>
      <c r="I473" s="5"/>
      <c r="J473" s="5" t="s">
        <v>39</v>
      </c>
      <c r="K473" s="5" t="s">
        <v>147</v>
      </c>
      <c r="L473" s="5" t="s">
        <v>148</v>
      </c>
      <c r="M473" s="5" t="s">
        <v>149</v>
      </c>
      <c r="N473" s="5" t="s">
        <v>36</v>
      </c>
      <c r="O473" s="5">
        <v>1</v>
      </c>
      <c r="P473" s="5" t="s">
        <v>43</v>
      </c>
      <c r="Q473" s="5">
        <v>12.98</v>
      </c>
      <c r="R473" s="5"/>
      <c r="S473" s="5">
        <v>4.11</v>
      </c>
      <c r="T473" s="5"/>
      <c r="U473" s="5"/>
      <c r="V473" s="5"/>
      <c r="W473" s="5">
        <v>0.68</v>
      </c>
      <c r="X473" s="5"/>
      <c r="Y473" s="5" t="s">
        <v>2409</v>
      </c>
      <c r="Z473" s="5" t="s">
        <v>2410</v>
      </c>
      <c r="AA473" s="5" t="s">
        <v>2411</v>
      </c>
      <c r="AB473" s="5" t="s">
        <v>46</v>
      </c>
      <c r="AC473" s="5" t="s">
        <v>2060</v>
      </c>
      <c r="AD473" s="5" t="b">
        <v>0</v>
      </c>
      <c r="AE473" s="5"/>
      <c r="AF473" s="5"/>
      <c r="AG473" s="9">
        <f t="shared" si="7"/>
        <v>43270</v>
      </c>
    </row>
    <row r="474" spans="1:33">
      <c r="A474" s="5" t="s">
        <v>2412</v>
      </c>
      <c r="B474" s="5" t="s">
        <v>2412</v>
      </c>
      <c r="C474" s="5" t="s">
        <v>2413</v>
      </c>
      <c r="D474" s="5" t="s">
        <v>2414</v>
      </c>
      <c r="E474" s="5" t="s">
        <v>36</v>
      </c>
      <c r="F474" s="5" t="s">
        <v>37</v>
      </c>
      <c r="G474" s="5" t="s">
        <v>38</v>
      </c>
      <c r="H474" s="5"/>
      <c r="I474" s="5"/>
      <c r="J474" s="5" t="s">
        <v>39</v>
      </c>
      <c r="K474" s="5" t="s">
        <v>147</v>
      </c>
      <c r="L474" s="5" t="s">
        <v>148</v>
      </c>
      <c r="M474" s="5" t="s">
        <v>149</v>
      </c>
      <c r="N474" s="5" t="s">
        <v>36</v>
      </c>
      <c r="O474" s="5">
        <v>1</v>
      </c>
      <c r="P474" s="5" t="s">
        <v>43</v>
      </c>
      <c r="Q474" s="5">
        <v>12.98</v>
      </c>
      <c r="R474" s="5"/>
      <c r="S474" s="5"/>
      <c r="T474" s="5"/>
      <c r="U474" s="5"/>
      <c r="V474" s="5"/>
      <c r="W474" s="5"/>
      <c r="X474" s="5"/>
      <c r="Y474" s="5" t="s">
        <v>2415</v>
      </c>
      <c r="Z474" s="5" t="s">
        <v>631</v>
      </c>
      <c r="AA474" s="5">
        <v>3833</v>
      </c>
      <c r="AB474" s="5" t="s">
        <v>46</v>
      </c>
      <c r="AC474" s="5"/>
      <c r="AD474" s="5" t="b">
        <v>0</v>
      </c>
      <c r="AE474" s="5"/>
      <c r="AF474" s="5"/>
      <c r="AG474" s="9">
        <f t="shared" si="7"/>
        <v>43270</v>
      </c>
    </row>
    <row r="475" spans="1:33">
      <c r="A475" s="5" t="s">
        <v>2416</v>
      </c>
      <c r="B475" s="5" t="s">
        <v>2416</v>
      </c>
      <c r="C475" s="5" t="s">
        <v>2417</v>
      </c>
      <c r="D475" s="5" t="s">
        <v>2418</v>
      </c>
      <c r="E475" s="5" t="s">
        <v>36</v>
      </c>
      <c r="F475" s="5" t="s">
        <v>37</v>
      </c>
      <c r="G475" s="5" t="s">
        <v>38</v>
      </c>
      <c r="H475" s="5"/>
      <c r="I475" s="5"/>
      <c r="J475" s="5" t="s">
        <v>39</v>
      </c>
      <c r="K475" s="5" t="s">
        <v>50</v>
      </c>
      <c r="L475" s="5" t="s">
        <v>51</v>
      </c>
      <c r="M475" s="5" t="s">
        <v>52</v>
      </c>
      <c r="N475" s="5" t="s">
        <v>36</v>
      </c>
      <c r="O475" s="5">
        <v>1</v>
      </c>
      <c r="P475" s="5" t="s">
        <v>43</v>
      </c>
      <c r="Q475" s="5">
        <v>18.99</v>
      </c>
      <c r="R475" s="5"/>
      <c r="S475" s="5"/>
      <c r="T475" s="5"/>
      <c r="U475" s="5"/>
      <c r="V475" s="5"/>
      <c r="W475" s="5"/>
      <c r="X475" s="5"/>
      <c r="Y475" s="5" t="s">
        <v>2419</v>
      </c>
      <c r="Z475" s="5" t="s">
        <v>54</v>
      </c>
      <c r="AA475" s="5" t="s">
        <v>2420</v>
      </c>
      <c r="AB475" s="5" t="s">
        <v>46</v>
      </c>
      <c r="AC475" s="5"/>
      <c r="AD475" s="5" t="b">
        <v>0</v>
      </c>
      <c r="AE475" s="5"/>
      <c r="AF475" s="5"/>
      <c r="AG475" s="9">
        <f t="shared" si="7"/>
        <v>43270</v>
      </c>
    </row>
    <row r="476" spans="1:33">
      <c r="A476" s="5" t="s">
        <v>2421</v>
      </c>
      <c r="B476" s="5" t="s">
        <v>2421</v>
      </c>
      <c r="C476" s="5" t="s">
        <v>2422</v>
      </c>
      <c r="D476" s="5" t="s">
        <v>2423</v>
      </c>
      <c r="E476" s="5" t="s">
        <v>36</v>
      </c>
      <c r="F476" s="5" t="s">
        <v>37</v>
      </c>
      <c r="G476" s="5" t="s">
        <v>38</v>
      </c>
      <c r="H476" s="5"/>
      <c r="I476" s="5"/>
      <c r="J476" s="5" t="s">
        <v>128</v>
      </c>
      <c r="K476" s="5" t="s">
        <v>110</v>
      </c>
      <c r="L476" s="5" t="s">
        <v>111</v>
      </c>
      <c r="M476" s="5" t="s">
        <v>112</v>
      </c>
      <c r="N476" s="5" t="s">
        <v>36</v>
      </c>
      <c r="O476" s="5">
        <v>1</v>
      </c>
      <c r="P476" s="5" t="s">
        <v>43</v>
      </c>
      <c r="Q476" s="5">
        <v>12.99</v>
      </c>
      <c r="R476" s="5"/>
      <c r="S476" s="5">
        <v>5.99</v>
      </c>
      <c r="T476" s="5"/>
      <c r="U476" s="5"/>
      <c r="V476" s="5"/>
      <c r="W476" s="5"/>
      <c r="X476" s="5"/>
      <c r="Y476" s="5" t="s">
        <v>2424</v>
      </c>
      <c r="Z476" s="5" t="s">
        <v>2410</v>
      </c>
      <c r="AA476" s="5" t="s">
        <v>2425</v>
      </c>
      <c r="AB476" s="5" t="s">
        <v>46</v>
      </c>
      <c r="AC476" s="5"/>
      <c r="AD476" s="5" t="b">
        <v>0</v>
      </c>
      <c r="AE476" s="5"/>
      <c r="AF476" s="5"/>
      <c r="AG476" s="9">
        <f t="shared" si="7"/>
        <v>43270</v>
      </c>
    </row>
    <row r="477" spans="1:33">
      <c r="A477" s="5" t="s">
        <v>2426</v>
      </c>
      <c r="B477" s="5" t="s">
        <v>2426</v>
      </c>
      <c r="C477" s="5" t="s">
        <v>2427</v>
      </c>
      <c r="D477" s="5" t="s">
        <v>2428</v>
      </c>
      <c r="E477" s="5" t="s">
        <v>36</v>
      </c>
      <c r="F477" s="5" t="s">
        <v>37</v>
      </c>
      <c r="G477" s="5" t="s">
        <v>38</v>
      </c>
      <c r="H477" s="5"/>
      <c r="I477" s="5"/>
      <c r="J477" s="5" t="s">
        <v>39</v>
      </c>
      <c r="K477" s="5" t="s">
        <v>587</v>
      </c>
      <c r="L477" s="5" t="s">
        <v>588</v>
      </c>
      <c r="M477" s="5" t="s">
        <v>589</v>
      </c>
      <c r="N477" s="5" t="s">
        <v>36</v>
      </c>
      <c r="O477" s="5">
        <v>1</v>
      </c>
      <c r="P477" s="5" t="s">
        <v>43</v>
      </c>
      <c r="Q477" s="5">
        <v>18.99</v>
      </c>
      <c r="R477" s="5"/>
      <c r="S477" s="5"/>
      <c r="T477" s="5"/>
      <c r="U477" s="5"/>
      <c r="V477" s="5"/>
      <c r="W477" s="5"/>
      <c r="X477" s="5"/>
      <c r="Y477" s="5" t="s">
        <v>2429</v>
      </c>
      <c r="Z477" s="5" t="s">
        <v>247</v>
      </c>
      <c r="AA477" s="5" t="s">
        <v>2430</v>
      </c>
      <c r="AB477" s="5" t="s">
        <v>46</v>
      </c>
      <c r="AC477" s="5"/>
      <c r="AD477" s="5" t="b">
        <v>0</v>
      </c>
      <c r="AE477" s="5"/>
      <c r="AF477" s="5"/>
      <c r="AG477" s="9">
        <f t="shared" si="7"/>
        <v>43270</v>
      </c>
    </row>
    <row r="478" spans="1:33">
      <c r="A478" s="5" t="s">
        <v>2431</v>
      </c>
      <c r="B478" s="5" t="s">
        <v>2431</v>
      </c>
      <c r="C478" s="5" t="s">
        <v>2432</v>
      </c>
      <c r="D478" s="5" t="s">
        <v>2433</v>
      </c>
      <c r="E478" s="5" t="s">
        <v>36</v>
      </c>
      <c r="F478" s="5" t="s">
        <v>37</v>
      </c>
      <c r="G478" s="5" t="s">
        <v>38</v>
      </c>
      <c r="H478" s="5"/>
      <c r="I478" s="5"/>
      <c r="J478" s="5" t="s">
        <v>39</v>
      </c>
      <c r="K478" s="5" t="s">
        <v>459</v>
      </c>
      <c r="L478" s="5" t="s">
        <v>460</v>
      </c>
      <c r="M478" s="5" t="s">
        <v>461</v>
      </c>
      <c r="N478" s="5" t="s">
        <v>36</v>
      </c>
      <c r="O478" s="5">
        <v>1</v>
      </c>
      <c r="P478" s="5" t="s">
        <v>43</v>
      </c>
      <c r="Q478" s="5">
        <v>15.98</v>
      </c>
      <c r="R478" s="5"/>
      <c r="S478" s="5"/>
      <c r="T478" s="5"/>
      <c r="U478" s="5"/>
      <c r="V478" s="5"/>
      <c r="W478" s="5"/>
      <c r="X478" s="5"/>
      <c r="Y478" s="5" t="s">
        <v>246</v>
      </c>
      <c r="Z478" s="5" t="s">
        <v>2434</v>
      </c>
      <c r="AA478" s="5">
        <v>22202</v>
      </c>
      <c r="AB478" s="5" t="s">
        <v>46</v>
      </c>
      <c r="AC478" s="5"/>
      <c r="AD478" s="5" t="b">
        <v>0</v>
      </c>
      <c r="AE478" s="5"/>
      <c r="AF478" s="5"/>
      <c r="AG478" s="9">
        <f t="shared" si="7"/>
        <v>43271</v>
      </c>
    </row>
    <row r="479" spans="1:33">
      <c r="A479" s="5" t="s">
        <v>2435</v>
      </c>
      <c r="B479" s="5" t="s">
        <v>2435</v>
      </c>
      <c r="C479" s="5" t="s">
        <v>2436</v>
      </c>
      <c r="D479" s="5" t="s">
        <v>2437</v>
      </c>
      <c r="E479" s="5" t="s">
        <v>36</v>
      </c>
      <c r="F479" s="5" t="s">
        <v>37</v>
      </c>
      <c r="G479" s="5" t="s">
        <v>38</v>
      </c>
      <c r="H479" s="5"/>
      <c r="I479" s="5"/>
      <c r="J479" s="5" t="s">
        <v>39</v>
      </c>
      <c r="K479" s="5" t="s">
        <v>269</v>
      </c>
      <c r="L479" s="5" t="s">
        <v>1958</v>
      </c>
      <c r="M479" s="5" t="s">
        <v>271</v>
      </c>
      <c r="N479" s="5" t="s">
        <v>36</v>
      </c>
      <c r="O479" s="5">
        <v>1</v>
      </c>
      <c r="P479" s="5" t="s">
        <v>43</v>
      </c>
      <c r="Q479" s="5">
        <v>24.99</v>
      </c>
      <c r="R479" s="5"/>
      <c r="S479" s="5"/>
      <c r="T479" s="5"/>
      <c r="U479" s="5"/>
      <c r="V479" s="5"/>
      <c r="W479" s="5"/>
      <c r="X479" s="5"/>
      <c r="Y479" s="5" t="s">
        <v>2438</v>
      </c>
      <c r="Z479" s="5" t="s">
        <v>218</v>
      </c>
      <c r="AA479" s="5" t="s">
        <v>2439</v>
      </c>
      <c r="AB479" s="5" t="s">
        <v>46</v>
      </c>
      <c r="AC479" s="5"/>
      <c r="AD479" s="5" t="b">
        <v>0</v>
      </c>
      <c r="AE479" s="5"/>
      <c r="AF479" s="5"/>
      <c r="AG479" s="9">
        <f t="shared" si="7"/>
        <v>43271</v>
      </c>
    </row>
    <row r="480" spans="1:33">
      <c r="A480" s="5" t="s">
        <v>2440</v>
      </c>
      <c r="B480" s="5" t="s">
        <v>2440</v>
      </c>
      <c r="C480" s="5" t="s">
        <v>2441</v>
      </c>
      <c r="D480" s="5" t="s">
        <v>2442</v>
      </c>
      <c r="E480" s="5" t="s">
        <v>36</v>
      </c>
      <c r="F480" s="5" t="s">
        <v>37</v>
      </c>
      <c r="G480" s="5" t="s">
        <v>38</v>
      </c>
      <c r="H480" s="5"/>
      <c r="I480" s="5"/>
      <c r="J480" s="5" t="s">
        <v>39</v>
      </c>
      <c r="K480" s="5" t="s">
        <v>50</v>
      </c>
      <c r="L480" s="5" t="s">
        <v>51</v>
      </c>
      <c r="M480" s="5" t="s">
        <v>52</v>
      </c>
      <c r="N480" s="5" t="s">
        <v>36</v>
      </c>
      <c r="O480" s="5">
        <v>2</v>
      </c>
      <c r="P480" s="5" t="s">
        <v>43</v>
      </c>
      <c r="Q480" s="5">
        <v>37.98</v>
      </c>
      <c r="R480" s="5"/>
      <c r="S480" s="5"/>
      <c r="T480" s="5"/>
      <c r="U480" s="5"/>
      <c r="V480" s="5"/>
      <c r="W480" s="5">
        <v>1.9</v>
      </c>
      <c r="X480" s="5"/>
      <c r="Y480" s="5" t="s">
        <v>2443</v>
      </c>
      <c r="Z480" s="5" t="s">
        <v>54</v>
      </c>
      <c r="AA480" s="5" t="s">
        <v>2444</v>
      </c>
      <c r="AB480" s="5" t="s">
        <v>46</v>
      </c>
      <c r="AC480" s="5" t="s">
        <v>115</v>
      </c>
      <c r="AD480" s="5" t="b">
        <v>0</v>
      </c>
      <c r="AE480" s="5"/>
      <c r="AF480" s="5"/>
      <c r="AG480" s="9">
        <f t="shared" si="7"/>
        <v>43271</v>
      </c>
    </row>
    <row r="481" spans="1:33">
      <c r="A481" s="5" t="s">
        <v>2445</v>
      </c>
      <c r="B481" s="5" t="s">
        <v>2445</v>
      </c>
      <c r="C481" s="5" t="s">
        <v>2446</v>
      </c>
      <c r="D481" s="5" t="s">
        <v>2447</v>
      </c>
      <c r="E481" s="5" t="s">
        <v>36</v>
      </c>
      <c r="F481" s="5" t="s">
        <v>37</v>
      </c>
      <c r="G481" s="5" t="s">
        <v>38</v>
      </c>
      <c r="H481" s="5"/>
      <c r="I481" s="5"/>
      <c r="J481" s="5" t="s">
        <v>39</v>
      </c>
      <c r="K481" s="5" t="s">
        <v>101</v>
      </c>
      <c r="L481" s="5" t="s">
        <v>102</v>
      </c>
      <c r="M481" s="5" t="s">
        <v>103</v>
      </c>
      <c r="N481" s="5" t="s">
        <v>36</v>
      </c>
      <c r="O481" s="5">
        <v>1</v>
      </c>
      <c r="P481" s="5" t="s">
        <v>43</v>
      </c>
      <c r="Q481" s="5">
        <v>12.99</v>
      </c>
      <c r="R481" s="5"/>
      <c r="S481" s="5"/>
      <c r="T481" s="5"/>
      <c r="U481" s="5"/>
      <c r="V481" s="5"/>
      <c r="W481" s="5"/>
      <c r="X481" s="5"/>
      <c r="Y481" s="5" t="s">
        <v>2448</v>
      </c>
      <c r="Z481" s="5" t="s">
        <v>96</v>
      </c>
      <c r="AA481" s="5">
        <v>60516</v>
      </c>
      <c r="AB481" s="5" t="s">
        <v>46</v>
      </c>
      <c r="AC481" s="5"/>
      <c r="AD481" s="5" t="b">
        <v>0</v>
      </c>
      <c r="AE481" s="5"/>
      <c r="AF481" s="5"/>
      <c r="AG481" s="9">
        <f t="shared" si="7"/>
        <v>43271</v>
      </c>
    </row>
    <row r="482" spans="1:33">
      <c r="A482" s="5" t="s">
        <v>2449</v>
      </c>
      <c r="B482" s="5" t="s">
        <v>2449</v>
      </c>
      <c r="C482" s="5" t="s">
        <v>2450</v>
      </c>
      <c r="D482" s="5" t="s">
        <v>2451</v>
      </c>
      <c r="E482" s="5" t="s">
        <v>36</v>
      </c>
      <c r="F482" s="5" t="s">
        <v>37</v>
      </c>
      <c r="G482" s="5" t="s">
        <v>38</v>
      </c>
      <c r="H482" s="5"/>
      <c r="I482" s="5"/>
      <c r="J482" s="5" t="s">
        <v>39</v>
      </c>
      <c r="K482" s="5" t="s">
        <v>278</v>
      </c>
      <c r="L482" s="5" t="s">
        <v>279</v>
      </c>
      <c r="M482" s="5" t="s">
        <v>280</v>
      </c>
      <c r="N482" s="5" t="s">
        <v>36</v>
      </c>
      <c r="O482" s="5">
        <v>1</v>
      </c>
      <c r="P482" s="5" t="s">
        <v>43</v>
      </c>
      <c r="Q482" s="5">
        <v>24.99</v>
      </c>
      <c r="R482" s="5"/>
      <c r="S482" s="5"/>
      <c r="T482" s="5"/>
      <c r="U482" s="5"/>
      <c r="V482" s="5"/>
      <c r="W482" s="5">
        <v>1.25</v>
      </c>
      <c r="X482" s="5"/>
      <c r="Y482" s="5" t="s">
        <v>2105</v>
      </c>
      <c r="Z482" s="5" t="s">
        <v>391</v>
      </c>
      <c r="AA482" s="5" t="s">
        <v>2106</v>
      </c>
      <c r="AB482" s="5" t="s">
        <v>46</v>
      </c>
      <c r="AC482" s="5" t="s">
        <v>115</v>
      </c>
      <c r="AD482" s="5" t="b">
        <v>0</v>
      </c>
      <c r="AE482" s="5"/>
      <c r="AF482" s="5"/>
      <c r="AG482" s="9">
        <f t="shared" si="7"/>
        <v>43271</v>
      </c>
    </row>
    <row r="483" spans="1:33">
      <c r="A483" s="5" t="s">
        <v>2449</v>
      </c>
      <c r="B483" s="5" t="s">
        <v>2449</v>
      </c>
      <c r="C483" s="5" t="s">
        <v>2450</v>
      </c>
      <c r="D483" s="5" t="s">
        <v>2451</v>
      </c>
      <c r="E483" s="5" t="s">
        <v>36</v>
      </c>
      <c r="F483" s="5" t="s">
        <v>37</v>
      </c>
      <c r="G483" s="5" t="s">
        <v>38</v>
      </c>
      <c r="H483" s="5"/>
      <c r="I483" s="5"/>
      <c r="J483" s="5" t="s">
        <v>39</v>
      </c>
      <c r="K483" s="5" t="s">
        <v>269</v>
      </c>
      <c r="L483" s="5" t="s">
        <v>1958</v>
      </c>
      <c r="M483" s="5" t="s">
        <v>271</v>
      </c>
      <c r="N483" s="5" t="s">
        <v>36</v>
      </c>
      <c r="O483" s="5">
        <v>1</v>
      </c>
      <c r="P483" s="5" t="s">
        <v>43</v>
      </c>
      <c r="Q483" s="5">
        <v>24.99</v>
      </c>
      <c r="R483" s="5"/>
      <c r="S483" s="5"/>
      <c r="T483" s="5"/>
      <c r="U483" s="5"/>
      <c r="V483" s="5"/>
      <c r="W483" s="5">
        <v>1.25</v>
      </c>
      <c r="X483" s="5"/>
      <c r="Y483" s="5" t="s">
        <v>2105</v>
      </c>
      <c r="Z483" s="5" t="s">
        <v>391</v>
      </c>
      <c r="AA483" s="5" t="s">
        <v>2106</v>
      </c>
      <c r="AB483" s="5" t="s">
        <v>46</v>
      </c>
      <c r="AC483" s="5" t="s">
        <v>115</v>
      </c>
      <c r="AD483" s="5" t="b">
        <v>0</v>
      </c>
      <c r="AE483" s="5"/>
      <c r="AF483" s="5"/>
      <c r="AG483" s="9">
        <f t="shared" si="7"/>
        <v>43271</v>
      </c>
    </row>
    <row r="484" spans="1:33">
      <c r="A484" s="5" t="s">
        <v>2452</v>
      </c>
      <c r="B484" s="5" t="s">
        <v>2452</v>
      </c>
      <c r="C484" s="5" t="s">
        <v>2453</v>
      </c>
      <c r="D484" s="5" t="s">
        <v>2454</v>
      </c>
      <c r="E484" s="5" t="s">
        <v>36</v>
      </c>
      <c r="F484" s="5" t="s">
        <v>37</v>
      </c>
      <c r="G484" s="5" t="s">
        <v>38</v>
      </c>
      <c r="H484" s="5"/>
      <c r="I484" s="5"/>
      <c r="J484" s="5" t="s">
        <v>39</v>
      </c>
      <c r="K484" s="5" t="s">
        <v>387</v>
      </c>
      <c r="L484" s="5" t="s">
        <v>388</v>
      </c>
      <c r="M484" s="5" t="s">
        <v>389</v>
      </c>
      <c r="N484" s="5" t="s">
        <v>36</v>
      </c>
      <c r="O484" s="5">
        <v>1</v>
      </c>
      <c r="P484" s="5" t="s">
        <v>43</v>
      </c>
      <c r="Q484" s="5">
        <v>18.99</v>
      </c>
      <c r="R484" s="5"/>
      <c r="S484" s="5"/>
      <c r="T484" s="5"/>
      <c r="U484" s="5"/>
      <c r="V484" s="5"/>
      <c r="W484" s="5"/>
      <c r="X484" s="5"/>
      <c r="Y484" s="5" t="s">
        <v>2455</v>
      </c>
      <c r="Z484" s="5" t="s">
        <v>142</v>
      </c>
      <c r="AA484" s="5" t="s">
        <v>2456</v>
      </c>
      <c r="AB484" s="5" t="s">
        <v>46</v>
      </c>
      <c r="AC484" s="5"/>
      <c r="AD484" s="5" t="b">
        <v>0</v>
      </c>
      <c r="AE484" s="5"/>
      <c r="AF484" s="5"/>
      <c r="AG484" s="9">
        <f t="shared" si="7"/>
        <v>43271</v>
      </c>
    </row>
    <row r="485" spans="1:33">
      <c r="A485" s="5" t="s">
        <v>2457</v>
      </c>
      <c r="B485" s="5" t="s">
        <v>2457</v>
      </c>
      <c r="C485" s="5" t="s">
        <v>2458</v>
      </c>
      <c r="D485" s="5" t="s">
        <v>2459</v>
      </c>
      <c r="E485" s="5" t="s">
        <v>36</v>
      </c>
      <c r="F485" s="5" t="s">
        <v>37</v>
      </c>
      <c r="G485" s="5" t="s">
        <v>38</v>
      </c>
      <c r="H485" s="5"/>
      <c r="I485" s="5"/>
      <c r="J485" s="5" t="s">
        <v>39</v>
      </c>
      <c r="K485" s="5" t="s">
        <v>101</v>
      </c>
      <c r="L485" s="5" t="s">
        <v>102</v>
      </c>
      <c r="M485" s="5" t="s">
        <v>103</v>
      </c>
      <c r="N485" s="5" t="s">
        <v>36</v>
      </c>
      <c r="O485" s="5">
        <v>1</v>
      </c>
      <c r="P485" s="5" t="s">
        <v>43</v>
      </c>
      <c r="Q485" s="5">
        <v>12.99</v>
      </c>
      <c r="R485" s="5"/>
      <c r="S485" s="5"/>
      <c r="T485" s="5"/>
      <c r="U485" s="5"/>
      <c r="V485" s="5"/>
      <c r="W485" s="5"/>
      <c r="X485" s="5"/>
      <c r="Y485" s="5" t="s">
        <v>2460</v>
      </c>
      <c r="Z485" s="5" t="s">
        <v>391</v>
      </c>
      <c r="AA485" s="5">
        <v>44109</v>
      </c>
      <c r="AB485" s="5" t="s">
        <v>46</v>
      </c>
      <c r="AC485" s="5"/>
      <c r="AD485" s="5" t="b">
        <v>0</v>
      </c>
      <c r="AE485" s="5"/>
      <c r="AF485" s="5"/>
      <c r="AG485" s="9">
        <f t="shared" si="7"/>
        <v>43271</v>
      </c>
    </row>
    <row r="486" spans="1:33">
      <c r="A486" s="5" t="s">
        <v>2461</v>
      </c>
      <c r="B486" s="5" t="s">
        <v>2461</v>
      </c>
      <c r="C486" s="5" t="s">
        <v>2462</v>
      </c>
      <c r="D486" s="5" t="s">
        <v>2463</v>
      </c>
      <c r="E486" s="5" t="s">
        <v>36</v>
      </c>
      <c r="F486" s="5" t="s">
        <v>37</v>
      </c>
      <c r="G486" s="5" t="s">
        <v>38</v>
      </c>
      <c r="H486" s="5"/>
      <c r="I486" s="5"/>
      <c r="J486" s="5" t="s">
        <v>39</v>
      </c>
      <c r="K486" s="5" t="s">
        <v>75</v>
      </c>
      <c r="L486" s="5" t="s">
        <v>76</v>
      </c>
      <c r="M486" s="5" t="s">
        <v>77</v>
      </c>
      <c r="N486" s="5" t="s">
        <v>36</v>
      </c>
      <c r="O486" s="5">
        <v>1</v>
      </c>
      <c r="P486" s="5" t="s">
        <v>43</v>
      </c>
      <c r="Q486" s="5">
        <v>12.99</v>
      </c>
      <c r="R486" s="5"/>
      <c r="S486" s="5"/>
      <c r="T486" s="5"/>
      <c r="U486" s="5"/>
      <c r="V486" s="5"/>
      <c r="W486" s="5"/>
      <c r="X486" s="5"/>
      <c r="Y486" s="5" t="s">
        <v>2464</v>
      </c>
      <c r="Z486" s="5" t="s">
        <v>377</v>
      </c>
      <c r="AA486" s="5" t="s">
        <v>2465</v>
      </c>
      <c r="AB486" s="5" t="s">
        <v>46</v>
      </c>
      <c r="AC486" s="5"/>
      <c r="AD486" s="5" t="b">
        <v>0</v>
      </c>
      <c r="AE486" s="5"/>
      <c r="AF486" s="5"/>
      <c r="AG486" s="9">
        <f t="shared" si="7"/>
        <v>43271</v>
      </c>
    </row>
    <row r="487" spans="1:33">
      <c r="A487" s="5" t="s">
        <v>2466</v>
      </c>
      <c r="B487" s="5" t="s">
        <v>2466</v>
      </c>
      <c r="C487" s="5" t="s">
        <v>2467</v>
      </c>
      <c r="D487" s="5" t="s">
        <v>2468</v>
      </c>
      <c r="E487" s="5" t="s">
        <v>36</v>
      </c>
      <c r="F487" s="5" t="s">
        <v>37</v>
      </c>
      <c r="G487" s="5" t="s">
        <v>38</v>
      </c>
      <c r="H487" s="5"/>
      <c r="I487" s="5"/>
      <c r="J487" s="5" t="s">
        <v>39</v>
      </c>
      <c r="K487" s="5" t="s">
        <v>570</v>
      </c>
      <c r="L487" s="5" t="s">
        <v>578</v>
      </c>
      <c r="M487" s="5" t="s">
        <v>572</v>
      </c>
      <c r="N487" s="5" t="s">
        <v>36</v>
      </c>
      <c r="O487" s="5">
        <v>1</v>
      </c>
      <c r="P487" s="5" t="s">
        <v>43</v>
      </c>
      <c r="Q487" s="5">
        <v>24.99</v>
      </c>
      <c r="R487" s="5"/>
      <c r="S487" s="5"/>
      <c r="T487" s="5"/>
      <c r="U487" s="5"/>
      <c r="V487" s="5"/>
      <c r="W487" s="5"/>
      <c r="X487" s="5"/>
      <c r="Y487" s="5" t="s">
        <v>2381</v>
      </c>
      <c r="Z487" s="5" t="s">
        <v>183</v>
      </c>
      <c r="AA487" s="5" t="s">
        <v>2469</v>
      </c>
      <c r="AB487" s="5" t="s">
        <v>46</v>
      </c>
      <c r="AC487" s="5"/>
      <c r="AD487" s="5" t="b">
        <v>0</v>
      </c>
      <c r="AE487" s="5"/>
      <c r="AF487" s="5"/>
      <c r="AG487" s="9">
        <f t="shared" si="7"/>
        <v>43271</v>
      </c>
    </row>
    <row r="488" spans="1:33">
      <c r="A488" s="5" t="s">
        <v>2470</v>
      </c>
      <c r="B488" s="5" t="s">
        <v>2470</v>
      </c>
      <c r="C488" s="5" t="s">
        <v>2471</v>
      </c>
      <c r="D488" s="5" t="s">
        <v>2472</v>
      </c>
      <c r="E488" s="5" t="s">
        <v>36</v>
      </c>
      <c r="F488" s="5" t="s">
        <v>37</v>
      </c>
      <c r="G488" s="5" t="s">
        <v>38</v>
      </c>
      <c r="H488" s="5"/>
      <c r="I488" s="5"/>
      <c r="J488" s="5" t="s">
        <v>39</v>
      </c>
      <c r="K488" s="5" t="s">
        <v>110</v>
      </c>
      <c r="L488" s="5" t="s">
        <v>111</v>
      </c>
      <c r="M488" s="5" t="s">
        <v>112</v>
      </c>
      <c r="N488" s="5" t="s">
        <v>36</v>
      </c>
      <c r="O488" s="5">
        <v>1</v>
      </c>
      <c r="P488" s="5" t="s">
        <v>43</v>
      </c>
      <c r="Q488" s="5">
        <v>12.99</v>
      </c>
      <c r="R488" s="5"/>
      <c r="S488" s="5"/>
      <c r="T488" s="5"/>
      <c r="U488" s="5"/>
      <c r="V488" s="5"/>
      <c r="W488" s="5"/>
      <c r="X488" s="5"/>
      <c r="Y488" s="5" t="s">
        <v>196</v>
      </c>
      <c r="Z488" s="5" t="s">
        <v>54</v>
      </c>
      <c r="AA488" s="5" t="s">
        <v>2473</v>
      </c>
      <c r="AB488" s="5" t="s">
        <v>46</v>
      </c>
      <c r="AC488" s="5"/>
      <c r="AD488" s="5" t="b">
        <v>0</v>
      </c>
      <c r="AE488" s="5"/>
      <c r="AF488" s="5"/>
      <c r="AG488" s="9">
        <f t="shared" si="7"/>
        <v>43271</v>
      </c>
    </row>
    <row r="489" spans="1:33">
      <c r="A489" s="5" t="s">
        <v>2474</v>
      </c>
      <c r="B489" s="5" t="s">
        <v>2474</v>
      </c>
      <c r="C489" s="5" t="s">
        <v>2475</v>
      </c>
      <c r="D489" s="5" t="s">
        <v>2476</v>
      </c>
      <c r="E489" s="5" t="s">
        <v>36</v>
      </c>
      <c r="F489" s="5" t="s">
        <v>37</v>
      </c>
      <c r="G489" s="5" t="s">
        <v>38</v>
      </c>
      <c r="H489" s="5"/>
      <c r="I489" s="5"/>
      <c r="J489" s="5" t="s">
        <v>39</v>
      </c>
      <c r="K489" s="5" t="s">
        <v>110</v>
      </c>
      <c r="L489" s="5" t="s">
        <v>111</v>
      </c>
      <c r="M489" s="5" t="s">
        <v>112</v>
      </c>
      <c r="N489" s="5" t="s">
        <v>36</v>
      </c>
      <c r="O489" s="5">
        <v>1</v>
      </c>
      <c r="P489" s="5" t="s">
        <v>43</v>
      </c>
      <c r="Q489" s="5">
        <v>12.99</v>
      </c>
      <c r="R489" s="5"/>
      <c r="S489" s="5"/>
      <c r="T489" s="5"/>
      <c r="U489" s="5"/>
      <c r="V489" s="5"/>
      <c r="W489" s="5"/>
      <c r="X489" s="5"/>
      <c r="Y489" s="5" t="s">
        <v>2477</v>
      </c>
      <c r="Z489" s="5" t="s">
        <v>282</v>
      </c>
      <c r="AA489" s="5" t="s">
        <v>2478</v>
      </c>
      <c r="AB489" s="5" t="s">
        <v>46</v>
      </c>
      <c r="AC489" s="5"/>
      <c r="AD489" s="5" t="b">
        <v>0</v>
      </c>
      <c r="AE489" s="5"/>
      <c r="AF489" s="5"/>
      <c r="AG489" s="9">
        <f t="shared" si="7"/>
        <v>43271</v>
      </c>
    </row>
    <row r="490" spans="1:33">
      <c r="A490" s="5" t="s">
        <v>2479</v>
      </c>
      <c r="B490" s="5" t="s">
        <v>2479</v>
      </c>
      <c r="C490" s="5" t="s">
        <v>2480</v>
      </c>
      <c r="D490" s="5" t="s">
        <v>2481</v>
      </c>
      <c r="E490" s="5" t="s">
        <v>36</v>
      </c>
      <c r="F490" s="5" t="s">
        <v>37</v>
      </c>
      <c r="G490" s="5" t="s">
        <v>38</v>
      </c>
      <c r="H490" s="5"/>
      <c r="I490" s="5"/>
      <c r="J490" s="5" t="s">
        <v>39</v>
      </c>
      <c r="K490" s="5" t="s">
        <v>243</v>
      </c>
      <c r="L490" s="5" t="s">
        <v>244</v>
      </c>
      <c r="M490" s="5" t="s">
        <v>245</v>
      </c>
      <c r="N490" s="5" t="s">
        <v>36</v>
      </c>
      <c r="O490" s="5">
        <v>1</v>
      </c>
      <c r="P490" s="5" t="s">
        <v>43</v>
      </c>
      <c r="Q490" s="5">
        <v>18.99</v>
      </c>
      <c r="R490" s="5"/>
      <c r="S490" s="5"/>
      <c r="T490" s="5"/>
      <c r="U490" s="5"/>
      <c r="V490" s="5"/>
      <c r="W490" s="5"/>
      <c r="X490" s="5"/>
      <c r="Y490" s="5" t="s">
        <v>719</v>
      </c>
      <c r="Z490" s="5" t="s">
        <v>505</v>
      </c>
      <c r="AA490" s="5" t="s">
        <v>2482</v>
      </c>
      <c r="AB490" s="5" t="s">
        <v>46</v>
      </c>
      <c r="AC490" s="5"/>
      <c r="AD490" s="5" t="b">
        <v>0</v>
      </c>
      <c r="AE490" s="5"/>
      <c r="AF490" s="5"/>
      <c r="AG490" s="9">
        <f t="shared" si="7"/>
        <v>43271</v>
      </c>
    </row>
    <row r="491" spans="1:33">
      <c r="A491" s="5" t="s">
        <v>2483</v>
      </c>
      <c r="B491" s="5" t="s">
        <v>2483</v>
      </c>
      <c r="C491" s="5" t="s">
        <v>2484</v>
      </c>
      <c r="D491" s="5" t="s">
        <v>2485</v>
      </c>
      <c r="E491" s="5" t="s">
        <v>36</v>
      </c>
      <c r="F491" s="5" t="s">
        <v>37</v>
      </c>
      <c r="G491" s="5" t="s">
        <v>38</v>
      </c>
      <c r="H491" s="5"/>
      <c r="I491" s="5"/>
      <c r="J491" s="5" t="s">
        <v>39</v>
      </c>
      <c r="K491" s="5" t="s">
        <v>243</v>
      </c>
      <c r="L491" s="5" t="s">
        <v>244</v>
      </c>
      <c r="M491" s="5" t="s">
        <v>245</v>
      </c>
      <c r="N491" s="5" t="s">
        <v>36</v>
      </c>
      <c r="O491" s="5">
        <v>1</v>
      </c>
      <c r="P491" s="5" t="s">
        <v>43</v>
      </c>
      <c r="Q491" s="5">
        <v>18.99</v>
      </c>
      <c r="R491" s="5"/>
      <c r="S491" s="5"/>
      <c r="T491" s="5"/>
      <c r="U491" s="5"/>
      <c r="V491" s="5"/>
      <c r="W491" s="5"/>
      <c r="X491" s="5"/>
      <c r="Y491" s="5" t="s">
        <v>437</v>
      </c>
      <c r="Z491" s="5" t="s">
        <v>151</v>
      </c>
      <c r="AA491" s="5" t="s">
        <v>2486</v>
      </c>
      <c r="AB491" s="5" t="s">
        <v>46</v>
      </c>
      <c r="AC491" s="5"/>
      <c r="AD491" s="5" t="b">
        <v>0</v>
      </c>
      <c r="AE491" s="5"/>
      <c r="AF491" s="5"/>
      <c r="AG491" s="9">
        <f t="shared" si="7"/>
        <v>43271</v>
      </c>
    </row>
    <row r="492" spans="1:33">
      <c r="A492" s="5" t="s">
        <v>2487</v>
      </c>
      <c r="B492" s="5" t="s">
        <v>2487</v>
      </c>
      <c r="C492" s="5" t="s">
        <v>2488</v>
      </c>
      <c r="D492" s="5" t="s">
        <v>2489</v>
      </c>
      <c r="E492" s="5" t="s">
        <v>36</v>
      </c>
      <c r="F492" s="5" t="s">
        <v>37</v>
      </c>
      <c r="G492" s="5" t="s">
        <v>38</v>
      </c>
      <c r="H492" s="5"/>
      <c r="I492" s="5"/>
      <c r="J492" s="5" t="s">
        <v>39</v>
      </c>
      <c r="K492" s="5" t="s">
        <v>147</v>
      </c>
      <c r="L492" s="5" t="s">
        <v>148</v>
      </c>
      <c r="M492" s="5" t="s">
        <v>149</v>
      </c>
      <c r="N492" s="5" t="s">
        <v>36</v>
      </c>
      <c r="O492" s="5">
        <v>1</v>
      </c>
      <c r="P492" s="5" t="s">
        <v>43</v>
      </c>
      <c r="Q492" s="5">
        <v>12.98</v>
      </c>
      <c r="R492" s="5"/>
      <c r="S492" s="5"/>
      <c r="T492" s="5"/>
      <c r="U492" s="5"/>
      <c r="V492" s="5"/>
      <c r="W492" s="5"/>
      <c r="X492" s="5"/>
      <c r="Y492" s="5" t="s">
        <v>150</v>
      </c>
      <c r="Z492" s="5" t="s">
        <v>151</v>
      </c>
      <c r="AA492" s="5" t="s">
        <v>2490</v>
      </c>
      <c r="AB492" s="5" t="s">
        <v>46</v>
      </c>
      <c r="AC492" s="5"/>
      <c r="AD492" s="5" t="b">
        <v>0</v>
      </c>
      <c r="AE492" s="5"/>
      <c r="AF492" s="5"/>
      <c r="AG492" s="9">
        <f t="shared" si="7"/>
        <v>43271</v>
      </c>
    </row>
    <row r="493" spans="1:33">
      <c r="A493" s="5" t="s">
        <v>2491</v>
      </c>
      <c r="B493" s="5" t="s">
        <v>2491</v>
      </c>
      <c r="C493" s="5" t="s">
        <v>2492</v>
      </c>
      <c r="D493" s="5" t="s">
        <v>2493</v>
      </c>
      <c r="E493" s="5" t="s">
        <v>36</v>
      </c>
      <c r="F493" s="5" t="s">
        <v>37</v>
      </c>
      <c r="G493" s="5" t="s">
        <v>38</v>
      </c>
      <c r="H493" s="5"/>
      <c r="I493" s="5"/>
      <c r="J493" s="5" t="s">
        <v>128</v>
      </c>
      <c r="K493" s="5" t="s">
        <v>243</v>
      </c>
      <c r="L493" s="5" t="s">
        <v>244</v>
      </c>
      <c r="M493" s="5" t="s">
        <v>245</v>
      </c>
      <c r="N493" s="5" t="s">
        <v>36</v>
      </c>
      <c r="O493" s="5">
        <v>1</v>
      </c>
      <c r="P493" s="5" t="s">
        <v>43</v>
      </c>
      <c r="Q493" s="5">
        <v>18.99</v>
      </c>
      <c r="R493" s="5"/>
      <c r="S493" s="5">
        <v>3.09</v>
      </c>
      <c r="T493" s="5"/>
      <c r="U493" s="5"/>
      <c r="V493" s="5"/>
      <c r="W493" s="5"/>
      <c r="X493" s="5">
        <v>3.09</v>
      </c>
      <c r="Y493" s="5" t="s">
        <v>2494</v>
      </c>
      <c r="Z493" s="5" t="s">
        <v>170</v>
      </c>
      <c r="AA493" s="5" t="s">
        <v>2495</v>
      </c>
      <c r="AB493" s="5" t="s">
        <v>46</v>
      </c>
      <c r="AC493" s="5" t="s">
        <v>225</v>
      </c>
      <c r="AD493" s="5" t="b">
        <v>0</v>
      </c>
      <c r="AE493" s="5"/>
      <c r="AF493" s="5"/>
      <c r="AG493" s="9">
        <f t="shared" si="7"/>
        <v>43271</v>
      </c>
    </row>
    <row r="494" spans="1:33">
      <c r="A494" s="5" t="s">
        <v>2496</v>
      </c>
      <c r="B494" s="5" t="s">
        <v>2496</v>
      </c>
      <c r="C494" s="5" t="s">
        <v>2497</v>
      </c>
      <c r="D494" s="5" t="s">
        <v>2498</v>
      </c>
      <c r="E494" s="5" t="s">
        <v>36</v>
      </c>
      <c r="F494" s="5" t="s">
        <v>37</v>
      </c>
      <c r="G494" s="5" t="s">
        <v>38</v>
      </c>
      <c r="H494" s="5"/>
      <c r="I494" s="5"/>
      <c r="J494" s="5" t="s">
        <v>128</v>
      </c>
      <c r="K494" s="5" t="s">
        <v>67</v>
      </c>
      <c r="L494" s="5" t="s">
        <v>68</v>
      </c>
      <c r="M494" s="5" t="s">
        <v>69</v>
      </c>
      <c r="N494" s="5" t="s">
        <v>36</v>
      </c>
      <c r="O494" s="5">
        <v>1</v>
      </c>
      <c r="P494" s="5" t="s">
        <v>43</v>
      </c>
      <c r="Q494" s="5">
        <v>24.99</v>
      </c>
      <c r="R494" s="5"/>
      <c r="S494" s="5">
        <v>3.48</v>
      </c>
      <c r="T494" s="5"/>
      <c r="U494" s="5"/>
      <c r="V494" s="5"/>
      <c r="W494" s="5"/>
      <c r="X494" s="5">
        <v>3.48</v>
      </c>
      <c r="Y494" s="5" t="s">
        <v>2499</v>
      </c>
      <c r="Z494" s="5" t="s">
        <v>247</v>
      </c>
      <c r="AA494" s="5" t="s">
        <v>2500</v>
      </c>
      <c r="AB494" s="5" t="s">
        <v>46</v>
      </c>
      <c r="AC494" s="5" t="s">
        <v>225</v>
      </c>
      <c r="AD494" s="5" t="b">
        <v>0</v>
      </c>
      <c r="AE494" s="5"/>
      <c r="AF494" s="5"/>
      <c r="AG494" s="9">
        <f t="shared" si="7"/>
        <v>43271</v>
      </c>
    </row>
    <row r="495" spans="1:33">
      <c r="A495" s="5" t="s">
        <v>2501</v>
      </c>
      <c r="B495" s="5" t="s">
        <v>2501</v>
      </c>
      <c r="C495" s="5" t="s">
        <v>2502</v>
      </c>
      <c r="D495" s="5" t="s">
        <v>2503</v>
      </c>
      <c r="E495" s="5" t="s">
        <v>36</v>
      </c>
      <c r="F495" s="5" t="s">
        <v>37</v>
      </c>
      <c r="G495" s="5" t="s">
        <v>38</v>
      </c>
      <c r="H495" s="5"/>
      <c r="I495" s="5"/>
      <c r="J495" s="5" t="s">
        <v>39</v>
      </c>
      <c r="K495" s="5" t="s">
        <v>587</v>
      </c>
      <c r="L495" s="5" t="s">
        <v>588</v>
      </c>
      <c r="M495" s="5" t="s">
        <v>589</v>
      </c>
      <c r="N495" s="5" t="s">
        <v>36</v>
      </c>
      <c r="O495" s="5">
        <v>1</v>
      </c>
      <c r="P495" s="5" t="s">
        <v>43</v>
      </c>
      <c r="Q495" s="5">
        <v>18.99</v>
      </c>
      <c r="R495" s="5"/>
      <c r="S495" s="5"/>
      <c r="T495" s="5"/>
      <c r="U495" s="5"/>
      <c r="V495" s="5"/>
      <c r="W495" s="5"/>
      <c r="X495" s="5"/>
      <c r="Y495" s="5" t="s">
        <v>1684</v>
      </c>
      <c r="Z495" s="5" t="s">
        <v>142</v>
      </c>
      <c r="AA495" s="5" t="s">
        <v>2504</v>
      </c>
      <c r="AB495" s="5" t="s">
        <v>46</v>
      </c>
      <c r="AC495" s="5"/>
      <c r="AD495" s="5" t="b">
        <v>0</v>
      </c>
      <c r="AE495" s="5"/>
      <c r="AF495" s="5"/>
      <c r="AG495" s="9">
        <f t="shared" si="7"/>
        <v>43271</v>
      </c>
    </row>
    <row r="496" spans="1:33">
      <c r="A496" s="5" t="s">
        <v>2505</v>
      </c>
      <c r="B496" s="5" t="s">
        <v>2505</v>
      </c>
      <c r="C496" s="5" t="s">
        <v>2506</v>
      </c>
      <c r="D496" s="5" t="s">
        <v>2507</v>
      </c>
      <c r="E496" s="5" t="s">
        <v>36</v>
      </c>
      <c r="F496" s="5" t="s">
        <v>37</v>
      </c>
      <c r="G496" s="5" t="s">
        <v>38</v>
      </c>
      <c r="H496" s="5"/>
      <c r="I496" s="5"/>
      <c r="J496" s="5" t="s">
        <v>287</v>
      </c>
      <c r="K496" s="5" t="s">
        <v>147</v>
      </c>
      <c r="L496" s="5" t="s">
        <v>148</v>
      </c>
      <c r="M496" s="5" t="s">
        <v>149</v>
      </c>
      <c r="N496" s="5" t="s">
        <v>36</v>
      </c>
      <c r="O496" s="5">
        <v>1</v>
      </c>
      <c r="P496" s="5" t="s">
        <v>43</v>
      </c>
      <c r="Q496" s="5">
        <v>12.98</v>
      </c>
      <c r="R496" s="5"/>
      <c r="S496" s="5">
        <v>3</v>
      </c>
      <c r="T496" s="5"/>
      <c r="U496" s="5"/>
      <c r="V496" s="5"/>
      <c r="W496" s="5"/>
      <c r="X496" s="5"/>
      <c r="Y496" s="5" t="s">
        <v>2508</v>
      </c>
      <c r="Z496" s="5" t="s">
        <v>54</v>
      </c>
      <c r="AA496" s="5" t="s">
        <v>2509</v>
      </c>
      <c r="AB496" s="5" t="s">
        <v>46</v>
      </c>
      <c r="AC496" s="5"/>
      <c r="AD496" s="5" t="b">
        <v>0</v>
      </c>
      <c r="AE496" s="5"/>
      <c r="AF496" s="5"/>
      <c r="AG496" s="9">
        <f t="shared" si="7"/>
        <v>43271</v>
      </c>
    </row>
    <row r="497" spans="1:33">
      <c r="A497" s="5" t="s">
        <v>2510</v>
      </c>
      <c r="B497" s="5" t="s">
        <v>2510</v>
      </c>
      <c r="C497" s="5" t="s">
        <v>2511</v>
      </c>
      <c r="D497" s="5" t="s">
        <v>2512</v>
      </c>
      <c r="E497" s="5" t="s">
        <v>36</v>
      </c>
      <c r="F497" s="5" t="s">
        <v>37</v>
      </c>
      <c r="G497" s="5" t="s">
        <v>38</v>
      </c>
      <c r="H497" s="5"/>
      <c r="I497" s="5"/>
      <c r="J497" s="5" t="s">
        <v>39</v>
      </c>
      <c r="K497" s="5" t="s">
        <v>75</v>
      </c>
      <c r="L497" s="5" t="s">
        <v>76</v>
      </c>
      <c r="M497" s="5" t="s">
        <v>77</v>
      </c>
      <c r="N497" s="5" t="s">
        <v>36</v>
      </c>
      <c r="O497" s="5">
        <v>1</v>
      </c>
      <c r="P497" s="5" t="s">
        <v>43</v>
      </c>
      <c r="Q497" s="5">
        <v>12.99</v>
      </c>
      <c r="R497" s="5"/>
      <c r="S497" s="5"/>
      <c r="T497" s="5"/>
      <c r="U497" s="5"/>
      <c r="V497" s="5"/>
      <c r="W497" s="5"/>
      <c r="X497" s="5"/>
      <c r="Y497" s="5" t="s">
        <v>2513</v>
      </c>
      <c r="Z497" s="5" t="s">
        <v>463</v>
      </c>
      <c r="AA497" s="5" t="s">
        <v>2514</v>
      </c>
      <c r="AB497" s="5" t="s">
        <v>46</v>
      </c>
      <c r="AC497" s="5"/>
      <c r="AD497" s="5" t="b">
        <v>0</v>
      </c>
      <c r="AE497" s="5"/>
      <c r="AF497" s="5"/>
      <c r="AG497" s="9">
        <f t="shared" si="7"/>
        <v>43271</v>
      </c>
    </row>
    <row r="498" spans="1:33">
      <c r="A498" s="5" t="s">
        <v>2515</v>
      </c>
      <c r="B498" s="5" t="s">
        <v>2515</v>
      </c>
      <c r="C498" s="5" t="s">
        <v>2516</v>
      </c>
      <c r="D498" s="5" t="s">
        <v>2517</v>
      </c>
      <c r="E498" s="5" t="s">
        <v>36</v>
      </c>
      <c r="F498" s="5" t="s">
        <v>37</v>
      </c>
      <c r="G498" s="5" t="s">
        <v>38</v>
      </c>
      <c r="H498" s="5"/>
      <c r="I498" s="5"/>
      <c r="J498" s="5" t="s">
        <v>39</v>
      </c>
      <c r="K498" s="5" t="s">
        <v>147</v>
      </c>
      <c r="L498" s="5" t="s">
        <v>148</v>
      </c>
      <c r="M498" s="5" t="s">
        <v>149</v>
      </c>
      <c r="N498" s="5" t="s">
        <v>36</v>
      </c>
      <c r="O498" s="5">
        <v>1</v>
      </c>
      <c r="P498" s="5" t="s">
        <v>43</v>
      </c>
      <c r="Q498" s="5">
        <v>12.98</v>
      </c>
      <c r="R498" s="5"/>
      <c r="S498" s="5"/>
      <c r="T498" s="5"/>
      <c r="U498" s="5"/>
      <c r="V498" s="5"/>
      <c r="W498" s="5"/>
      <c r="X498" s="5"/>
      <c r="Y498" s="5" t="s">
        <v>2518</v>
      </c>
      <c r="Z498" s="5" t="s">
        <v>142</v>
      </c>
      <c r="AA498" s="5" t="s">
        <v>2519</v>
      </c>
      <c r="AB498" s="5" t="s">
        <v>46</v>
      </c>
      <c r="AC498" s="5"/>
      <c r="AD498" s="5" t="b">
        <v>0</v>
      </c>
      <c r="AE498" s="5"/>
      <c r="AF498" s="5"/>
      <c r="AG498" s="9">
        <f t="shared" si="7"/>
        <v>43271</v>
      </c>
    </row>
    <row r="499" spans="1:33">
      <c r="A499" s="5" t="s">
        <v>2520</v>
      </c>
      <c r="B499" s="5" t="s">
        <v>2520</v>
      </c>
      <c r="C499" s="5" t="s">
        <v>2521</v>
      </c>
      <c r="D499" s="5" t="s">
        <v>2522</v>
      </c>
      <c r="E499" s="5" t="s">
        <v>36</v>
      </c>
      <c r="F499" s="5" t="s">
        <v>37</v>
      </c>
      <c r="G499" s="5" t="s">
        <v>38</v>
      </c>
      <c r="H499" s="5"/>
      <c r="I499" s="5"/>
      <c r="J499" s="5" t="s">
        <v>39</v>
      </c>
      <c r="K499" s="5" t="s">
        <v>387</v>
      </c>
      <c r="L499" s="5" t="s">
        <v>388</v>
      </c>
      <c r="M499" s="5" t="s">
        <v>389</v>
      </c>
      <c r="N499" s="5" t="s">
        <v>36</v>
      </c>
      <c r="O499" s="5">
        <v>1</v>
      </c>
      <c r="P499" s="5" t="s">
        <v>43</v>
      </c>
      <c r="Q499" s="5">
        <v>18.99</v>
      </c>
      <c r="R499" s="5"/>
      <c r="S499" s="5"/>
      <c r="T499" s="5"/>
      <c r="U499" s="5"/>
      <c r="V499" s="5"/>
      <c r="W499" s="5"/>
      <c r="X499" s="5"/>
      <c r="Y499" s="5" t="s">
        <v>2523</v>
      </c>
      <c r="Z499" s="5" t="s">
        <v>631</v>
      </c>
      <c r="AA499" s="5" t="s">
        <v>2524</v>
      </c>
      <c r="AB499" s="5" t="s">
        <v>46</v>
      </c>
      <c r="AC499" s="5"/>
      <c r="AD499" s="5" t="b">
        <v>0</v>
      </c>
      <c r="AE499" s="5"/>
      <c r="AF499" s="5"/>
      <c r="AG499" s="9">
        <f t="shared" si="7"/>
        <v>43271</v>
      </c>
    </row>
    <row r="500" spans="1:33">
      <c r="A500" s="5" t="s">
        <v>2525</v>
      </c>
      <c r="B500" s="5" t="s">
        <v>2525</v>
      </c>
      <c r="C500" s="5" t="s">
        <v>2526</v>
      </c>
      <c r="D500" s="5" t="s">
        <v>2527</v>
      </c>
      <c r="E500" s="5" t="s">
        <v>36</v>
      </c>
      <c r="F500" s="5" t="s">
        <v>37</v>
      </c>
      <c r="G500" s="5" t="s">
        <v>38</v>
      </c>
      <c r="H500" s="5"/>
      <c r="I500" s="5"/>
      <c r="J500" s="5" t="s">
        <v>39</v>
      </c>
      <c r="K500" s="5" t="s">
        <v>387</v>
      </c>
      <c r="L500" s="5" t="s">
        <v>388</v>
      </c>
      <c r="M500" s="5" t="s">
        <v>389</v>
      </c>
      <c r="N500" s="5" t="s">
        <v>36</v>
      </c>
      <c r="O500" s="5">
        <v>1</v>
      </c>
      <c r="P500" s="5" t="s">
        <v>43</v>
      </c>
      <c r="Q500" s="5">
        <v>18.99</v>
      </c>
      <c r="R500" s="5"/>
      <c r="S500" s="5"/>
      <c r="T500" s="5"/>
      <c r="U500" s="5"/>
      <c r="V500" s="5"/>
      <c r="W500" s="5"/>
      <c r="X500" s="5"/>
      <c r="Y500" s="5" t="s">
        <v>2528</v>
      </c>
      <c r="Z500" s="5" t="s">
        <v>1300</v>
      </c>
      <c r="AA500" s="5" t="s">
        <v>2529</v>
      </c>
      <c r="AB500" s="5" t="s">
        <v>46</v>
      </c>
      <c r="AC500" s="5"/>
      <c r="AD500" s="5" t="b">
        <v>0</v>
      </c>
      <c r="AE500" s="5"/>
      <c r="AF500" s="5"/>
      <c r="AG500" s="9">
        <f t="shared" si="7"/>
        <v>43271</v>
      </c>
    </row>
    <row r="501" spans="1:33">
      <c r="A501" s="5" t="s">
        <v>2530</v>
      </c>
      <c r="B501" s="5" t="s">
        <v>2530</v>
      </c>
      <c r="C501" s="5" t="s">
        <v>2531</v>
      </c>
      <c r="D501" s="5" t="s">
        <v>2532</v>
      </c>
      <c r="E501" s="5" t="s">
        <v>36</v>
      </c>
      <c r="F501" s="5" t="s">
        <v>37</v>
      </c>
      <c r="G501" s="5" t="s">
        <v>38</v>
      </c>
      <c r="H501" s="5"/>
      <c r="I501" s="5"/>
      <c r="J501" s="5" t="s">
        <v>39</v>
      </c>
      <c r="K501" s="5" t="s">
        <v>75</v>
      </c>
      <c r="L501" s="5" t="s">
        <v>76</v>
      </c>
      <c r="M501" s="5" t="s">
        <v>77</v>
      </c>
      <c r="N501" s="5" t="s">
        <v>36</v>
      </c>
      <c r="O501" s="5">
        <v>1</v>
      </c>
      <c r="P501" s="5" t="s">
        <v>43</v>
      </c>
      <c r="Q501" s="5">
        <v>12.99</v>
      </c>
      <c r="R501" s="5"/>
      <c r="S501" s="5"/>
      <c r="T501" s="5"/>
      <c r="U501" s="5"/>
      <c r="V501" s="5"/>
      <c r="W501" s="5"/>
      <c r="X501" s="5"/>
      <c r="Y501" s="5" t="s">
        <v>2533</v>
      </c>
      <c r="Z501" s="5" t="s">
        <v>377</v>
      </c>
      <c r="AA501" s="5" t="s">
        <v>2534</v>
      </c>
      <c r="AB501" s="5" t="s">
        <v>46</v>
      </c>
      <c r="AC501" s="5"/>
      <c r="AD501" s="5" t="b">
        <v>0</v>
      </c>
      <c r="AE501" s="5"/>
      <c r="AF501" s="5"/>
      <c r="AG501" s="9">
        <f t="shared" si="7"/>
        <v>43271</v>
      </c>
    </row>
    <row r="502" spans="1:33">
      <c r="A502" s="5" t="s">
        <v>2535</v>
      </c>
      <c r="B502" s="5" t="s">
        <v>2535</v>
      </c>
      <c r="C502" s="5" t="s">
        <v>2536</v>
      </c>
      <c r="D502" s="5" t="s">
        <v>2537</v>
      </c>
      <c r="E502" s="5" t="s">
        <v>36</v>
      </c>
      <c r="F502" s="5" t="s">
        <v>37</v>
      </c>
      <c r="G502" s="5" t="s">
        <v>38</v>
      </c>
      <c r="H502" s="5"/>
      <c r="I502" s="5"/>
      <c r="J502" s="5" t="s">
        <v>39</v>
      </c>
      <c r="K502" s="5" t="s">
        <v>75</v>
      </c>
      <c r="L502" s="5" t="s">
        <v>76</v>
      </c>
      <c r="M502" s="5" t="s">
        <v>77</v>
      </c>
      <c r="N502" s="5" t="s">
        <v>36</v>
      </c>
      <c r="O502" s="5">
        <v>1</v>
      </c>
      <c r="P502" s="5" t="s">
        <v>43</v>
      </c>
      <c r="Q502" s="5">
        <v>12.99</v>
      </c>
      <c r="R502" s="5"/>
      <c r="S502" s="5"/>
      <c r="T502" s="5"/>
      <c r="U502" s="5"/>
      <c r="V502" s="5"/>
      <c r="W502" s="5"/>
      <c r="X502" s="5"/>
      <c r="Y502" s="5" t="s">
        <v>2538</v>
      </c>
      <c r="Z502" s="5" t="s">
        <v>606</v>
      </c>
      <c r="AA502" s="5" t="s">
        <v>2539</v>
      </c>
      <c r="AB502" s="5" t="s">
        <v>46</v>
      </c>
      <c r="AC502" s="5"/>
      <c r="AD502" s="5" t="b">
        <v>0</v>
      </c>
      <c r="AE502" s="5"/>
      <c r="AF502" s="5"/>
      <c r="AG502" s="9">
        <f t="shared" si="7"/>
        <v>43271</v>
      </c>
    </row>
    <row r="503" spans="1:33">
      <c r="A503" s="5" t="s">
        <v>2540</v>
      </c>
      <c r="B503" s="5" t="s">
        <v>2540</v>
      </c>
      <c r="C503" s="5" t="s">
        <v>2541</v>
      </c>
      <c r="D503" s="5" t="s">
        <v>2542</v>
      </c>
      <c r="E503" s="5" t="s">
        <v>36</v>
      </c>
      <c r="F503" s="5" t="s">
        <v>37</v>
      </c>
      <c r="G503" s="5" t="s">
        <v>38</v>
      </c>
      <c r="H503" s="5"/>
      <c r="I503" s="5"/>
      <c r="J503" s="5" t="s">
        <v>128</v>
      </c>
      <c r="K503" s="5" t="s">
        <v>75</v>
      </c>
      <c r="L503" s="5" t="s">
        <v>76</v>
      </c>
      <c r="M503" s="5" t="s">
        <v>77</v>
      </c>
      <c r="N503" s="5" t="s">
        <v>36</v>
      </c>
      <c r="O503" s="5">
        <v>1</v>
      </c>
      <c r="P503" s="5" t="s">
        <v>43</v>
      </c>
      <c r="Q503" s="5">
        <v>12.99</v>
      </c>
      <c r="R503" s="5"/>
      <c r="S503" s="5"/>
      <c r="T503" s="5"/>
      <c r="U503" s="5"/>
      <c r="V503" s="5"/>
      <c r="W503" s="5"/>
      <c r="X503" s="5"/>
      <c r="Y503" s="5" t="s">
        <v>2543</v>
      </c>
      <c r="Z503" s="5" t="s">
        <v>2544</v>
      </c>
      <c r="AA503" s="5" t="s">
        <v>2545</v>
      </c>
      <c r="AB503" s="5" t="s">
        <v>46</v>
      </c>
      <c r="AC503" s="5"/>
      <c r="AD503" s="5" t="b">
        <v>0</v>
      </c>
      <c r="AE503" s="5"/>
      <c r="AF503" s="5"/>
      <c r="AG503" s="9">
        <f t="shared" si="7"/>
        <v>43271</v>
      </c>
    </row>
    <row r="504" spans="1:33">
      <c r="A504" s="5" t="s">
        <v>2546</v>
      </c>
      <c r="B504" s="5" t="s">
        <v>2546</v>
      </c>
      <c r="C504" s="5" t="s">
        <v>2547</v>
      </c>
      <c r="D504" s="5" t="s">
        <v>2548</v>
      </c>
      <c r="E504" s="5" t="s">
        <v>36</v>
      </c>
      <c r="F504" s="5" t="s">
        <v>37</v>
      </c>
      <c r="G504" s="5" t="s">
        <v>38</v>
      </c>
      <c r="H504" s="5"/>
      <c r="I504" s="5"/>
      <c r="J504" s="5" t="s">
        <v>39</v>
      </c>
      <c r="K504" s="5" t="s">
        <v>409</v>
      </c>
      <c r="L504" s="5" t="s">
        <v>423</v>
      </c>
      <c r="M504" s="5" t="s">
        <v>424</v>
      </c>
      <c r="N504" s="5" t="s">
        <v>36</v>
      </c>
      <c r="O504" s="5">
        <v>1</v>
      </c>
      <c r="P504" s="5" t="s">
        <v>43</v>
      </c>
      <c r="Q504" s="5">
        <v>9.9</v>
      </c>
      <c r="R504" s="5"/>
      <c r="S504" s="5"/>
      <c r="T504" s="5"/>
      <c r="U504" s="5"/>
      <c r="V504" s="5"/>
      <c r="W504" s="5"/>
      <c r="X504" s="5"/>
      <c r="Y504" s="5" t="s">
        <v>2549</v>
      </c>
      <c r="Z504" s="5" t="s">
        <v>142</v>
      </c>
      <c r="AA504" s="5" t="s">
        <v>2550</v>
      </c>
      <c r="AB504" s="5" t="s">
        <v>46</v>
      </c>
      <c r="AC504" s="5"/>
      <c r="AD504" s="5" t="b">
        <v>0</v>
      </c>
      <c r="AE504" s="5"/>
      <c r="AF504" s="5"/>
      <c r="AG504" s="9">
        <f t="shared" si="7"/>
        <v>43271</v>
      </c>
    </row>
    <row r="505" spans="1:33">
      <c r="A505" s="5" t="s">
        <v>2551</v>
      </c>
      <c r="B505" s="5" t="s">
        <v>2551</v>
      </c>
      <c r="C505" s="5" t="s">
        <v>2552</v>
      </c>
      <c r="D505" s="5" t="s">
        <v>2553</v>
      </c>
      <c r="E505" s="5" t="s">
        <v>36</v>
      </c>
      <c r="F505" s="5" t="s">
        <v>37</v>
      </c>
      <c r="G505" s="5" t="s">
        <v>38</v>
      </c>
      <c r="H505" s="5"/>
      <c r="I505" s="5"/>
      <c r="J505" s="5" t="s">
        <v>128</v>
      </c>
      <c r="K505" s="5" t="s">
        <v>201</v>
      </c>
      <c r="L505" s="5" t="s">
        <v>202</v>
      </c>
      <c r="M505" s="5" t="s">
        <v>203</v>
      </c>
      <c r="N505" s="5" t="s">
        <v>36</v>
      </c>
      <c r="O505" s="5">
        <v>1</v>
      </c>
      <c r="P505" s="5" t="s">
        <v>43</v>
      </c>
      <c r="Q505" s="5">
        <v>18.99</v>
      </c>
      <c r="R505" s="5"/>
      <c r="S505" s="5">
        <v>1.63</v>
      </c>
      <c r="T505" s="5"/>
      <c r="U505" s="5"/>
      <c r="V505" s="5"/>
      <c r="W505" s="5"/>
      <c r="X505" s="5">
        <v>1.63</v>
      </c>
      <c r="Y505" s="5" t="s">
        <v>2554</v>
      </c>
      <c r="Z505" s="5" t="s">
        <v>1070</v>
      </c>
      <c r="AA505" s="5" t="s">
        <v>2555</v>
      </c>
      <c r="AB505" s="5" t="s">
        <v>46</v>
      </c>
      <c r="AC505" s="5" t="s">
        <v>225</v>
      </c>
      <c r="AD505" s="5" t="b">
        <v>0</v>
      </c>
      <c r="AE505" s="5"/>
      <c r="AF505" s="5"/>
      <c r="AG505" s="9">
        <f t="shared" si="7"/>
        <v>43271</v>
      </c>
    </row>
    <row r="506" spans="1:33">
      <c r="A506" s="5" t="s">
        <v>2556</v>
      </c>
      <c r="B506" s="5" t="s">
        <v>2556</v>
      </c>
      <c r="C506" s="5" t="s">
        <v>2557</v>
      </c>
      <c r="D506" s="5" t="s">
        <v>2558</v>
      </c>
      <c r="E506" s="5" t="s">
        <v>36</v>
      </c>
      <c r="F506" s="5" t="s">
        <v>37</v>
      </c>
      <c r="G506" s="5" t="s">
        <v>38</v>
      </c>
      <c r="H506" s="5"/>
      <c r="I506" s="5"/>
      <c r="J506" s="5" t="s">
        <v>39</v>
      </c>
      <c r="K506" s="5" t="s">
        <v>533</v>
      </c>
      <c r="L506" s="5" t="s">
        <v>1048</v>
      </c>
      <c r="M506" s="5" t="s">
        <v>535</v>
      </c>
      <c r="N506" s="5" t="s">
        <v>36</v>
      </c>
      <c r="O506" s="5">
        <v>2</v>
      </c>
      <c r="P506" s="5" t="s">
        <v>43</v>
      </c>
      <c r="Q506" s="5">
        <v>49.98</v>
      </c>
      <c r="R506" s="5">
        <v>4.18</v>
      </c>
      <c r="S506" s="5"/>
      <c r="T506" s="5"/>
      <c r="U506" s="5"/>
      <c r="V506" s="5"/>
      <c r="W506" s="5">
        <v>2.5</v>
      </c>
      <c r="X506" s="5"/>
      <c r="Y506" s="5" t="s">
        <v>2559</v>
      </c>
      <c r="Z506" s="5" t="s">
        <v>474</v>
      </c>
      <c r="AA506" s="5" t="s">
        <v>2560</v>
      </c>
      <c r="AB506" s="5" t="s">
        <v>46</v>
      </c>
      <c r="AC506" s="5" t="s">
        <v>115</v>
      </c>
      <c r="AD506" s="5" t="b">
        <v>0</v>
      </c>
      <c r="AE506" s="5"/>
      <c r="AF506" s="5"/>
      <c r="AG506" s="9">
        <f t="shared" si="7"/>
        <v>43271</v>
      </c>
    </row>
    <row r="507" spans="1:33">
      <c r="A507" s="5" t="s">
        <v>2561</v>
      </c>
      <c r="B507" s="5" t="s">
        <v>2561</v>
      </c>
      <c r="C507" s="5" t="s">
        <v>2562</v>
      </c>
      <c r="D507" s="5" t="s">
        <v>2563</v>
      </c>
      <c r="E507" s="5" t="s">
        <v>36</v>
      </c>
      <c r="F507" s="5" t="s">
        <v>37</v>
      </c>
      <c r="G507" s="5" t="s">
        <v>38</v>
      </c>
      <c r="H507" s="5"/>
      <c r="I507" s="5"/>
      <c r="J507" s="5" t="s">
        <v>39</v>
      </c>
      <c r="K507" s="5" t="s">
        <v>2564</v>
      </c>
      <c r="L507" s="5" t="s">
        <v>2565</v>
      </c>
      <c r="M507" s="5" t="s">
        <v>2566</v>
      </c>
      <c r="N507" s="5" t="s">
        <v>36</v>
      </c>
      <c r="O507" s="5">
        <v>1</v>
      </c>
      <c r="P507" s="5" t="s">
        <v>43</v>
      </c>
      <c r="Q507" s="5">
        <v>14.98</v>
      </c>
      <c r="R507" s="5"/>
      <c r="S507" s="5"/>
      <c r="T507" s="5"/>
      <c r="U507" s="5"/>
      <c r="V507" s="5"/>
      <c r="W507" s="5"/>
      <c r="X507" s="5"/>
      <c r="Y507" s="5" t="s">
        <v>1410</v>
      </c>
      <c r="Z507" s="5" t="s">
        <v>183</v>
      </c>
      <c r="AA507" s="5" t="s">
        <v>2567</v>
      </c>
      <c r="AB507" s="5" t="s">
        <v>46</v>
      </c>
      <c r="AC507" s="5"/>
      <c r="AD507" s="5" t="b">
        <v>0</v>
      </c>
      <c r="AE507" s="5"/>
      <c r="AF507" s="5"/>
      <c r="AG507" s="9">
        <f t="shared" si="7"/>
        <v>43271</v>
      </c>
    </row>
    <row r="508" spans="1:33">
      <c r="A508" s="5" t="s">
        <v>2561</v>
      </c>
      <c r="B508" s="5" t="s">
        <v>2561</v>
      </c>
      <c r="C508" s="5" t="s">
        <v>2562</v>
      </c>
      <c r="D508" s="5" t="s">
        <v>2563</v>
      </c>
      <c r="E508" s="5" t="s">
        <v>36</v>
      </c>
      <c r="F508" s="5" t="s">
        <v>37</v>
      </c>
      <c r="G508" s="5" t="s">
        <v>38</v>
      </c>
      <c r="H508" s="5"/>
      <c r="I508" s="5"/>
      <c r="J508" s="5" t="s">
        <v>39</v>
      </c>
      <c r="K508" s="5" t="s">
        <v>2568</v>
      </c>
      <c r="L508" s="5" t="s">
        <v>2569</v>
      </c>
      <c r="M508" s="5" t="s">
        <v>2570</v>
      </c>
      <c r="N508" s="5" t="s">
        <v>36</v>
      </c>
      <c r="O508" s="5">
        <v>1</v>
      </c>
      <c r="P508" s="5" t="s">
        <v>43</v>
      </c>
      <c r="Q508" s="5">
        <v>10</v>
      </c>
      <c r="R508" s="5"/>
      <c r="S508" s="5"/>
      <c r="T508" s="5"/>
      <c r="U508" s="5"/>
      <c r="V508" s="5"/>
      <c r="W508" s="5"/>
      <c r="X508" s="5"/>
      <c r="Y508" s="5" t="s">
        <v>1410</v>
      </c>
      <c r="Z508" s="5" t="s">
        <v>183</v>
      </c>
      <c r="AA508" s="5" t="s">
        <v>2567</v>
      </c>
      <c r="AB508" s="5" t="s">
        <v>46</v>
      </c>
      <c r="AC508" s="5"/>
      <c r="AD508" s="5" t="b">
        <v>0</v>
      </c>
      <c r="AE508" s="5"/>
      <c r="AF508" s="5"/>
      <c r="AG508" s="9">
        <f t="shared" si="7"/>
        <v>43271</v>
      </c>
    </row>
    <row r="509" s="6" customFormat="1" spans="1:33">
      <c r="A509" s="5" t="s">
        <v>2571</v>
      </c>
      <c r="B509" s="5" t="s">
        <v>2571</v>
      </c>
      <c r="C509" s="5" t="s">
        <v>2572</v>
      </c>
      <c r="D509" s="5" t="s">
        <v>2573</v>
      </c>
      <c r="E509" s="5" t="s">
        <v>36</v>
      </c>
      <c r="F509" s="5" t="s">
        <v>37</v>
      </c>
      <c r="G509" s="5" t="s">
        <v>38</v>
      </c>
      <c r="H509" s="5"/>
      <c r="I509" s="5"/>
      <c r="J509" s="5" t="s">
        <v>39</v>
      </c>
      <c r="K509" s="5" t="s">
        <v>101</v>
      </c>
      <c r="L509" s="5" t="s">
        <v>102</v>
      </c>
      <c r="M509" s="5" t="s">
        <v>103</v>
      </c>
      <c r="N509" s="5" t="s">
        <v>36</v>
      </c>
      <c r="O509" s="5">
        <v>1</v>
      </c>
      <c r="P509" s="5" t="s">
        <v>43</v>
      </c>
      <c r="Q509" s="5">
        <v>12.99</v>
      </c>
      <c r="R509" s="5"/>
      <c r="S509" s="5"/>
      <c r="T509" s="5"/>
      <c r="U509" s="5"/>
      <c r="V509" s="5"/>
      <c r="W509" s="5"/>
      <c r="X509" s="5"/>
      <c r="Y509" s="5" t="s">
        <v>1366</v>
      </c>
      <c r="Z509" s="5" t="s">
        <v>307</v>
      </c>
      <c r="AA509" s="5" t="s">
        <v>2574</v>
      </c>
      <c r="AB509" s="5" t="s">
        <v>46</v>
      </c>
      <c r="AC509" s="5"/>
      <c r="AD509" s="5" t="b">
        <v>0</v>
      </c>
      <c r="AE509" s="5"/>
      <c r="AF509" s="5"/>
      <c r="AG509" s="9">
        <f t="shared" si="7"/>
        <v>43271</v>
      </c>
    </row>
    <row r="510" s="6" customFormat="1" spans="1:33">
      <c r="A510" s="5" t="s">
        <v>2575</v>
      </c>
      <c r="B510" s="5" t="s">
        <v>2575</v>
      </c>
      <c r="C510" s="5" t="s">
        <v>2576</v>
      </c>
      <c r="D510" s="5" t="s">
        <v>2577</v>
      </c>
      <c r="E510" s="5" t="s">
        <v>36</v>
      </c>
      <c r="F510" s="5" t="s">
        <v>37</v>
      </c>
      <c r="G510" s="5" t="s">
        <v>38</v>
      </c>
      <c r="H510" s="5"/>
      <c r="I510" s="5"/>
      <c r="J510" s="5" t="s">
        <v>156</v>
      </c>
      <c r="K510" s="5" t="s">
        <v>312</v>
      </c>
      <c r="L510" s="5" t="s">
        <v>2578</v>
      </c>
      <c r="M510" s="5" t="s">
        <v>314</v>
      </c>
      <c r="N510" s="5" t="s">
        <v>36</v>
      </c>
      <c r="O510" s="5">
        <v>1</v>
      </c>
      <c r="P510" s="5" t="s">
        <v>43</v>
      </c>
      <c r="Q510" s="5">
        <v>23.99</v>
      </c>
      <c r="R510" s="5"/>
      <c r="S510" s="5">
        <v>5.99</v>
      </c>
      <c r="T510" s="5"/>
      <c r="U510" s="5"/>
      <c r="V510" s="5"/>
      <c r="W510" s="5"/>
      <c r="X510" s="5"/>
      <c r="Y510" s="5" t="s">
        <v>2579</v>
      </c>
      <c r="Z510" s="5" t="s">
        <v>631</v>
      </c>
      <c r="AA510" s="5" t="s">
        <v>2580</v>
      </c>
      <c r="AB510" s="5" t="s">
        <v>46</v>
      </c>
      <c r="AC510" s="5"/>
      <c r="AD510" s="5" t="b">
        <v>0</v>
      </c>
      <c r="AE510" s="5"/>
      <c r="AF510" s="5"/>
      <c r="AG510" s="9">
        <f t="shared" si="7"/>
        <v>43271</v>
      </c>
    </row>
    <row r="511" s="6" customFormat="1" spans="1:33">
      <c r="A511" s="5" t="s">
        <v>2581</v>
      </c>
      <c r="B511" s="5" t="s">
        <v>2581</v>
      </c>
      <c r="C511" s="5" t="s">
        <v>2582</v>
      </c>
      <c r="D511" s="5" t="s">
        <v>2583</v>
      </c>
      <c r="E511" s="5" t="s">
        <v>36</v>
      </c>
      <c r="F511" s="5" t="s">
        <v>37</v>
      </c>
      <c r="G511" s="5" t="s">
        <v>38</v>
      </c>
      <c r="H511" s="5"/>
      <c r="I511" s="5"/>
      <c r="J511" s="5" t="s">
        <v>39</v>
      </c>
      <c r="K511" s="5" t="s">
        <v>459</v>
      </c>
      <c r="L511" s="5" t="s">
        <v>460</v>
      </c>
      <c r="M511" s="5" t="s">
        <v>461</v>
      </c>
      <c r="N511" s="5" t="s">
        <v>36</v>
      </c>
      <c r="O511" s="5">
        <v>1</v>
      </c>
      <c r="P511" s="5" t="s">
        <v>43</v>
      </c>
      <c r="Q511" s="5">
        <v>15.98</v>
      </c>
      <c r="R511" s="5"/>
      <c r="S511" s="5"/>
      <c r="T511" s="5"/>
      <c r="U511" s="5"/>
      <c r="V511" s="5"/>
      <c r="W511" s="5"/>
      <c r="X511" s="5"/>
      <c r="Y511" s="5" t="s">
        <v>2584</v>
      </c>
      <c r="Z511" s="5" t="s">
        <v>96</v>
      </c>
      <c r="AA511" s="5" t="s">
        <v>2585</v>
      </c>
      <c r="AB511" s="5" t="s">
        <v>46</v>
      </c>
      <c r="AC511" s="5"/>
      <c r="AD511" s="5" t="b">
        <v>0</v>
      </c>
      <c r="AE511" s="5"/>
      <c r="AF511" s="5"/>
      <c r="AG511" s="9">
        <f t="shared" si="7"/>
        <v>43271</v>
      </c>
    </row>
    <row r="512" s="6" customFormat="1" spans="1:33">
      <c r="A512" s="5" t="s">
        <v>2586</v>
      </c>
      <c r="B512" s="5" t="s">
        <v>2586</v>
      </c>
      <c r="C512" s="5" t="s">
        <v>2587</v>
      </c>
      <c r="D512" s="5" t="s">
        <v>2588</v>
      </c>
      <c r="E512" s="5" t="s">
        <v>36</v>
      </c>
      <c r="F512" s="5" t="s">
        <v>37</v>
      </c>
      <c r="G512" s="5" t="s">
        <v>38</v>
      </c>
      <c r="H512" s="5"/>
      <c r="I512" s="5"/>
      <c r="J512" s="5" t="s">
        <v>39</v>
      </c>
      <c r="K512" s="5" t="s">
        <v>1661</v>
      </c>
      <c r="L512" s="5" t="s">
        <v>2589</v>
      </c>
      <c r="M512" s="5" t="s">
        <v>2590</v>
      </c>
      <c r="N512" s="5" t="s">
        <v>36</v>
      </c>
      <c r="O512" s="5">
        <v>1</v>
      </c>
      <c r="P512" s="5" t="s">
        <v>43</v>
      </c>
      <c r="Q512" s="5">
        <v>10.99</v>
      </c>
      <c r="R512" s="5"/>
      <c r="S512" s="5"/>
      <c r="T512" s="5"/>
      <c r="U512" s="5"/>
      <c r="V512" s="5"/>
      <c r="W512" s="5"/>
      <c r="X512" s="5"/>
      <c r="Y512" s="5" t="s">
        <v>2591</v>
      </c>
      <c r="Z512" s="5" t="s">
        <v>377</v>
      </c>
      <c r="AA512" s="5" t="s">
        <v>2592</v>
      </c>
      <c r="AB512" s="5" t="s">
        <v>46</v>
      </c>
      <c r="AC512" s="5"/>
      <c r="AD512" s="5" t="b">
        <v>0</v>
      </c>
      <c r="AE512" s="5"/>
      <c r="AF512" s="5"/>
      <c r="AG512" s="9">
        <f t="shared" si="7"/>
        <v>43271</v>
      </c>
    </row>
    <row r="513" s="6" customFormat="1" spans="1:33">
      <c r="A513" s="5" t="s">
        <v>2593</v>
      </c>
      <c r="B513" s="5" t="s">
        <v>2593</v>
      </c>
      <c r="C513" s="5" t="s">
        <v>2594</v>
      </c>
      <c r="D513" s="5" t="s">
        <v>2595</v>
      </c>
      <c r="E513" s="5" t="s">
        <v>36</v>
      </c>
      <c r="F513" s="5" t="s">
        <v>37</v>
      </c>
      <c r="G513" s="5" t="s">
        <v>38</v>
      </c>
      <c r="H513" s="5"/>
      <c r="I513" s="5"/>
      <c r="J513" s="5" t="s">
        <v>39</v>
      </c>
      <c r="K513" s="5" t="s">
        <v>83</v>
      </c>
      <c r="L513" s="5" t="s">
        <v>1080</v>
      </c>
      <c r="M513" s="5" t="s">
        <v>85</v>
      </c>
      <c r="N513" s="5" t="s">
        <v>36</v>
      </c>
      <c r="O513" s="5">
        <v>1</v>
      </c>
      <c r="P513" s="5" t="s">
        <v>43</v>
      </c>
      <c r="Q513" s="5">
        <v>12.99</v>
      </c>
      <c r="R513" s="5"/>
      <c r="S513" s="5"/>
      <c r="T513" s="5"/>
      <c r="U513" s="5"/>
      <c r="V513" s="5"/>
      <c r="W513" s="5"/>
      <c r="X513" s="5"/>
      <c r="Y513" s="5" t="s">
        <v>2596</v>
      </c>
      <c r="Z513" s="5" t="s">
        <v>142</v>
      </c>
      <c r="AA513" s="5" t="s">
        <v>2597</v>
      </c>
      <c r="AB513" s="5" t="s">
        <v>46</v>
      </c>
      <c r="AC513" s="5"/>
      <c r="AD513" s="5" t="b">
        <v>0</v>
      </c>
      <c r="AE513" s="5"/>
      <c r="AF513" s="5"/>
      <c r="AG513" s="9">
        <f t="shared" si="7"/>
        <v>43271</v>
      </c>
    </row>
    <row r="514" s="6" customFormat="1" spans="1:33">
      <c r="A514" s="5" t="s">
        <v>2598</v>
      </c>
      <c r="B514" s="5" t="s">
        <v>2598</v>
      </c>
      <c r="C514" s="5" t="s">
        <v>2599</v>
      </c>
      <c r="D514" s="5" t="s">
        <v>2600</v>
      </c>
      <c r="E514" s="5" t="s">
        <v>36</v>
      </c>
      <c r="F514" s="5" t="s">
        <v>37</v>
      </c>
      <c r="G514" s="5" t="s">
        <v>38</v>
      </c>
      <c r="H514" s="5"/>
      <c r="I514" s="5"/>
      <c r="J514" s="5" t="s">
        <v>39</v>
      </c>
      <c r="K514" s="5" t="s">
        <v>75</v>
      </c>
      <c r="L514" s="5" t="s">
        <v>76</v>
      </c>
      <c r="M514" s="5" t="s">
        <v>77</v>
      </c>
      <c r="N514" s="5" t="s">
        <v>36</v>
      </c>
      <c r="O514" s="5">
        <v>1</v>
      </c>
      <c r="P514" s="5" t="s">
        <v>43</v>
      </c>
      <c r="Q514" s="5">
        <v>12.99</v>
      </c>
      <c r="R514" s="5"/>
      <c r="S514" s="5"/>
      <c r="T514" s="5"/>
      <c r="U514" s="5"/>
      <c r="V514" s="5"/>
      <c r="W514" s="5"/>
      <c r="X514" s="5"/>
      <c r="Y514" s="5" t="s">
        <v>1075</v>
      </c>
      <c r="Z514" s="5" t="s">
        <v>142</v>
      </c>
      <c r="AA514" s="5" t="s">
        <v>2601</v>
      </c>
      <c r="AB514" s="5" t="s">
        <v>46</v>
      </c>
      <c r="AC514" s="5"/>
      <c r="AD514" s="5" t="b">
        <v>0</v>
      </c>
      <c r="AE514" s="5"/>
      <c r="AF514" s="5"/>
      <c r="AG514" s="9">
        <f t="shared" ref="AG514:AG577" si="8">DATEVALUE(LEFT(C514,10))</f>
        <v>43271</v>
      </c>
    </row>
    <row r="515" s="6" customFormat="1" spans="1:33">
      <c r="A515" s="5" t="s">
        <v>2602</v>
      </c>
      <c r="B515" s="5" t="s">
        <v>2602</v>
      </c>
      <c r="C515" s="5" t="s">
        <v>2603</v>
      </c>
      <c r="D515" s="5" t="s">
        <v>2604</v>
      </c>
      <c r="E515" s="5" t="s">
        <v>36</v>
      </c>
      <c r="F515" s="5" t="s">
        <v>37</v>
      </c>
      <c r="G515" s="5" t="s">
        <v>38</v>
      </c>
      <c r="H515" s="5"/>
      <c r="I515" s="5"/>
      <c r="J515" s="5" t="s">
        <v>39</v>
      </c>
      <c r="K515" s="5" t="s">
        <v>587</v>
      </c>
      <c r="L515" s="5" t="s">
        <v>588</v>
      </c>
      <c r="M515" s="5" t="s">
        <v>589</v>
      </c>
      <c r="N515" s="5" t="s">
        <v>36</v>
      </c>
      <c r="O515" s="5">
        <v>1</v>
      </c>
      <c r="P515" s="5" t="s">
        <v>43</v>
      </c>
      <c r="Q515" s="5">
        <v>18.99</v>
      </c>
      <c r="R515" s="5"/>
      <c r="S515" s="5"/>
      <c r="T515" s="5"/>
      <c r="U515" s="5"/>
      <c r="V515" s="5"/>
      <c r="W515" s="5"/>
      <c r="X515" s="5"/>
      <c r="Y515" s="5" t="s">
        <v>2605</v>
      </c>
      <c r="Z515" s="5" t="s">
        <v>247</v>
      </c>
      <c r="AA515" s="5" t="s">
        <v>2606</v>
      </c>
      <c r="AB515" s="5" t="s">
        <v>46</v>
      </c>
      <c r="AC515" s="5"/>
      <c r="AD515" s="5" t="b">
        <v>0</v>
      </c>
      <c r="AE515" s="5"/>
      <c r="AF515" s="5"/>
      <c r="AG515" s="9">
        <f t="shared" si="8"/>
        <v>43271</v>
      </c>
    </row>
    <row r="516" s="6" customFormat="1" spans="1:33">
      <c r="A516" s="5" t="s">
        <v>2607</v>
      </c>
      <c r="B516" s="5" t="s">
        <v>2607</v>
      </c>
      <c r="C516" s="5" t="s">
        <v>2608</v>
      </c>
      <c r="D516" s="5" t="s">
        <v>2609</v>
      </c>
      <c r="E516" s="5" t="s">
        <v>36</v>
      </c>
      <c r="F516" s="5" t="s">
        <v>37</v>
      </c>
      <c r="G516" s="5" t="s">
        <v>38</v>
      </c>
      <c r="H516" s="5"/>
      <c r="I516" s="5"/>
      <c r="J516" s="5" t="s">
        <v>39</v>
      </c>
      <c r="K516" s="5" t="s">
        <v>75</v>
      </c>
      <c r="L516" s="5" t="s">
        <v>76</v>
      </c>
      <c r="M516" s="5" t="s">
        <v>77</v>
      </c>
      <c r="N516" s="5" t="s">
        <v>36</v>
      </c>
      <c r="O516" s="5">
        <v>1</v>
      </c>
      <c r="P516" s="5" t="s">
        <v>43</v>
      </c>
      <c r="Q516" s="5">
        <v>12.99</v>
      </c>
      <c r="R516" s="5"/>
      <c r="S516" s="5"/>
      <c r="T516" s="5"/>
      <c r="U516" s="5"/>
      <c r="V516" s="5"/>
      <c r="W516" s="5"/>
      <c r="X516" s="5"/>
      <c r="Y516" s="5" t="s">
        <v>2610</v>
      </c>
      <c r="Z516" s="5" t="s">
        <v>703</v>
      </c>
      <c r="AA516" s="5">
        <v>77080</v>
      </c>
      <c r="AB516" s="5" t="s">
        <v>46</v>
      </c>
      <c r="AC516" s="5"/>
      <c r="AD516" s="5" t="b">
        <v>0</v>
      </c>
      <c r="AE516" s="5"/>
      <c r="AF516" s="5"/>
      <c r="AG516" s="9">
        <f t="shared" si="8"/>
        <v>43271</v>
      </c>
    </row>
    <row r="517" s="6" customFormat="1" spans="1:33">
      <c r="A517" s="5" t="s">
        <v>2611</v>
      </c>
      <c r="B517" s="5" t="s">
        <v>2611</v>
      </c>
      <c r="C517" s="5" t="s">
        <v>2612</v>
      </c>
      <c r="D517" s="5" t="s">
        <v>2613</v>
      </c>
      <c r="E517" s="5" t="s">
        <v>36</v>
      </c>
      <c r="F517" s="5" t="s">
        <v>37</v>
      </c>
      <c r="G517" s="5" t="s">
        <v>38</v>
      </c>
      <c r="H517" s="5"/>
      <c r="I517" s="5"/>
      <c r="J517" s="5" t="s">
        <v>39</v>
      </c>
      <c r="K517" s="5" t="s">
        <v>75</v>
      </c>
      <c r="L517" s="5" t="s">
        <v>479</v>
      </c>
      <c r="M517" s="5" t="s">
        <v>77</v>
      </c>
      <c r="N517" s="5" t="s">
        <v>36</v>
      </c>
      <c r="O517" s="5">
        <v>1</v>
      </c>
      <c r="P517" s="5" t="s">
        <v>43</v>
      </c>
      <c r="Q517" s="5">
        <v>12.99</v>
      </c>
      <c r="R517" s="5"/>
      <c r="S517" s="5"/>
      <c r="T517" s="5"/>
      <c r="U517" s="5"/>
      <c r="V517" s="5"/>
      <c r="W517" s="5"/>
      <c r="X517" s="5"/>
      <c r="Y517" s="5" t="s">
        <v>2614</v>
      </c>
      <c r="Z517" s="5" t="s">
        <v>377</v>
      </c>
      <c r="AA517" s="5" t="s">
        <v>2615</v>
      </c>
      <c r="AB517" s="5" t="s">
        <v>46</v>
      </c>
      <c r="AC517" s="5"/>
      <c r="AD517" s="5" t="b">
        <v>0</v>
      </c>
      <c r="AE517" s="5"/>
      <c r="AF517" s="5"/>
      <c r="AG517" s="9">
        <f t="shared" si="8"/>
        <v>43271</v>
      </c>
    </row>
    <row r="518" s="6" customFormat="1" spans="1:33">
      <c r="A518" s="5" t="s">
        <v>2616</v>
      </c>
      <c r="B518" s="5" t="s">
        <v>2616</v>
      </c>
      <c r="C518" s="5" t="s">
        <v>2617</v>
      </c>
      <c r="D518" s="5" t="s">
        <v>2618</v>
      </c>
      <c r="E518" s="5" t="s">
        <v>36</v>
      </c>
      <c r="F518" s="5" t="s">
        <v>37</v>
      </c>
      <c r="G518" s="5" t="s">
        <v>38</v>
      </c>
      <c r="H518" s="5"/>
      <c r="I518" s="5"/>
      <c r="J518" s="5" t="s">
        <v>39</v>
      </c>
      <c r="K518" s="5" t="s">
        <v>75</v>
      </c>
      <c r="L518" s="5" t="s">
        <v>76</v>
      </c>
      <c r="M518" s="5" t="s">
        <v>77</v>
      </c>
      <c r="N518" s="5" t="s">
        <v>36</v>
      </c>
      <c r="O518" s="5">
        <v>1</v>
      </c>
      <c r="P518" s="5" t="s">
        <v>43</v>
      </c>
      <c r="Q518" s="5">
        <v>12.99</v>
      </c>
      <c r="R518" s="5"/>
      <c r="S518" s="5"/>
      <c r="T518" s="5"/>
      <c r="U518" s="5"/>
      <c r="V518" s="5"/>
      <c r="W518" s="5"/>
      <c r="X518" s="5"/>
      <c r="Y518" s="5" t="s">
        <v>246</v>
      </c>
      <c r="Z518" s="5" t="s">
        <v>247</v>
      </c>
      <c r="AA518" s="5">
        <v>76001</v>
      </c>
      <c r="AB518" s="5" t="s">
        <v>46</v>
      </c>
      <c r="AC518" s="5"/>
      <c r="AD518" s="5" t="b">
        <v>0</v>
      </c>
      <c r="AE518" s="5"/>
      <c r="AF518" s="5"/>
      <c r="AG518" s="9">
        <f t="shared" si="8"/>
        <v>43271</v>
      </c>
    </row>
    <row r="519" s="6" customFormat="1" spans="1:33">
      <c r="A519" s="5" t="s">
        <v>2619</v>
      </c>
      <c r="B519" s="5" t="s">
        <v>2619</v>
      </c>
      <c r="C519" s="5" t="s">
        <v>2620</v>
      </c>
      <c r="D519" s="5" t="s">
        <v>2621</v>
      </c>
      <c r="E519" s="5" t="s">
        <v>36</v>
      </c>
      <c r="F519" s="5" t="s">
        <v>37</v>
      </c>
      <c r="G519" s="5" t="s">
        <v>38</v>
      </c>
      <c r="H519" s="5"/>
      <c r="I519" s="5"/>
      <c r="J519" s="5" t="s">
        <v>128</v>
      </c>
      <c r="K519" s="5" t="s">
        <v>1550</v>
      </c>
      <c r="L519" s="5" t="s">
        <v>2622</v>
      </c>
      <c r="M519" s="5" t="s">
        <v>2623</v>
      </c>
      <c r="N519" s="5" t="s">
        <v>36</v>
      </c>
      <c r="O519" s="5">
        <v>1</v>
      </c>
      <c r="P519" s="5" t="s">
        <v>43</v>
      </c>
      <c r="Q519" s="5">
        <v>25.99</v>
      </c>
      <c r="R519" s="5"/>
      <c r="S519" s="5">
        <v>22.68</v>
      </c>
      <c r="T519" s="5"/>
      <c r="U519" s="5"/>
      <c r="V519" s="5"/>
      <c r="W519" s="5"/>
      <c r="X519" s="5"/>
      <c r="Y519" s="5" t="s">
        <v>2624</v>
      </c>
      <c r="Z519" s="5" t="s">
        <v>2624</v>
      </c>
      <c r="AA519" s="5">
        <v>468716</v>
      </c>
      <c r="AB519" s="5" t="s">
        <v>2625</v>
      </c>
      <c r="AC519" s="5"/>
      <c r="AD519" s="5" t="b">
        <v>0</v>
      </c>
      <c r="AE519" s="5"/>
      <c r="AF519" s="5"/>
      <c r="AG519" s="9">
        <f t="shared" si="8"/>
        <v>43271</v>
      </c>
    </row>
    <row r="520" s="6" customFormat="1" spans="1:33">
      <c r="A520" s="5" t="s">
        <v>2626</v>
      </c>
      <c r="B520" s="5" t="s">
        <v>2626</v>
      </c>
      <c r="C520" s="5" t="s">
        <v>2627</v>
      </c>
      <c r="D520" s="5" t="s">
        <v>2628</v>
      </c>
      <c r="E520" s="5" t="s">
        <v>36</v>
      </c>
      <c r="F520" s="5" t="s">
        <v>37</v>
      </c>
      <c r="G520" s="5" t="s">
        <v>38</v>
      </c>
      <c r="H520" s="5"/>
      <c r="I520" s="5"/>
      <c r="J520" s="5" t="s">
        <v>39</v>
      </c>
      <c r="K520" s="5" t="s">
        <v>147</v>
      </c>
      <c r="L520" s="5" t="s">
        <v>148</v>
      </c>
      <c r="M520" s="5" t="s">
        <v>149</v>
      </c>
      <c r="N520" s="5" t="s">
        <v>36</v>
      </c>
      <c r="O520" s="5">
        <v>1</v>
      </c>
      <c r="P520" s="5" t="s">
        <v>43</v>
      </c>
      <c r="Q520" s="5">
        <v>12.98</v>
      </c>
      <c r="R520" s="5"/>
      <c r="S520" s="5"/>
      <c r="T520" s="5"/>
      <c r="U520" s="5"/>
      <c r="V520" s="5"/>
      <c r="W520" s="5"/>
      <c r="X520" s="5"/>
      <c r="Y520" s="5" t="s">
        <v>2629</v>
      </c>
      <c r="Z520" s="5" t="s">
        <v>142</v>
      </c>
      <c r="AA520" s="5" t="s">
        <v>2630</v>
      </c>
      <c r="AB520" s="5" t="s">
        <v>46</v>
      </c>
      <c r="AC520" s="5"/>
      <c r="AD520" s="5" t="b">
        <v>0</v>
      </c>
      <c r="AE520" s="5"/>
      <c r="AF520" s="5"/>
      <c r="AG520" s="9">
        <f t="shared" si="8"/>
        <v>43271</v>
      </c>
    </row>
    <row r="521" s="6" customFormat="1" spans="1:33">
      <c r="A521" s="5" t="s">
        <v>2631</v>
      </c>
      <c r="B521" s="5" t="s">
        <v>2631</v>
      </c>
      <c r="C521" s="5" t="s">
        <v>2632</v>
      </c>
      <c r="D521" s="5" t="s">
        <v>2633</v>
      </c>
      <c r="E521" s="5" t="s">
        <v>36</v>
      </c>
      <c r="F521" s="5" t="s">
        <v>37</v>
      </c>
      <c r="G521" s="5" t="s">
        <v>38</v>
      </c>
      <c r="H521" s="5"/>
      <c r="I521" s="5"/>
      <c r="J521" s="5" t="s">
        <v>39</v>
      </c>
      <c r="K521" s="5" t="s">
        <v>166</v>
      </c>
      <c r="L521" s="5" t="s">
        <v>2634</v>
      </c>
      <c r="M521" s="5" t="s">
        <v>2635</v>
      </c>
      <c r="N521" s="5" t="s">
        <v>36</v>
      </c>
      <c r="O521" s="5">
        <v>1</v>
      </c>
      <c r="P521" s="5" t="s">
        <v>43</v>
      </c>
      <c r="Q521" s="5">
        <v>15</v>
      </c>
      <c r="R521" s="5"/>
      <c r="S521" s="5"/>
      <c r="T521" s="5"/>
      <c r="U521" s="5"/>
      <c r="V521" s="5"/>
      <c r="W521" s="5">
        <v>3</v>
      </c>
      <c r="X521" s="5"/>
      <c r="Y521" s="5" t="s">
        <v>2636</v>
      </c>
      <c r="Z521" s="5" t="s">
        <v>54</v>
      </c>
      <c r="AA521" s="5" t="s">
        <v>2637</v>
      </c>
      <c r="AB521" s="5" t="s">
        <v>46</v>
      </c>
      <c r="AC521" s="5" t="s">
        <v>172</v>
      </c>
      <c r="AD521" s="5" t="b">
        <v>0</v>
      </c>
      <c r="AE521" s="5"/>
      <c r="AF521" s="5"/>
      <c r="AG521" s="9">
        <f t="shared" si="8"/>
        <v>43271</v>
      </c>
    </row>
    <row r="522" s="6" customFormat="1" spans="1:33">
      <c r="A522" s="5" t="s">
        <v>2638</v>
      </c>
      <c r="B522" s="5" t="s">
        <v>2638</v>
      </c>
      <c r="C522" s="5" t="s">
        <v>2639</v>
      </c>
      <c r="D522" s="5" t="s">
        <v>2640</v>
      </c>
      <c r="E522" s="5" t="s">
        <v>36</v>
      </c>
      <c r="F522" s="5" t="s">
        <v>37</v>
      </c>
      <c r="G522" s="5" t="s">
        <v>38</v>
      </c>
      <c r="H522" s="5"/>
      <c r="I522" s="5"/>
      <c r="J522" s="5" t="s">
        <v>39</v>
      </c>
      <c r="K522" s="5" t="s">
        <v>409</v>
      </c>
      <c r="L522" s="5" t="s">
        <v>410</v>
      </c>
      <c r="M522" s="5" t="s">
        <v>411</v>
      </c>
      <c r="N522" s="5" t="s">
        <v>36</v>
      </c>
      <c r="O522" s="5">
        <v>1</v>
      </c>
      <c r="P522" s="5" t="s">
        <v>43</v>
      </c>
      <c r="Q522" s="5">
        <v>9.9</v>
      </c>
      <c r="R522" s="5"/>
      <c r="S522" s="5"/>
      <c r="T522" s="5"/>
      <c r="U522" s="5"/>
      <c r="V522" s="5"/>
      <c r="W522" s="5"/>
      <c r="X522" s="5"/>
      <c r="Y522" s="5" t="s">
        <v>2192</v>
      </c>
      <c r="Z522" s="5" t="s">
        <v>247</v>
      </c>
      <c r="AA522" s="5" t="s">
        <v>2641</v>
      </c>
      <c r="AB522" s="5" t="s">
        <v>46</v>
      </c>
      <c r="AC522" s="5"/>
      <c r="AD522" s="5" t="b">
        <v>0</v>
      </c>
      <c r="AE522" s="5"/>
      <c r="AF522" s="5"/>
      <c r="AG522" s="9">
        <f t="shared" si="8"/>
        <v>43271</v>
      </c>
    </row>
    <row r="523" s="6" customFormat="1" spans="1:33">
      <c r="A523" s="5" t="s">
        <v>2642</v>
      </c>
      <c r="B523" s="5" t="s">
        <v>2642</v>
      </c>
      <c r="C523" s="5" t="s">
        <v>2643</v>
      </c>
      <c r="D523" s="5" t="s">
        <v>2644</v>
      </c>
      <c r="E523" s="5" t="s">
        <v>36</v>
      </c>
      <c r="F523" s="5" t="s">
        <v>37</v>
      </c>
      <c r="G523" s="5" t="s">
        <v>38</v>
      </c>
      <c r="H523" s="5"/>
      <c r="I523" s="5"/>
      <c r="J523" s="5" t="s">
        <v>39</v>
      </c>
      <c r="K523" s="5" t="s">
        <v>434</v>
      </c>
      <c r="L523" s="5" t="s">
        <v>435</v>
      </c>
      <c r="M523" s="5" t="s">
        <v>436</v>
      </c>
      <c r="N523" s="5" t="s">
        <v>36</v>
      </c>
      <c r="O523" s="5">
        <v>1</v>
      </c>
      <c r="P523" s="5" t="s">
        <v>43</v>
      </c>
      <c r="Q523" s="5">
        <v>13.99</v>
      </c>
      <c r="R523" s="5"/>
      <c r="S523" s="5"/>
      <c r="T523" s="5"/>
      <c r="U523" s="5"/>
      <c r="V523" s="5"/>
      <c r="W523" s="5"/>
      <c r="X523" s="5"/>
      <c r="Y523" s="5" t="s">
        <v>2645</v>
      </c>
      <c r="Z523" s="5" t="s">
        <v>382</v>
      </c>
      <c r="AA523" s="5" t="s">
        <v>2646</v>
      </c>
      <c r="AB523" s="5" t="s">
        <v>46</v>
      </c>
      <c r="AC523" s="5"/>
      <c r="AD523" s="5" t="b">
        <v>0</v>
      </c>
      <c r="AE523" s="5"/>
      <c r="AF523" s="5"/>
      <c r="AG523" s="9">
        <f t="shared" si="8"/>
        <v>43271</v>
      </c>
    </row>
    <row r="524" s="6" customFormat="1" spans="1:33">
      <c r="A524" s="5" t="s">
        <v>2647</v>
      </c>
      <c r="B524" s="5" t="s">
        <v>2647</v>
      </c>
      <c r="C524" s="5" t="s">
        <v>2648</v>
      </c>
      <c r="D524" s="5" t="s">
        <v>2649</v>
      </c>
      <c r="E524" s="5" t="s">
        <v>36</v>
      </c>
      <c r="F524" s="5" t="s">
        <v>37</v>
      </c>
      <c r="G524" s="5" t="s">
        <v>38</v>
      </c>
      <c r="H524" s="5"/>
      <c r="I524" s="5"/>
      <c r="J524" s="5" t="s">
        <v>39</v>
      </c>
      <c r="K524" s="5" t="s">
        <v>243</v>
      </c>
      <c r="L524" s="5" t="s">
        <v>244</v>
      </c>
      <c r="M524" s="5" t="s">
        <v>245</v>
      </c>
      <c r="N524" s="5" t="s">
        <v>36</v>
      </c>
      <c r="O524" s="5">
        <v>1</v>
      </c>
      <c r="P524" s="5" t="s">
        <v>43</v>
      </c>
      <c r="Q524" s="5">
        <v>18.99</v>
      </c>
      <c r="R524" s="5"/>
      <c r="S524" s="5"/>
      <c r="T524" s="5"/>
      <c r="U524" s="5"/>
      <c r="V524" s="5"/>
      <c r="W524" s="5"/>
      <c r="X524" s="5"/>
      <c r="Y524" s="5" t="s">
        <v>2650</v>
      </c>
      <c r="Z524" s="5" t="s">
        <v>62</v>
      </c>
      <c r="AA524" s="5" t="s">
        <v>2651</v>
      </c>
      <c r="AB524" s="5" t="s">
        <v>46</v>
      </c>
      <c r="AC524" s="5"/>
      <c r="AD524" s="5" t="b">
        <v>0</v>
      </c>
      <c r="AE524" s="5"/>
      <c r="AF524" s="5"/>
      <c r="AG524" s="9">
        <f t="shared" si="8"/>
        <v>43271</v>
      </c>
    </row>
    <row r="525" s="6" customFormat="1" spans="1:33">
      <c r="A525" s="5" t="s">
        <v>2652</v>
      </c>
      <c r="B525" s="5" t="s">
        <v>2652</v>
      </c>
      <c r="C525" s="5" t="s">
        <v>2653</v>
      </c>
      <c r="D525" s="5" t="s">
        <v>2654</v>
      </c>
      <c r="E525" s="5" t="s">
        <v>36</v>
      </c>
      <c r="F525" s="5" t="s">
        <v>37</v>
      </c>
      <c r="G525" s="5" t="s">
        <v>38</v>
      </c>
      <c r="H525" s="5"/>
      <c r="I525" s="5"/>
      <c r="J525" s="5" t="s">
        <v>39</v>
      </c>
      <c r="K525" s="5" t="s">
        <v>110</v>
      </c>
      <c r="L525" s="5" t="s">
        <v>111</v>
      </c>
      <c r="M525" s="5" t="s">
        <v>112</v>
      </c>
      <c r="N525" s="5" t="s">
        <v>36</v>
      </c>
      <c r="O525" s="5">
        <v>1</v>
      </c>
      <c r="P525" s="5" t="s">
        <v>43</v>
      </c>
      <c r="Q525" s="5">
        <v>12.99</v>
      </c>
      <c r="R525" s="5"/>
      <c r="S525" s="5"/>
      <c r="T525" s="5"/>
      <c r="U525" s="5"/>
      <c r="V525" s="5"/>
      <c r="W525" s="5"/>
      <c r="X525" s="5"/>
      <c r="Y525" s="5" t="s">
        <v>2655</v>
      </c>
      <c r="Z525" s="5" t="s">
        <v>2656</v>
      </c>
      <c r="AA525" s="5" t="s">
        <v>2657</v>
      </c>
      <c r="AB525" s="5" t="s">
        <v>46</v>
      </c>
      <c r="AC525" s="5"/>
      <c r="AD525" s="5" t="b">
        <v>0</v>
      </c>
      <c r="AE525" s="5"/>
      <c r="AF525" s="5"/>
      <c r="AG525" s="9">
        <f t="shared" si="8"/>
        <v>43271</v>
      </c>
    </row>
    <row r="526" s="6" customFormat="1" spans="1:33">
      <c r="A526" s="5" t="s">
        <v>2658</v>
      </c>
      <c r="B526" s="5" t="s">
        <v>2658</v>
      </c>
      <c r="C526" s="5" t="s">
        <v>2659</v>
      </c>
      <c r="D526" s="5" t="s">
        <v>2660</v>
      </c>
      <c r="E526" s="5" t="s">
        <v>36</v>
      </c>
      <c r="F526" s="5" t="s">
        <v>37</v>
      </c>
      <c r="G526" s="5" t="s">
        <v>38</v>
      </c>
      <c r="H526" s="5"/>
      <c r="I526" s="5"/>
      <c r="J526" s="5" t="s">
        <v>39</v>
      </c>
      <c r="K526" s="5" t="s">
        <v>101</v>
      </c>
      <c r="L526" s="5" t="s">
        <v>102</v>
      </c>
      <c r="M526" s="5" t="s">
        <v>103</v>
      </c>
      <c r="N526" s="5" t="s">
        <v>36</v>
      </c>
      <c r="O526" s="5">
        <v>1</v>
      </c>
      <c r="P526" s="5" t="s">
        <v>43</v>
      </c>
      <c r="Q526" s="5">
        <v>12.99</v>
      </c>
      <c r="R526" s="5"/>
      <c r="S526" s="5"/>
      <c r="T526" s="5"/>
      <c r="U526" s="5"/>
      <c r="V526" s="5"/>
      <c r="W526" s="5"/>
      <c r="X526" s="5"/>
      <c r="Y526" s="5" t="s">
        <v>1931</v>
      </c>
      <c r="Z526" s="5" t="s">
        <v>54</v>
      </c>
      <c r="AA526" s="5">
        <v>94115</v>
      </c>
      <c r="AB526" s="5" t="s">
        <v>46</v>
      </c>
      <c r="AC526" s="5"/>
      <c r="AD526" s="5" t="b">
        <v>0</v>
      </c>
      <c r="AE526" s="5"/>
      <c r="AF526" s="5"/>
      <c r="AG526" s="9">
        <f t="shared" si="8"/>
        <v>43271</v>
      </c>
    </row>
    <row r="527" s="6" customFormat="1" spans="1:33">
      <c r="A527" s="5" t="s">
        <v>2661</v>
      </c>
      <c r="B527" s="5" t="s">
        <v>2661</v>
      </c>
      <c r="C527" s="5" t="s">
        <v>2662</v>
      </c>
      <c r="D527" s="5" t="s">
        <v>2663</v>
      </c>
      <c r="E527" s="5" t="s">
        <v>36</v>
      </c>
      <c r="F527" s="5" t="s">
        <v>37</v>
      </c>
      <c r="G527" s="5" t="s">
        <v>38</v>
      </c>
      <c r="H527" s="5"/>
      <c r="I527" s="5"/>
      <c r="J527" s="5" t="s">
        <v>39</v>
      </c>
      <c r="K527" s="5" t="s">
        <v>1291</v>
      </c>
      <c r="L527" s="5" t="s">
        <v>1292</v>
      </c>
      <c r="M527" s="5" t="s">
        <v>1293</v>
      </c>
      <c r="N527" s="5" t="s">
        <v>36</v>
      </c>
      <c r="O527" s="5">
        <v>1</v>
      </c>
      <c r="P527" s="5" t="s">
        <v>43</v>
      </c>
      <c r="Q527" s="5">
        <v>12.99</v>
      </c>
      <c r="R527" s="5"/>
      <c r="S527" s="5"/>
      <c r="T527" s="5"/>
      <c r="U527" s="5"/>
      <c r="V527" s="5"/>
      <c r="W527" s="5"/>
      <c r="X527" s="5"/>
      <c r="Y527" s="5" t="s">
        <v>2664</v>
      </c>
      <c r="Z527" s="5" t="s">
        <v>282</v>
      </c>
      <c r="AA527" s="5" t="s">
        <v>2665</v>
      </c>
      <c r="AB527" s="5" t="s">
        <v>46</v>
      </c>
      <c r="AC527" s="5"/>
      <c r="AD527" s="5" t="b">
        <v>0</v>
      </c>
      <c r="AE527" s="5"/>
      <c r="AF527" s="5"/>
      <c r="AG527" s="9">
        <f t="shared" si="8"/>
        <v>43271</v>
      </c>
    </row>
    <row r="528" s="6" customFormat="1" spans="1:33">
      <c r="A528" s="5" t="s">
        <v>2666</v>
      </c>
      <c r="B528" s="5" t="s">
        <v>2666</v>
      </c>
      <c r="C528" s="5" t="s">
        <v>2667</v>
      </c>
      <c r="D528" s="5" t="s">
        <v>2668</v>
      </c>
      <c r="E528" s="5" t="s">
        <v>36</v>
      </c>
      <c r="F528" s="5" t="s">
        <v>37</v>
      </c>
      <c r="G528" s="5" t="s">
        <v>38</v>
      </c>
      <c r="H528" s="5"/>
      <c r="I528" s="5"/>
      <c r="J528" s="5" t="s">
        <v>128</v>
      </c>
      <c r="K528" s="5" t="s">
        <v>459</v>
      </c>
      <c r="L528" s="5" t="s">
        <v>460</v>
      </c>
      <c r="M528" s="5" t="s">
        <v>461</v>
      </c>
      <c r="N528" s="5" t="s">
        <v>36</v>
      </c>
      <c r="O528" s="5">
        <v>1</v>
      </c>
      <c r="P528" s="5" t="s">
        <v>43</v>
      </c>
      <c r="Q528" s="5">
        <v>15.98</v>
      </c>
      <c r="R528" s="5"/>
      <c r="S528" s="5">
        <v>2.82</v>
      </c>
      <c r="T528" s="5"/>
      <c r="U528" s="5"/>
      <c r="V528" s="5"/>
      <c r="W528" s="5"/>
      <c r="X528" s="5">
        <v>2.82</v>
      </c>
      <c r="Y528" s="5" t="s">
        <v>86</v>
      </c>
      <c r="Z528" s="5" t="s">
        <v>87</v>
      </c>
      <c r="AA528" s="5" t="s">
        <v>2669</v>
      </c>
      <c r="AB528" s="5" t="s">
        <v>46</v>
      </c>
      <c r="AC528" s="5" t="s">
        <v>225</v>
      </c>
      <c r="AD528" s="5" t="b">
        <v>0</v>
      </c>
      <c r="AE528" s="5"/>
      <c r="AF528" s="5"/>
      <c r="AG528" s="9">
        <f t="shared" si="8"/>
        <v>43271</v>
      </c>
    </row>
    <row r="529" s="6" customFormat="1" spans="1:33">
      <c r="A529" s="5" t="s">
        <v>2670</v>
      </c>
      <c r="B529" s="5" t="s">
        <v>2670</v>
      </c>
      <c r="C529" s="5" t="s">
        <v>2671</v>
      </c>
      <c r="D529" s="5" t="s">
        <v>2672</v>
      </c>
      <c r="E529" s="5" t="s">
        <v>36</v>
      </c>
      <c r="F529" s="5" t="s">
        <v>37</v>
      </c>
      <c r="G529" s="5" t="s">
        <v>38</v>
      </c>
      <c r="H529" s="5"/>
      <c r="I529" s="5"/>
      <c r="J529" s="5" t="s">
        <v>39</v>
      </c>
      <c r="K529" s="5" t="s">
        <v>101</v>
      </c>
      <c r="L529" s="5" t="s">
        <v>102</v>
      </c>
      <c r="M529" s="5" t="s">
        <v>103</v>
      </c>
      <c r="N529" s="5" t="s">
        <v>36</v>
      </c>
      <c r="O529" s="5">
        <v>1</v>
      </c>
      <c r="P529" s="5" t="s">
        <v>43</v>
      </c>
      <c r="Q529" s="5">
        <v>12.99</v>
      </c>
      <c r="R529" s="5"/>
      <c r="S529" s="5"/>
      <c r="T529" s="5"/>
      <c r="U529" s="5"/>
      <c r="V529" s="5"/>
      <c r="W529" s="5">
        <v>0.65</v>
      </c>
      <c r="X529" s="5"/>
      <c r="Y529" s="5" t="s">
        <v>2322</v>
      </c>
      <c r="Z529" s="5" t="s">
        <v>247</v>
      </c>
      <c r="AA529" s="5">
        <v>77845</v>
      </c>
      <c r="AB529" s="5" t="s">
        <v>46</v>
      </c>
      <c r="AC529" s="5" t="s">
        <v>115</v>
      </c>
      <c r="AD529" s="5" t="b">
        <v>0</v>
      </c>
      <c r="AE529" s="5"/>
      <c r="AF529" s="5"/>
      <c r="AG529" s="9">
        <f t="shared" si="8"/>
        <v>43271</v>
      </c>
    </row>
    <row r="530" s="6" customFormat="1" spans="1:33">
      <c r="A530" s="5" t="s">
        <v>2670</v>
      </c>
      <c r="B530" s="5" t="s">
        <v>2670</v>
      </c>
      <c r="C530" s="5" t="s">
        <v>2671</v>
      </c>
      <c r="D530" s="5" t="s">
        <v>2672</v>
      </c>
      <c r="E530" s="5" t="s">
        <v>36</v>
      </c>
      <c r="F530" s="5" t="s">
        <v>37</v>
      </c>
      <c r="G530" s="5" t="s">
        <v>38</v>
      </c>
      <c r="H530" s="5"/>
      <c r="I530" s="5"/>
      <c r="J530" s="5" t="s">
        <v>39</v>
      </c>
      <c r="K530" s="5" t="s">
        <v>147</v>
      </c>
      <c r="L530" s="5" t="s">
        <v>148</v>
      </c>
      <c r="M530" s="5" t="s">
        <v>149</v>
      </c>
      <c r="N530" s="5" t="s">
        <v>36</v>
      </c>
      <c r="O530" s="5">
        <v>1</v>
      </c>
      <c r="P530" s="5" t="s">
        <v>43</v>
      </c>
      <c r="Q530" s="5">
        <v>12.98</v>
      </c>
      <c r="R530" s="5"/>
      <c r="S530" s="5"/>
      <c r="T530" s="5"/>
      <c r="U530" s="5"/>
      <c r="V530" s="5"/>
      <c r="W530" s="5">
        <v>0.65</v>
      </c>
      <c r="X530" s="5"/>
      <c r="Y530" s="5" t="s">
        <v>2322</v>
      </c>
      <c r="Z530" s="5" t="s">
        <v>247</v>
      </c>
      <c r="AA530" s="5">
        <v>77845</v>
      </c>
      <c r="AB530" s="5" t="s">
        <v>46</v>
      </c>
      <c r="AC530" s="5" t="s">
        <v>115</v>
      </c>
      <c r="AD530" s="5" t="b">
        <v>0</v>
      </c>
      <c r="AE530" s="5"/>
      <c r="AF530" s="5"/>
      <c r="AG530" s="9">
        <f t="shared" si="8"/>
        <v>43271</v>
      </c>
    </row>
    <row r="531" s="6" customFormat="1" spans="1:33">
      <c r="A531" s="5" t="s">
        <v>2673</v>
      </c>
      <c r="B531" s="5" t="s">
        <v>2673</v>
      </c>
      <c r="C531" s="5" t="s">
        <v>2674</v>
      </c>
      <c r="D531" s="5" t="s">
        <v>2675</v>
      </c>
      <c r="E531" s="5" t="s">
        <v>36</v>
      </c>
      <c r="F531" s="5" t="s">
        <v>37</v>
      </c>
      <c r="G531" s="5" t="s">
        <v>38</v>
      </c>
      <c r="H531" s="5"/>
      <c r="I531" s="5"/>
      <c r="J531" s="5" t="s">
        <v>39</v>
      </c>
      <c r="K531" s="5" t="s">
        <v>1291</v>
      </c>
      <c r="L531" s="5" t="s">
        <v>1292</v>
      </c>
      <c r="M531" s="5" t="s">
        <v>1293</v>
      </c>
      <c r="N531" s="5" t="s">
        <v>36</v>
      </c>
      <c r="O531" s="5">
        <v>1</v>
      </c>
      <c r="P531" s="5" t="s">
        <v>43</v>
      </c>
      <c r="Q531" s="5">
        <v>12.99</v>
      </c>
      <c r="R531" s="5"/>
      <c r="S531" s="5"/>
      <c r="T531" s="5"/>
      <c r="U531" s="5"/>
      <c r="V531" s="5"/>
      <c r="W531" s="5"/>
      <c r="X531" s="5"/>
      <c r="Y531" s="5" t="s">
        <v>2676</v>
      </c>
      <c r="Z531" s="5" t="s">
        <v>505</v>
      </c>
      <c r="AA531" s="5">
        <v>55011</v>
      </c>
      <c r="AB531" s="5" t="s">
        <v>46</v>
      </c>
      <c r="AC531" s="5"/>
      <c r="AD531" s="5" t="b">
        <v>0</v>
      </c>
      <c r="AE531" s="5"/>
      <c r="AF531" s="5"/>
      <c r="AG531" s="9">
        <f t="shared" si="8"/>
        <v>43271</v>
      </c>
    </row>
    <row r="532" s="6" customFormat="1" spans="1:33">
      <c r="A532" s="5" t="s">
        <v>2677</v>
      </c>
      <c r="B532" s="5" t="s">
        <v>2677</v>
      </c>
      <c r="C532" s="5" t="s">
        <v>2678</v>
      </c>
      <c r="D532" s="5" t="s">
        <v>2679</v>
      </c>
      <c r="E532" s="5" t="s">
        <v>36</v>
      </c>
      <c r="F532" s="5" t="s">
        <v>37</v>
      </c>
      <c r="G532" s="5" t="s">
        <v>38</v>
      </c>
      <c r="H532" s="5"/>
      <c r="I532" s="5"/>
      <c r="J532" s="5" t="s">
        <v>39</v>
      </c>
      <c r="K532" s="5" t="s">
        <v>459</v>
      </c>
      <c r="L532" s="5" t="s">
        <v>460</v>
      </c>
      <c r="M532" s="5" t="s">
        <v>461</v>
      </c>
      <c r="N532" s="5" t="s">
        <v>36</v>
      </c>
      <c r="O532" s="5">
        <v>1</v>
      </c>
      <c r="P532" s="5" t="s">
        <v>43</v>
      </c>
      <c r="Q532" s="5">
        <v>15.98</v>
      </c>
      <c r="R532" s="5"/>
      <c r="S532" s="5"/>
      <c r="T532" s="5"/>
      <c r="U532" s="5"/>
      <c r="V532" s="5"/>
      <c r="W532" s="5"/>
      <c r="X532" s="5"/>
      <c r="Y532" s="5" t="s">
        <v>2680</v>
      </c>
      <c r="Z532" s="5" t="s">
        <v>96</v>
      </c>
      <c r="AA532" s="5" t="s">
        <v>2681</v>
      </c>
      <c r="AB532" s="5" t="s">
        <v>46</v>
      </c>
      <c r="AC532" s="5"/>
      <c r="AD532" s="5" t="b">
        <v>0</v>
      </c>
      <c r="AE532" s="5"/>
      <c r="AF532" s="5"/>
      <c r="AG532" s="9">
        <f t="shared" si="8"/>
        <v>43271</v>
      </c>
    </row>
    <row r="533" s="6" customFormat="1" spans="1:33">
      <c r="A533" s="5" t="s">
        <v>2682</v>
      </c>
      <c r="B533" s="5" t="s">
        <v>2682</v>
      </c>
      <c r="C533" s="5" t="s">
        <v>2683</v>
      </c>
      <c r="D533" s="5" t="s">
        <v>2684</v>
      </c>
      <c r="E533" s="5" t="s">
        <v>36</v>
      </c>
      <c r="F533" s="5" t="s">
        <v>37</v>
      </c>
      <c r="G533" s="5" t="s">
        <v>38</v>
      </c>
      <c r="H533" s="5"/>
      <c r="I533" s="5"/>
      <c r="J533" s="5" t="s">
        <v>39</v>
      </c>
      <c r="K533" s="5" t="s">
        <v>110</v>
      </c>
      <c r="L533" s="5" t="s">
        <v>111</v>
      </c>
      <c r="M533" s="5" t="s">
        <v>112</v>
      </c>
      <c r="N533" s="5" t="s">
        <v>36</v>
      </c>
      <c r="O533" s="5">
        <v>1</v>
      </c>
      <c r="P533" s="5" t="s">
        <v>43</v>
      </c>
      <c r="Q533" s="5">
        <v>12.99</v>
      </c>
      <c r="R533" s="5"/>
      <c r="S533" s="5"/>
      <c r="T533" s="5"/>
      <c r="U533" s="5"/>
      <c r="V533" s="5"/>
      <c r="W533" s="5"/>
      <c r="X533" s="5"/>
      <c r="Y533" s="5" t="s">
        <v>2685</v>
      </c>
      <c r="Z533" s="5" t="s">
        <v>87</v>
      </c>
      <c r="AA533" s="5">
        <v>23875</v>
      </c>
      <c r="AB533" s="5" t="s">
        <v>46</v>
      </c>
      <c r="AC533" s="5"/>
      <c r="AD533" s="5" t="b">
        <v>0</v>
      </c>
      <c r="AE533" s="5"/>
      <c r="AF533" s="5"/>
      <c r="AG533" s="9">
        <f t="shared" si="8"/>
        <v>43271</v>
      </c>
    </row>
    <row r="534" s="6" customFormat="1" spans="1:33">
      <c r="A534" s="5" t="s">
        <v>2686</v>
      </c>
      <c r="B534" s="5" t="s">
        <v>2686</v>
      </c>
      <c r="C534" s="5" t="s">
        <v>2687</v>
      </c>
      <c r="D534" s="5" t="s">
        <v>2688</v>
      </c>
      <c r="E534" s="5" t="s">
        <v>36</v>
      </c>
      <c r="F534" s="5" t="s">
        <v>37</v>
      </c>
      <c r="G534" s="5" t="s">
        <v>38</v>
      </c>
      <c r="H534" s="5"/>
      <c r="I534" s="5"/>
      <c r="J534" s="5" t="s">
        <v>39</v>
      </c>
      <c r="K534" s="5" t="s">
        <v>387</v>
      </c>
      <c r="L534" s="5" t="s">
        <v>388</v>
      </c>
      <c r="M534" s="5" t="s">
        <v>389</v>
      </c>
      <c r="N534" s="5" t="s">
        <v>36</v>
      </c>
      <c r="O534" s="5">
        <v>1</v>
      </c>
      <c r="P534" s="5" t="s">
        <v>43</v>
      </c>
      <c r="Q534" s="5">
        <v>18.99</v>
      </c>
      <c r="R534" s="5"/>
      <c r="S534" s="5"/>
      <c r="T534" s="5"/>
      <c r="U534" s="5"/>
      <c r="V534" s="5"/>
      <c r="W534" s="5"/>
      <c r="X534" s="5"/>
      <c r="Y534" s="5" t="s">
        <v>2689</v>
      </c>
      <c r="Z534" s="5" t="s">
        <v>1050</v>
      </c>
      <c r="AA534" s="5" t="s">
        <v>2690</v>
      </c>
      <c r="AB534" s="5" t="s">
        <v>46</v>
      </c>
      <c r="AC534" s="5"/>
      <c r="AD534" s="5" t="b">
        <v>0</v>
      </c>
      <c r="AE534" s="5"/>
      <c r="AF534" s="5"/>
      <c r="AG534" s="9">
        <f t="shared" si="8"/>
        <v>43271</v>
      </c>
    </row>
    <row r="535" s="6" customFormat="1" spans="1:33">
      <c r="A535" s="5" t="s">
        <v>2691</v>
      </c>
      <c r="B535" s="5" t="s">
        <v>2691</v>
      </c>
      <c r="C535" s="5" t="s">
        <v>2692</v>
      </c>
      <c r="D535" s="5" t="s">
        <v>2693</v>
      </c>
      <c r="E535" s="5" t="s">
        <v>36</v>
      </c>
      <c r="F535" s="5" t="s">
        <v>37</v>
      </c>
      <c r="G535" s="5" t="s">
        <v>38</v>
      </c>
      <c r="H535" s="5"/>
      <c r="I535" s="5"/>
      <c r="J535" s="5" t="s">
        <v>39</v>
      </c>
      <c r="K535" s="5" t="s">
        <v>365</v>
      </c>
      <c r="L535" s="5" t="s">
        <v>366</v>
      </c>
      <c r="M535" s="5" t="s">
        <v>367</v>
      </c>
      <c r="N535" s="5" t="s">
        <v>36</v>
      </c>
      <c r="O535" s="5">
        <v>1</v>
      </c>
      <c r="P535" s="5" t="s">
        <v>43</v>
      </c>
      <c r="Q535" s="5">
        <v>18.99</v>
      </c>
      <c r="R535" s="5"/>
      <c r="S535" s="5"/>
      <c r="T535" s="5"/>
      <c r="U535" s="5"/>
      <c r="V535" s="5"/>
      <c r="W535" s="5"/>
      <c r="X535" s="5"/>
      <c r="Y535" s="5" t="s">
        <v>2694</v>
      </c>
      <c r="Z535" s="5" t="s">
        <v>105</v>
      </c>
      <c r="AA535" s="5" t="s">
        <v>2695</v>
      </c>
      <c r="AB535" s="5" t="s">
        <v>46</v>
      </c>
      <c r="AC535" s="5"/>
      <c r="AD535" s="5" t="b">
        <v>0</v>
      </c>
      <c r="AE535" s="5"/>
      <c r="AF535" s="5"/>
      <c r="AG535" s="9">
        <f t="shared" si="8"/>
        <v>43271</v>
      </c>
    </row>
    <row r="536" s="6" customFormat="1" spans="1:33">
      <c r="A536" s="5" t="s">
        <v>2696</v>
      </c>
      <c r="B536" s="5" t="s">
        <v>2696</v>
      </c>
      <c r="C536" s="5" t="s">
        <v>2697</v>
      </c>
      <c r="D536" s="5" t="s">
        <v>2698</v>
      </c>
      <c r="E536" s="5" t="s">
        <v>36</v>
      </c>
      <c r="F536" s="5" t="s">
        <v>37</v>
      </c>
      <c r="G536" s="5" t="s">
        <v>38</v>
      </c>
      <c r="H536" s="5"/>
      <c r="I536" s="5"/>
      <c r="J536" s="5" t="s">
        <v>39</v>
      </c>
      <c r="K536" s="5" t="s">
        <v>119</v>
      </c>
      <c r="L536" s="5" t="s">
        <v>2099</v>
      </c>
      <c r="M536" s="5" t="s">
        <v>121</v>
      </c>
      <c r="N536" s="5" t="s">
        <v>36</v>
      </c>
      <c r="O536" s="5">
        <v>1</v>
      </c>
      <c r="P536" s="5" t="s">
        <v>43</v>
      </c>
      <c r="Q536" s="5">
        <v>24.99</v>
      </c>
      <c r="R536" s="5"/>
      <c r="S536" s="5"/>
      <c r="T536" s="5"/>
      <c r="U536" s="5"/>
      <c r="V536" s="5"/>
      <c r="W536" s="5"/>
      <c r="X536" s="5"/>
      <c r="Y536" s="5" t="s">
        <v>2699</v>
      </c>
      <c r="Z536" s="5" t="s">
        <v>54</v>
      </c>
      <c r="AA536" s="5">
        <v>90036</v>
      </c>
      <c r="AB536" s="5" t="s">
        <v>46</v>
      </c>
      <c r="AC536" s="5"/>
      <c r="AD536" s="5" t="b">
        <v>0</v>
      </c>
      <c r="AE536" s="5"/>
      <c r="AF536" s="5"/>
      <c r="AG536" s="9">
        <f t="shared" si="8"/>
        <v>43271</v>
      </c>
    </row>
    <row r="537" s="6" customFormat="1" spans="1:33">
      <c r="A537" s="5" t="s">
        <v>2700</v>
      </c>
      <c r="B537" s="5" t="s">
        <v>2700</v>
      </c>
      <c r="C537" s="5" t="s">
        <v>2701</v>
      </c>
      <c r="D537" s="5" t="s">
        <v>2702</v>
      </c>
      <c r="E537" s="5" t="s">
        <v>36</v>
      </c>
      <c r="F537" s="5" t="s">
        <v>37</v>
      </c>
      <c r="G537" s="5" t="s">
        <v>38</v>
      </c>
      <c r="H537" s="5"/>
      <c r="I537" s="5"/>
      <c r="J537" s="5" t="s">
        <v>39</v>
      </c>
      <c r="K537" s="5" t="s">
        <v>434</v>
      </c>
      <c r="L537" s="5" t="s">
        <v>435</v>
      </c>
      <c r="M537" s="5" t="s">
        <v>436</v>
      </c>
      <c r="N537" s="5" t="s">
        <v>36</v>
      </c>
      <c r="O537" s="5">
        <v>1</v>
      </c>
      <c r="P537" s="5" t="s">
        <v>43</v>
      </c>
      <c r="Q537" s="5">
        <v>13.99</v>
      </c>
      <c r="R537" s="5"/>
      <c r="S537" s="5"/>
      <c r="T537" s="5"/>
      <c r="U537" s="5"/>
      <c r="V537" s="5"/>
      <c r="W537" s="5"/>
      <c r="X537" s="5"/>
      <c r="Y537" s="5" t="s">
        <v>2703</v>
      </c>
      <c r="Z537" s="5" t="s">
        <v>377</v>
      </c>
      <c r="AA537" s="5" t="s">
        <v>2704</v>
      </c>
      <c r="AB537" s="5" t="s">
        <v>46</v>
      </c>
      <c r="AC537" s="5"/>
      <c r="AD537" s="5" t="b">
        <v>0</v>
      </c>
      <c r="AE537" s="5"/>
      <c r="AF537" s="5"/>
      <c r="AG537" s="9">
        <f t="shared" si="8"/>
        <v>43271</v>
      </c>
    </row>
    <row r="538" s="6" customFormat="1" spans="1:33">
      <c r="A538" s="5" t="s">
        <v>2705</v>
      </c>
      <c r="B538" s="5" t="s">
        <v>2705</v>
      </c>
      <c r="C538" s="5" t="s">
        <v>2706</v>
      </c>
      <c r="D538" s="5" t="s">
        <v>2707</v>
      </c>
      <c r="E538" s="5" t="s">
        <v>36</v>
      </c>
      <c r="F538" s="5" t="s">
        <v>37</v>
      </c>
      <c r="G538" s="5" t="s">
        <v>38</v>
      </c>
      <c r="H538" s="5"/>
      <c r="I538" s="5"/>
      <c r="J538" s="5" t="s">
        <v>39</v>
      </c>
      <c r="K538" s="5" t="s">
        <v>201</v>
      </c>
      <c r="L538" s="5" t="s">
        <v>202</v>
      </c>
      <c r="M538" s="5" t="s">
        <v>203</v>
      </c>
      <c r="N538" s="5" t="s">
        <v>36</v>
      </c>
      <c r="O538" s="5">
        <v>1</v>
      </c>
      <c r="P538" s="5" t="s">
        <v>43</v>
      </c>
      <c r="Q538" s="5">
        <v>18.99</v>
      </c>
      <c r="R538" s="5"/>
      <c r="S538" s="5"/>
      <c r="T538" s="5"/>
      <c r="U538" s="5"/>
      <c r="V538" s="5"/>
      <c r="W538" s="5"/>
      <c r="X538" s="5"/>
      <c r="Y538" s="5" t="s">
        <v>2708</v>
      </c>
      <c r="Z538" s="5" t="s">
        <v>130</v>
      </c>
      <c r="AA538" s="5">
        <v>25504</v>
      </c>
      <c r="AB538" s="5" t="s">
        <v>46</v>
      </c>
      <c r="AC538" s="5"/>
      <c r="AD538" s="5" t="b">
        <v>0</v>
      </c>
      <c r="AE538" s="5"/>
      <c r="AF538" s="5"/>
      <c r="AG538" s="9">
        <f t="shared" si="8"/>
        <v>43271</v>
      </c>
    </row>
    <row r="539" s="6" customFormat="1" spans="1:33">
      <c r="A539" s="5" t="s">
        <v>2709</v>
      </c>
      <c r="B539" s="5" t="s">
        <v>2709</v>
      </c>
      <c r="C539" s="5" t="s">
        <v>2710</v>
      </c>
      <c r="D539" s="5" t="s">
        <v>2711</v>
      </c>
      <c r="E539" s="5" t="s">
        <v>36</v>
      </c>
      <c r="F539" s="5" t="s">
        <v>37</v>
      </c>
      <c r="G539" s="5" t="s">
        <v>38</v>
      </c>
      <c r="H539" s="5"/>
      <c r="I539" s="5"/>
      <c r="J539" s="5" t="s">
        <v>39</v>
      </c>
      <c r="K539" s="5" t="s">
        <v>201</v>
      </c>
      <c r="L539" s="5" t="s">
        <v>202</v>
      </c>
      <c r="M539" s="5" t="s">
        <v>203</v>
      </c>
      <c r="N539" s="5" t="s">
        <v>36</v>
      </c>
      <c r="O539" s="5">
        <v>1</v>
      </c>
      <c r="P539" s="5" t="s">
        <v>43</v>
      </c>
      <c r="Q539" s="5">
        <v>18.99</v>
      </c>
      <c r="R539" s="5"/>
      <c r="S539" s="5"/>
      <c r="T539" s="5"/>
      <c r="U539" s="5"/>
      <c r="V539" s="5"/>
      <c r="W539" s="5"/>
      <c r="X539" s="5"/>
      <c r="Y539" s="5" t="s">
        <v>2712</v>
      </c>
      <c r="Z539" s="5" t="s">
        <v>142</v>
      </c>
      <c r="AA539" s="5" t="s">
        <v>2713</v>
      </c>
      <c r="AB539" s="5" t="s">
        <v>46</v>
      </c>
      <c r="AC539" s="5"/>
      <c r="AD539" s="5" t="b">
        <v>1</v>
      </c>
      <c r="AE539" s="5"/>
      <c r="AF539" s="5"/>
      <c r="AG539" s="9">
        <f t="shared" si="8"/>
        <v>43271</v>
      </c>
    </row>
    <row r="540" s="6" customFormat="1" spans="1:33">
      <c r="A540" s="5" t="s">
        <v>2714</v>
      </c>
      <c r="B540" s="5" t="s">
        <v>2714</v>
      </c>
      <c r="C540" s="5" t="s">
        <v>2715</v>
      </c>
      <c r="D540" s="5" t="s">
        <v>2716</v>
      </c>
      <c r="E540" s="5" t="s">
        <v>36</v>
      </c>
      <c r="F540" s="5" t="s">
        <v>37</v>
      </c>
      <c r="G540" s="5" t="s">
        <v>38</v>
      </c>
      <c r="H540" s="5"/>
      <c r="I540" s="5"/>
      <c r="J540" s="5" t="s">
        <v>287</v>
      </c>
      <c r="K540" s="5" t="s">
        <v>243</v>
      </c>
      <c r="L540" s="5" t="s">
        <v>244</v>
      </c>
      <c r="M540" s="5" t="s">
        <v>245</v>
      </c>
      <c r="N540" s="5" t="s">
        <v>36</v>
      </c>
      <c r="O540" s="5">
        <v>1</v>
      </c>
      <c r="P540" s="5" t="s">
        <v>43</v>
      </c>
      <c r="Q540" s="5">
        <v>18.99</v>
      </c>
      <c r="R540" s="5">
        <v>1.9</v>
      </c>
      <c r="S540" s="5">
        <v>5.99</v>
      </c>
      <c r="T540" s="5">
        <v>0.6</v>
      </c>
      <c r="U540" s="5"/>
      <c r="V540" s="5"/>
      <c r="W540" s="5"/>
      <c r="X540" s="5"/>
      <c r="Y540" s="5" t="s">
        <v>2717</v>
      </c>
      <c r="Z540" s="5" t="s">
        <v>474</v>
      </c>
      <c r="AA540" s="5" t="s">
        <v>2718</v>
      </c>
      <c r="AB540" s="5" t="s">
        <v>46</v>
      </c>
      <c r="AC540" s="5"/>
      <c r="AD540" s="5" t="b">
        <v>0</v>
      </c>
      <c r="AE540" s="5"/>
      <c r="AF540" s="5"/>
      <c r="AG540" s="9">
        <f t="shared" si="8"/>
        <v>43271</v>
      </c>
    </row>
    <row r="541" s="6" customFormat="1" spans="1:33">
      <c r="A541" s="5" t="s">
        <v>2719</v>
      </c>
      <c r="B541" s="5" t="s">
        <v>2719</v>
      </c>
      <c r="C541" s="5" t="s">
        <v>2720</v>
      </c>
      <c r="D541" s="5" t="s">
        <v>2721</v>
      </c>
      <c r="E541" s="5" t="s">
        <v>36</v>
      </c>
      <c r="F541" s="5" t="s">
        <v>37</v>
      </c>
      <c r="G541" s="5" t="s">
        <v>38</v>
      </c>
      <c r="H541" s="5"/>
      <c r="I541" s="5"/>
      <c r="J541" s="5" t="s">
        <v>39</v>
      </c>
      <c r="K541" s="5" t="s">
        <v>533</v>
      </c>
      <c r="L541" s="5" t="s">
        <v>1048</v>
      </c>
      <c r="M541" s="5" t="s">
        <v>535</v>
      </c>
      <c r="N541" s="5" t="s">
        <v>36</v>
      </c>
      <c r="O541" s="5">
        <v>1</v>
      </c>
      <c r="P541" s="5" t="s">
        <v>43</v>
      </c>
      <c r="Q541" s="5">
        <v>25.99</v>
      </c>
      <c r="R541" s="5"/>
      <c r="S541" s="5"/>
      <c r="T541" s="5"/>
      <c r="U541" s="5"/>
      <c r="V541" s="5"/>
      <c r="W541" s="5"/>
      <c r="X541" s="5"/>
      <c r="Y541" s="5" t="s">
        <v>2722</v>
      </c>
      <c r="Z541" s="5" t="s">
        <v>142</v>
      </c>
      <c r="AA541" s="5" t="s">
        <v>2723</v>
      </c>
      <c r="AB541" s="5" t="s">
        <v>46</v>
      </c>
      <c r="AC541" s="5"/>
      <c r="AD541" s="5" t="b">
        <v>0</v>
      </c>
      <c r="AE541" s="5"/>
      <c r="AF541" s="5"/>
      <c r="AG541" s="9">
        <f t="shared" si="8"/>
        <v>43271</v>
      </c>
    </row>
    <row r="542" s="6" customFormat="1" spans="1:33">
      <c r="A542" s="5" t="s">
        <v>2724</v>
      </c>
      <c r="B542" s="5" t="s">
        <v>2724</v>
      </c>
      <c r="C542" s="5" t="s">
        <v>2725</v>
      </c>
      <c r="D542" s="5" t="s">
        <v>2726</v>
      </c>
      <c r="E542" s="5" t="s">
        <v>36</v>
      </c>
      <c r="F542" s="5" t="s">
        <v>37</v>
      </c>
      <c r="G542" s="5" t="s">
        <v>38</v>
      </c>
      <c r="H542" s="5"/>
      <c r="I542" s="5"/>
      <c r="J542" s="5" t="s">
        <v>128</v>
      </c>
      <c r="K542" s="5" t="s">
        <v>243</v>
      </c>
      <c r="L542" s="5" t="s">
        <v>244</v>
      </c>
      <c r="M542" s="5" t="s">
        <v>245</v>
      </c>
      <c r="N542" s="5" t="s">
        <v>36</v>
      </c>
      <c r="O542" s="5">
        <v>1</v>
      </c>
      <c r="P542" s="5" t="s">
        <v>43</v>
      </c>
      <c r="Q542" s="5">
        <v>18.99</v>
      </c>
      <c r="R542" s="5"/>
      <c r="S542" s="5">
        <v>3.09</v>
      </c>
      <c r="T542" s="5"/>
      <c r="U542" s="5"/>
      <c r="V542" s="5"/>
      <c r="W542" s="5"/>
      <c r="X542" s="5">
        <v>3.09</v>
      </c>
      <c r="Y542" s="5" t="s">
        <v>2727</v>
      </c>
      <c r="Z542" s="5" t="s">
        <v>105</v>
      </c>
      <c r="AA542" s="5" t="s">
        <v>2728</v>
      </c>
      <c r="AB542" s="5" t="s">
        <v>46</v>
      </c>
      <c r="AC542" s="5" t="s">
        <v>225</v>
      </c>
      <c r="AD542" s="5" t="b">
        <v>0</v>
      </c>
      <c r="AE542" s="5"/>
      <c r="AF542" s="5"/>
      <c r="AG542" s="9">
        <f t="shared" si="8"/>
        <v>43271</v>
      </c>
    </row>
    <row r="543" s="6" customFormat="1" spans="1:33">
      <c r="A543" s="5" t="s">
        <v>2729</v>
      </c>
      <c r="B543" s="5" t="s">
        <v>2729</v>
      </c>
      <c r="C543" s="5" t="s">
        <v>2730</v>
      </c>
      <c r="D543" s="5" t="s">
        <v>2731</v>
      </c>
      <c r="E543" s="5" t="s">
        <v>36</v>
      </c>
      <c r="F543" s="5" t="s">
        <v>37</v>
      </c>
      <c r="G543" s="5" t="s">
        <v>38</v>
      </c>
      <c r="H543" s="5"/>
      <c r="I543" s="5"/>
      <c r="J543" s="5" t="s">
        <v>39</v>
      </c>
      <c r="K543" s="5" t="s">
        <v>243</v>
      </c>
      <c r="L543" s="5" t="s">
        <v>244</v>
      </c>
      <c r="M543" s="5" t="s">
        <v>245</v>
      </c>
      <c r="N543" s="5" t="s">
        <v>36</v>
      </c>
      <c r="O543" s="5">
        <v>1</v>
      </c>
      <c r="P543" s="5" t="s">
        <v>43</v>
      </c>
      <c r="Q543" s="5">
        <v>18.99</v>
      </c>
      <c r="R543" s="5"/>
      <c r="S543" s="5"/>
      <c r="T543" s="5"/>
      <c r="U543" s="5"/>
      <c r="V543" s="5"/>
      <c r="W543" s="5"/>
      <c r="X543" s="5"/>
      <c r="Y543" s="5" t="s">
        <v>2732</v>
      </c>
      <c r="Z543" s="5" t="s">
        <v>329</v>
      </c>
      <c r="AA543" s="5" t="s">
        <v>2733</v>
      </c>
      <c r="AB543" s="5" t="s">
        <v>46</v>
      </c>
      <c r="AC543" s="5"/>
      <c r="AD543" s="5" t="b">
        <v>0</v>
      </c>
      <c r="AE543" s="5"/>
      <c r="AF543" s="5"/>
      <c r="AG543" s="9">
        <f t="shared" si="8"/>
        <v>43271</v>
      </c>
    </row>
    <row r="544" s="6" customFormat="1" spans="1:33">
      <c r="A544" s="5" t="s">
        <v>2734</v>
      </c>
      <c r="B544" s="5" t="s">
        <v>2734</v>
      </c>
      <c r="C544" s="5" t="s">
        <v>2735</v>
      </c>
      <c r="D544" s="5" t="s">
        <v>2736</v>
      </c>
      <c r="E544" s="5" t="s">
        <v>36</v>
      </c>
      <c r="F544" s="5" t="s">
        <v>37</v>
      </c>
      <c r="G544" s="5" t="s">
        <v>38</v>
      </c>
      <c r="H544" s="5"/>
      <c r="I544" s="5"/>
      <c r="J544" s="5" t="s">
        <v>39</v>
      </c>
      <c r="K544" s="5" t="s">
        <v>387</v>
      </c>
      <c r="L544" s="5" t="s">
        <v>388</v>
      </c>
      <c r="M544" s="5" t="s">
        <v>389</v>
      </c>
      <c r="N544" s="5" t="s">
        <v>36</v>
      </c>
      <c r="O544" s="5">
        <v>1</v>
      </c>
      <c r="P544" s="5" t="s">
        <v>43</v>
      </c>
      <c r="Q544" s="5">
        <v>18.99</v>
      </c>
      <c r="R544" s="5"/>
      <c r="S544" s="5"/>
      <c r="T544" s="5"/>
      <c r="U544" s="5"/>
      <c r="V544" s="5"/>
      <c r="W544" s="5"/>
      <c r="X544" s="5"/>
      <c r="Y544" s="5" t="s">
        <v>2737</v>
      </c>
      <c r="Z544" s="5" t="s">
        <v>282</v>
      </c>
      <c r="AA544" s="5" t="s">
        <v>2738</v>
      </c>
      <c r="AB544" s="5" t="s">
        <v>46</v>
      </c>
      <c r="AC544" s="5"/>
      <c r="AD544" s="5" t="b">
        <v>0</v>
      </c>
      <c r="AE544" s="5"/>
      <c r="AF544" s="5"/>
      <c r="AG544" s="9">
        <f t="shared" si="8"/>
        <v>43271</v>
      </c>
    </row>
    <row r="545" s="6" customFormat="1" spans="1:33">
      <c r="A545" s="5" t="s">
        <v>2739</v>
      </c>
      <c r="B545" s="5" t="s">
        <v>2739</v>
      </c>
      <c r="C545" s="5" t="s">
        <v>2740</v>
      </c>
      <c r="D545" s="5" t="s">
        <v>2741</v>
      </c>
      <c r="E545" s="5" t="s">
        <v>36</v>
      </c>
      <c r="F545" s="5" t="s">
        <v>37</v>
      </c>
      <c r="G545" s="5" t="s">
        <v>38</v>
      </c>
      <c r="H545" s="5"/>
      <c r="I545" s="5"/>
      <c r="J545" s="5" t="s">
        <v>39</v>
      </c>
      <c r="K545" s="5" t="s">
        <v>570</v>
      </c>
      <c r="L545" s="5" t="s">
        <v>578</v>
      </c>
      <c r="M545" s="5" t="s">
        <v>572</v>
      </c>
      <c r="N545" s="5" t="s">
        <v>36</v>
      </c>
      <c r="O545" s="5">
        <v>1</v>
      </c>
      <c r="P545" s="5" t="s">
        <v>43</v>
      </c>
      <c r="Q545" s="5">
        <v>24.99</v>
      </c>
      <c r="R545" s="5"/>
      <c r="S545" s="5"/>
      <c r="T545" s="5"/>
      <c r="U545" s="5"/>
      <c r="V545" s="5"/>
      <c r="W545" s="5"/>
      <c r="X545" s="5"/>
      <c r="Y545" s="5" t="s">
        <v>2742</v>
      </c>
      <c r="Z545" s="5" t="s">
        <v>2743</v>
      </c>
      <c r="AA545" s="5" t="s">
        <v>2744</v>
      </c>
      <c r="AB545" s="5" t="s">
        <v>46</v>
      </c>
      <c r="AC545" s="5"/>
      <c r="AD545" s="5" t="b">
        <v>0</v>
      </c>
      <c r="AE545" s="5"/>
      <c r="AF545" s="5"/>
      <c r="AG545" s="9">
        <f t="shared" si="8"/>
        <v>43271</v>
      </c>
    </row>
    <row r="546" s="6" customFormat="1" spans="1:33">
      <c r="A546" s="5" t="s">
        <v>2745</v>
      </c>
      <c r="B546" s="5" t="s">
        <v>2745</v>
      </c>
      <c r="C546" s="5" t="s">
        <v>2746</v>
      </c>
      <c r="D546" s="5" t="s">
        <v>2747</v>
      </c>
      <c r="E546" s="5" t="s">
        <v>36</v>
      </c>
      <c r="F546" s="5" t="s">
        <v>37</v>
      </c>
      <c r="G546" s="5" t="s">
        <v>38</v>
      </c>
      <c r="H546" s="5"/>
      <c r="I546" s="5"/>
      <c r="J546" s="5" t="s">
        <v>39</v>
      </c>
      <c r="K546" s="5" t="s">
        <v>147</v>
      </c>
      <c r="L546" s="5" t="s">
        <v>148</v>
      </c>
      <c r="M546" s="5" t="s">
        <v>149</v>
      </c>
      <c r="N546" s="5" t="s">
        <v>36</v>
      </c>
      <c r="O546" s="5">
        <v>1</v>
      </c>
      <c r="P546" s="5" t="s">
        <v>43</v>
      </c>
      <c r="Q546" s="5">
        <v>12.98</v>
      </c>
      <c r="R546" s="5"/>
      <c r="S546" s="5"/>
      <c r="T546" s="5"/>
      <c r="U546" s="5"/>
      <c r="V546" s="5"/>
      <c r="W546" s="5"/>
      <c r="X546" s="5"/>
      <c r="Y546" s="5" t="s">
        <v>1926</v>
      </c>
      <c r="Z546" s="5" t="s">
        <v>335</v>
      </c>
      <c r="AA546" s="5" t="s">
        <v>2748</v>
      </c>
      <c r="AB546" s="5" t="s">
        <v>46</v>
      </c>
      <c r="AC546" s="5"/>
      <c r="AD546" s="5" t="b">
        <v>0</v>
      </c>
      <c r="AE546" s="5"/>
      <c r="AF546" s="5"/>
      <c r="AG546" s="9">
        <f t="shared" si="8"/>
        <v>43272</v>
      </c>
    </row>
    <row r="547" s="6" customFormat="1" spans="1:33">
      <c r="A547" s="5" t="s">
        <v>2749</v>
      </c>
      <c r="B547" s="5" t="s">
        <v>2749</v>
      </c>
      <c r="C547" s="5" t="s">
        <v>2750</v>
      </c>
      <c r="D547" s="5" t="s">
        <v>2751</v>
      </c>
      <c r="E547" s="5" t="s">
        <v>36</v>
      </c>
      <c r="F547" s="5" t="s">
        <v>37</v>
      </c>
      <c r="G547" s="5" t="s">
        <v>38</v>
      </c>
      <c r="H547" s="5"/>
      <c r="I547" s="5"/>
      <c r="J547" s="5" t="s">
        <v>39</v>
      </c>
      <c r="K547" s="5" t="s">
        <v>365</v>
      </c>
      <c r="L547" s="5" t="s">
        <v>366</v>
      </c>
      <c r="M547" s="5" t="s">
        <v>367</v>
      </c>
      <c r="N547" s="5" t="s">
        <v>36</v>
      </c>
      <c r="O547" s="5">
        <v>1</v>
      </c>
      <c r="P547" s="5" t="s">
        <v>43</v>
      </c>
      <c r="Q547" s="5">
        <v>18.99</v>
      </c>
      <c r="R547" s="5"/>
      <c r="S547" s="5"/>
      <c r="T547" s="5"/>
      <c r="U547" s="5"/>
      <c r="V547" s="5"/>
      <c r="W547" s="5">
        <v>0.95</v>
      </c>
      <c r="X547" s="5"/>
      <c r="Y547" s="5" t="s">
        <v>2752</v>
      </c>
      <c r="Z547" s="5" t="s">
        <v>45</v>
      </c>
      <c r="AA547" s="5" t="s">
        <v>2753</v>
      </c>
      <c r="AB547" s="5" t="s">
        <v>46</v>
      </c>
      <c r="AC547" s="5" t="s">
        <v>115</v>
      </c>
      <c r="AD547" s="5" t="b">
        <v>0</v>
      </c>
      <c r="AE547" s="5"/>
      <c r="AF547" s="5"/>
      <c r="AG547" s="9">
        <f t="shared" si="8"/>
        <v>43272</v>
      </c>
    </row>
    <row r="548" s="6" customFormat="1" spans="1:33">
      <c r="A548" s="5" t="s">
        <v>2749</v>
      </c>
      <c r="B548" s="5" t="s">
        <v>2749</v>
      </c>
      <c r="C548" s="5" t="s">
        <v>2750</v>
      </c>
      <c r="D548" s="5" t="s">
        <v>2751</v>
      </c>
      <c r="E548" s="5" t="s">
        <v>36</v>
      </c>
      <c r="F548" s="5" t="s">
        <v>37</v>
      </c>
      <c r="G548" s="5" t="s">
        <v>38</v>
      </c>
      <c r="H548" s="5"/>
      <c r="I548" s="5"/>
      <c r="J548" s="5" t="s">
        <v>39</v>
      </c>
      <c r="K548" s="5" t="s">
        <v>83</v>
      </c>
      <c r="L548" s="5" t="s">
        <v>1080</v>
      </c>
      <c r="M548" s="5" t="s">
        <v>85</v>
      </c>
      <c r="N548" s="5" t="s">
        <v>36</v>
      </c>
      <c r="O548" s="5">
        <v>2</v>
      </c>
      <c r="P548" s="5" t="s">
        <v>43</v>
      </c>
      <c r="Q548" s="5">
        <v>25.98</v>
      </c>
      <c r="R548" s="5"/>
      <c r="S548" s="5"/>
      <c r="T548" s="5"/>
      <c r="U548" s="5"/>
      <c r="V548" s="5"/>
      <c r="W548" s="5">
        <v>1.3</v>
      </c>
      <c r="X548" s="5"/>
      <c r="Y548" s="5" t="s">
        <v>2752</v>
      </c>
      <c r="Z548" s="5" t="s">
        <v>45</v>
      </c>
      <c r="AA548" s="5" t="s">
        <v>2753</v>
      </c>
      <c r="AB548" s="5" t="s">
        <v>46</v>
      </c>
      <c r="AC548" s="5" t="s">
        <v>115</v>
      </c>
      <c r="AD548" s="5" t="b">
        <v>0</v>
      </c>
      <c r="AE548" s="5"/>
      <c r="AF548" s="5"/>
      <c r="AG548" s="9">
        <f t="shared" si="8"/>
        <v>43272</v>
      </c>
    </row>
    <row r="549" s="6" customFormat="1" spans="1:33">
      <c r="A549" s="5" t="s">
        <v>2754</v>
      </c>
      <c r="B549" s="5" t="s">
        <v>2754</v>
      </c>
      <c r="C549" s="5" t="s">
        <v>2755</v>
      </c>
      <c r="D549" s="5" t="s">
        <v>2756</v>
      </c>
      <c r="E549" s="5" t="s">
        <v>36</v>
      </c>
      <c r="F549" s="5" t="s">
        <v>37</v>
      </c>
      <c r="G549" s="5" t="s">
        <v>38</v>
      </c>
      <c r="H549" s="5"/>
      <c r="I549" s="5"/>
      <c r="J549" s="5" t="s">
        <v>39</v>
      </c>
      <c r="K549" s="5" t="s">
        <v>434</v>
      </c>
      <c r="L549" s="5" t="s">
        <v>435</v>
      </c>
      <c r="M549" s="5" t="s">
        <v>436</v>
      </c>
      <c r="N549" s="5" t="s">
        <v>36</v>
      </c>
      <c r="O549" s="5">
        <v>1</v>
      </c>
      <c r="P549" s="5" t="s">
        <v>43</v>
      </c>
      <c r="Q549" s="5">
        <v>13.99</v>
      </c>
      <c r="R549" s="5"/>
      <c r="S549" s="5"/>
      <c r="T549" s="5"/>
      <c r="U549" s="5"/>
      <c r="V549" s="5"/>
      <c r="W549" s="5"/>
      <c r="X549" s="5"/>
      <c r="Y549" s="5" t="s">
        <v>2757</v>
      </c>
      <c r="Z549" s="5" t="s">
        <v>218</v>
      </c>
      <c r="AA549" s="5">
        <v>21043</v>
      </c>
      <c r="AB549" s="5" t="s">
        <v>46</v>
      </c>
      <c r="AC549" s="5" t="s">
        <v>2060</v>
      </c>
      <c r="AD549" s="5" t="b">
        <v>0</v>
      </c>
      <c r="AE549" s="5"/>
      <c r="AF549" s="5"/>
      <c r="AG549" s="9">
        <f t="shared" si="8"/>
        <v>43272</v>
      </c>
    </row>
    <row r="550" s="6" customFormat="1" spans="1:33">
      <c r="A550" s="5" t="s">
        <v>2754</v>
      </c>
      <c r="B550" s="5" t="s">
        <v>2754</v>
      </c>
      <c r="C550" s="5" t="s">
        <v>2755</v>
      </c>
      <c r="D550" s="5" t="s">
        <v>2756</v>
      </c>
      <c r="E550" s="5" t="s">
        <v>36</v>
      </c>
      <c r="F550" s="5" t="s">
        <v>37</v>
      </c>
      <c r="G550" s="5" t="s">
        <v>38</v>
      </c>
      <c r="H550" s="5"/>
      <c r="I550" s="5"/>
      <c r="J550" s="5" t="s">
        <v>39</v>
      </c>
      <c r="K550" s="5" t="s">
        <v>75</v>
      </c>
      <c r="L550" s="5" t="s">
        <v>76</v>
      </c>
      <c r="M550" s="5" t="s">
        <v>77</v>
      </c>
      <c r="N550" s="5" t="s">
        <v>36</v>
      </c>
      <c r="O550" s="5">
        <v>1</v>
      </c>
      <c r="P550" s="5" t="s">
        <v>43</v>
      </c>
      <c r="Q550" s="5">
        <v>12.99</v>
      </c>
      <c r="R550" s="5"/>
      <c r="S550" s="5"/>
      <c r="T550" s="5"/>
      <c r="U550" s="5"/>
      <c r="V550" s="5"/>
      <c r="W550" s="5"/>
      <c r="X550" s="5"/>
      <c r="Y550" s="5" t="s">
        <v>2757</v>
      </c>
      <c r="Z550" s="5" t="s">
        <v>218</v>
      </c>
      <c r="AA550" s="5">
        <v>21043</v>
      </c>
      <c r="AB550" s="5" t="s">
        <v>46</v>
      </c>
      <c r="AC550" s="5" t="s">
        <v>2060</v>
      </c>
      <c r="AD550" s="5" t="b">
        <v>0</v>
      </c>
      <c r="AE550" s="5"/>
      <c r="AF550" s="5"/>
      <c r="AG550" s="9">
        <f t="shared" si="8"/>
        <v>43272</v>
      </c>
    </row>
    <row r="551" s="6" customFormat="1" spans="1:33">
      <c r="A551" s="5" t="s">
        <v>2758</v>
      </c>
      <c r="B551" s="5" t="s">
        <v>2758</v>
      </c>
      <c r="C551" s="5" t="s">
        <v>2759</v>
      </c>
      <c r="D551" s="5" t="s">
        <v>2760</v>
      </c>
      <c r="E551" s="5" t="s">
        <v>36</v>
      </c>
      <c r="F551" s="5" t="s">
        <v>37</v>
      </c>
      <c r="G551" s="5" t="s">
        <v>38</v>
      </c>
      <c r="H551" s="5"/>
      <c r="I551" s="5"/>
      <c r="J551" s="5" t="s">
        <v>39</v>
      </c>
      <c r="K551" s="5" t="s">
        <v>50</v>
      </c>
      <c r="L551" s="5" t="s">
        <v>51</v>
      </c>
      <c r="M551" s="5" t="s">
        <v>52</v>
      </c>
      <c r="N551" s="5" t="s">
        <v>36</v>
      </c>
      <c r="O551" s="5">
        <v>1</v>
      </c>
      <c r="P551" s="5" t="s">
        <v>43</v>
      </c>
      <c r="Q551" s="5">
        <v>18.99</v>
      </c>
      <c r="R551" s="5"/>
      <c r="S551" s="5"/>
      <c r="T551" s="5"/>
      <c r="U551" s="5"/>
      <c r="V551" s="5"/>
      <c r="W551" s="5"/>
      <c r="X551" s="5"/>
      <c r="Y551" s="5" t="s">
        <v>1179</v>
      </c>
      <c r="Z551" s="5" t="s">
        <v>54</v>
      </c>
      <c r="AA551" s="5" t="s">
        <v>2761</v>
      </c>
      <c r="AB551" s="5" t="s">
        <v>46</v>
      </c>
      <c r="AC551" s="5"/>
      <c r="AD551" s="5" t="b">
        <v>0</v>
      </c>
      <c r="AE551" s="5"/>
      <c r="AF551" s="5"/>
      <c r="AG551" s="9">
        <f t="shared" si="8"/>
        <v>43272</v>
      </c>
    </row>
    <row r="552" s="6" customFormat="1" spans="1:33">
      <c r="A552" s="5" t="s">
        <v>2762</v>
      </c>
      <c r="B552" s="5" t="s">
        <v>2762</v>
      </c>
      <c r="C552" s="5" t="s">
        <v>2763</v>
      </c>
      <c r="D552" s="5" t="s">
        <v>2764</v>
      </c>
      <c r="E552" s="5" t="s">
        <v>36</v>
      </c>
      <c r="F552" s="5" t="s">
        <v>37</v>
      </c>
      <c r="G552" s="5" t="s">
        <v>38</v>
      </c>
      <c r="H552" s="5"/>
      <c r="I552" s="5"/>
      <c r="J552" s="5" t="s">
        <v>39</v>
      </c>
      <c r="K552" s="5" t="s">
        <v>147</v>
      </c>
      <c r="L552" s="5" t="s">
        <v>148</v>
      </c>
      <c r="M552" s="5" t="s">
        <v>149</v>
      </c>
      <c r="N552" s="5" t="s">
        <v>36</v>
      </c>
      <c r="O552" s="5">
        <v>1</v>
      </c>
      <c r="P552" s="5" t="s">
        <v>43</v>
      </c>
      <c r="Q552" s="5">
        <v>12.98</v>
      </c>
      <c r="R552" s="5">
        <v>1.17</v>
      </c>
      <c r="S552" s="5"/>
      <c r="T552" s="5"/>
      <c r="U552" s="5"/>
      <c r="V552" s="5"/>
      <c r="W552" s="5"/>
      <c r="X552" s="5"/>
      <c r="Y552" s="5" t="s">
        <v>2765</v>
      </c>
      <c r="Z552" s="5" t="s">
        <v>474</v>
      </c>
      <c r="AA552" s="5" t="s">
        <v>2766</v>
      </c>
      <c r="AB552" s="5" t="s">
        <v>46</v>
      </c>
      <c r="AC552" s="5"/>
      <c r="AD552" s="5" t="b">
        <v>0</v>
      </c>
      <c r="AE552" s="5"/>
      <c r="AF552" s="5"/>
      <c r="AG552" s="9">
        <f t="shared" si="8"/>
        <v>43272</v>
      </c>
    </row>
    <row r="553" s="6" customFormat="1" spans="1:33">
      <c r="A553" s="5" t="s">
        <v>2767</v>
      </c>
      <c r="B553" s="5" t="s">
        <v>2767</v>
      </c>
      <c r="C553" s="5" t="s">
        <v>2768</v>
      </c>
      <c r="D553" s="5" t="s">
        <v>2769</v>
      </c>
      <c r="E553" s="5" t="s">
        <v>36</v>
      </c>
      <c r="F553" s="5" t="s">
        <v>37</v>
      </c>
      <c r="G553" s="5" t="s">
        <v>38</v>
      </c>
      <c r="H553" s="5"/>
      <c r="I553" s="5"/>
      <c r="J553" s="5" t="s">
        <v>39</v>
      </c>
      <c r="K553" s="5" t="s">
        <v>101</v>
      </c>
      <c r="L553" s="5" t="s">
        <v>102</v>
      </c>
      <c r="M553" s="5" t="s">
        <v>103</v>
      </c>
      <c r="N553" s="5" t="s">
        <v>36</v>
      </c>
      <c r="O553" s="5">
        <v>1</v>
      </c>
      <c r="P553" s="5" t="s">
        <v>43</v>
      </c>
      <c r="Q553" s="5">
        <v>12.99</v>
      </c>
      <c r="R553" s="5"/>
      <c r="S553" s="5"/>
      <c r="T553" s="5"/>
      <c r="U553" s="5"/>
      <c r="V553" s="5"/>
      <c r="W553" s="5">
        <v>0.65</v>
      </c>
      <c r="X553" s="5"/>
      <c r="Y553" s="5" t="s">
        <v>2770</v>
      </c>
      <c r="Z553" s="5" t="s">
        <v>96</v>
      </c>
      <c r="AA553" s="5" t="s">
        <v>2771</v>
      </c>
      <c r="AB553" s="5" t="s">
        <v>46</v>
      </c>
      <c r="AC553" s="5" t="s">
        <v>115</v>
      </c>
      <c r="AD553" s="5" t="b">
        <v>0</v>
      </c>
      <c r="AE553" s="5"/>
      <c r="AF553" s="5"/>
      <c r="AG553" s="9">
        <f t="shared" si="8"/>
        <v>43272</v>
      </c>
    </row>
    <row r="554" s="6" customFormat="1" spans="1:33">
      <c r="A554" s="5" t="s">
        <v>2767</v>
      </c>
      <c r="B554" s="5" t="s">
        <v>2767</v>
      </c>
      <c r="C554" s="5" t="s">
        <v>2768</v>
      </c>
      <c r="D554" s="5" t="s">
        <v>2769</v>
      </c>
      <c r="E554" s="5" t="s">
        <v>36</v>
      </c>
      <c r="F554" s="5" t="s">
        <v>37</v>
      </c>
      <c r="G554" s="5" t="s">
        <v>38</v>
      </c>
      <c r="H554" s="5"/>
      <c r="I554" s="5"/>
      <c r="J554" s="5" t="s">
        <v>39</v>
      </c>
      <c r="K554" s="5" t="s">
        <v>75</v>
      </c>
      <c r="L554" s="5" t="s">
        <v>76</v>
      </c>
      <c r="M554" s="5" t="s">
        <v>77</v>
      </c>
      <c r="N554" s="5" t="s">
        <v>36</v>
      </c>
      <c r="O554" s="5">
        <v>1</v>
      </c>
      <c r="P554" s="5" t="s">
        <v>43</v>
      </c>
      <c r="Q554" s="5">
        <v>12.99</v>
      </c>
      <c r="R554" s="5"/>
      <c r="S554" s="5"/>
      <c r="T554" s="5"/>
      <c r="U554" s="5"/>
      <c r="V554" s="5"/>
      <c r="W554" s="5">
        <v>0.65</v>
      </c>
      <c r="X554" s="5"/>
      <c r="Y554" s="5" t="s">
        <v>2770</v>
      </c>
      <c r="Z554" s="5" t="s">
        <v>96</v>
      </c>
      <c r="AA554" s="5" t="s">
        <v>2771</v>
      </c>
      <c r="AB554" s="5" t="s">
        <v>46</v>
      </c>
      <c r="AC554" s="5" t="s">
        <v>115</v>
      </c>
      <c r="AD554" s="5" t="b">
        <v>0</v>
      </c>
      <c r="AE554" s="5"/>
      <c r="AF554" s="5"/>
      <c r="AG554" s="9">
        <f t="shared" si="8"/>
        <v>43272</v>
      </c>
    </row>
    <row r="555" s="6" customFormat="1" spans="1:33">
      <c r="A555" s="5" t="s">
        <v>2772</v>
      </c>
      <c r="B555" s="5" t="s">
        <v>2772</v>
      </c>
      <c r="C555" s="5" t="s">
        <v>2773</v>
      </c>
      <c r="D555" s="5" t="s">
        <v>2774</v>
      </c>
      <c r="E555" s="5" t="s">
        <v>36</v>
      </c>
      <c r="F555" s="5" t="s">
        <v>37</v>
      </c>
      <c r="G555" s="5" t="s">
        <v>38</v>
      </c>
      <c r="H555" s="5"/>
      <c r="I555" s="5"/>
      <c r="J555" s="5" t="s">
        <v>39</v>
      </c>
      <c r="K555" s="5" t="s">
        <v>193</v>
      </c>
      <c r="L555" s="5" t="s">
        <v>194</v>
      </c>
      <c r="M555" s="5" t="s">
        <v>195</v>
      </c>
      <c r="N555" s="5" t="s">
        <v>36</v>
      </c>
      <c r="O555" s="5">
        <v>1</v>
      </c>
      <c r="P555" s="5" t="s">
        <v>43</v>
      </c>
      <c r="Q555" s="5">
        <v>36.99</v>
      </c>
      <c r="R555" s="5"/>
      <c r="S555" s="5"/>
      <c r="T555" s="5"/>
      <c r="U555" s="5"/>
      <c r="V555" s="5"/>
      <c r="W555" s="5"/>
      <c r="X555" s="5"/>
      <c r="Y555" s="5" t="s">
        <v>122</v>
      </c>
      <c r="Z555" s="5" t="s">
        <v>123</v>
      </c>
      <c r="AA555" s="5" t="s">
        <v>2775</v>
      </c>
      <c r="AB555" s="5" t="s">
        <v>46</v>
      </c>
      <c r="AC555" s="5"/>
      <c r="AD555" s="5" t="b">
        <v>0</v>
      </c>
      <c r="AE555" s="5"/>
      <c r="AF555" s="5"/>
      <c r="AG555" s="9">
        <f t="shared" si="8"/>
        <v>43272</v>
      </c>
    </row>
    <row r="556" s="6" customFormat="1" spans="1:33">
      <c r="A556" s="5" t="s">
        <v>2776</v>
      </c>
      <c r="B556" s="5" t="s">
        <v>2776</v>
      </c>
      <c r="C556" s="5" t="s">
        <v>2777</v>
      </c>
      <c r="D556" s="5" t="s">
        <v>2778</v>
      </c>
      <c r="E556" s="5" t="s">
        <v>36</v>
      </c>
      <c r="F556" s="5" t="s">
        <v>37</v>
      </c>
      <c r="G556" s="5" t="s">
        <v>38</v>
      </c>
      <c r="H556" s="5"/>
      <c r="I556" s="5"/>
      <c r="J556" s="5" t="s">
        <v>39</v>
      </c>
      <c r="K556" s="5" t="s">
        <v>243</v>
      </c>
      <c r="L556" s="5" t="s">
        <v>244</v>
      </c>
      <c r="M556" s="5" t="s">
        <v>245</v>
      </c>
      <c r="N556" s="5" t="s">
        <v>36</v>
      </c>
      <c r="O556" s="5">
        <v>1</v>
      </c>
      <c r="P556" s="5" t="s">
        <v>43</v>
      </c>
      <c r="Q556" s="5">
        <v>18.99</v>
      </c>
      <c r="R556" s="5"/>
      <c r="S556" s="5"/>
      <c r="T556" s="5"/>
      <c r="U556" s="5"/>
      <c r="V556" s="5"/>
      <c r="W556" s="5"/>
      <c r="X556" s="5"/>
      <c r="Y556" s="5" t="s">
        <v>2779</v>
      </c>
      <c r="Z556" s="5" t="s">
        <v>247</v>
      </c>
      <c r="AA556" s="5">
        <v>77386</v>
      </c>
      <c r="AB556" s="5" t="s">
        <v>46</v>
      </c>
      <c r="AC556" s="5"/>
      <c r="AD556" s="5" t="b">
        <v>0</v>
      </c>
      <c r="AE556" s="5"/>
      <c r="AF556" s="5"/>
      <c r="AG556" s="9">
        <f t="shared" si="8"/>
        <v>43272</v>
      </c>
    </row>
    <row r="557" s="6" customFormat="1" spans="1:33">
      <c r="A557" s="5" t="s">
        <v>2780</v>
      </c>
      <c r="B557" s="5" t="s">
        <v>2780</v>
      </c>
      <c r="C557" s="5" t="s">
        <v>2781</v>
      </c>
      <c r="D557" s="5" t="s">
        <v>2782</v>
      </c>
      <c r="E557" s="5" t="s">
        <v>36</v>
      </c>
      <c r="F557" s="5" t="s">
        <v>37</v>
      </c>
      <c r="G557" s="5" t="s">
        <v>38</v>
      </c>
      <c r="H557" s="5"/>
      <c r="I557" s="5"/>
      <c r="J557" s="5" t="s">
        <v>39</v>
      </c>
      <c r="K557" s="5" t="s">
        <v>570</v>
      </c>
      <c r="L557" s="5" t="s">
        <v>578</v>
      </c>
      <c r="M557" s="5" t="s">
        <v>572</v>
      </c>
      <c r="N557" s="5" t="s">
        <v>36</v>
      </c>
      <c r="O557" s="5">
        <v>1</v>
      </c>
      <c r="P557" s="5" t="s">
        <v>43</v>
      </c>
      <c r="Q557" s="5">
        <v>24.99</v>
      </c>
      <c r="R557" s="5"/>
      <c r="S557" s="5"/>
      <c r="T557" s="5"/>
      <c r="U557" s="5"/>
      <c r="V557" s="5"/>
      <c r="W557" s="5"/>
      <c r="X557" s="5"/>
      <c r="Y557" s="5" t="s">
        <v>1169</v>
      </c>
      <c r="Z557" s="5" t="s">
        <v>142</v>
      </c>
      <c r="AA557" s="5" t="s">
        <v>1170</v>
      </c>
      <c r="AB557" s="5" t="s">
        <v>46</v>
      </c>
      <c r="AC557" s="5"/>
      <c r="AD557" s="5" t="b">
        <v>0</v>
      </c>
      <c r="AE557" s="5"/>
      <c r="AF557" s="5"/>
      <c r="AG557" s="9">
        <f t="shared" si="8"/>
        <v>43272</v>
      </c>
    </row>
    <row r="558" s="6" customFormat="1" spans="1:33">
      <c r="A558" s="5" t="s">
        <v>2783</v>
      </c>
      <c r="B558" s="5" t="s">
        <v>2783</v>
      </c>
      <c r="C558" s="5" t="s">
        <v>2784</v>
      </c>
      <c r="D558" s="5" t="s">
        <v>2785</v>
      </c>
      <c r="E558" s="5" t="s">
        <v>36</v>
      </c>
      <c r="F558" s="5" t="s">
        <v>37</v>
      </c>
      <c r="G558" s="5" t="s">
        <v>38</v>
      </c>
      <c r="H558" s="5"/>
      <c r="I558" s="5"/>
      <c r="J558" s="5" t="s">
        <v>128</v>
      </c>
      <c r="K558" s="5" t="s">
        <v>243</v>
      </c>
      <c r="L558" s="5" t="s">
        <v>244</v>
      </c>
      <c r="M558" s="5" t="s">
        <v>245</v>
      </c>
      <c r="N558" s="5" t="s">
        <v>36</v>
      </c>
      <c r="O558" s="5">
        <v>1</v>
      </c>
      <c r="P558" s="5" t="s">
        <v>43</v>
      </c>
      <c r="Q558" s="5">
        <v>18.99</v>
      </c>
      <c r="R558" s="5"/>
      <c r="S558" s="5">
        <v>5.99</v>
      </c>
      <c r="T558" s="5"/>
      <c r="U558" s="5"/>
      <c r="V558" s="5"/>
      <c r="W558" s="5"/>
      <c r="X558" s="5"/>
      <c r="Y558" s="5" t="s">
        <v>2786</v>
      </c>
      <c r="Z558" s="5" t="s">
        <v>606</v>
      </c>
      <c r="AA558" s="5" t="s">
        <v>2787</v>
      </c>
      <c r="AB558" s="5" t="s">
        <v>46</v>
      </c>
      <c r="AC558" s="5"/>
      <c r="AD558" s="5" t="b">
        <v>0</v>
      </c>
      <c r="AE558" s="5"/>
      <c r="AF558" s="5"/>
      <c r="AG558" s="9">
        <f t="shared" si="8"/>
        <v>43272</v>
      </c>
    </row>
    <row r="559" s="6" customFormat="1" spans="1:33">
      <c r="A559" s="5" t="s">
        <v>2788</v>
      </c>
      <c r="B559" s="5" t="s">
        <v>2788</v>
      </c>
      <c r="C559" s="5" t="s">
        <v>2789</v>
      </c>
      <c r="D559" s="5" t="s">
        <v>2790</v>
      </c>
      <c r="E559" s="5" t="s">
        <v>614</v>
      </c>
      <c r="F559" s="5" t="s">
        <v>37</v>
      </c>
      <c r="G559" s="5" t="s">
        <v>38</v>
      </c>
      <c r="H559" s="5"/>
      <c r="I559" s="5"/>
      <c r="J559" s="5" t="s">
        <v>128</v>
      </c>
      <c r="K559" s="5" t="s">
        <v>201</v>
      </c>
      <c r="L559" s="5" t="s">
        <v>202</v>
      </c>
      <c r="M559" s="5" t="s">
        <v>203</v>
      </c>
      <c r="N559" s="5" t="s">
        <v>614</v>
      </c>
      <c r="O559" s="5">
        <v>0</v>
      </c>
      <c r="P559" s="5"/>
      <c r="Q559" s="5"/>
      <c r="R559" s="5"/>
      <c r="S559" s="5"/>
      <c r="T559" s="5"/>
      <c r="U559" s="5"/>
      <c r="V559" s="5"/>
      <c r="W559" s="5"/>
      <c r="X559" s="5"/>
      <c r="Y559" s="5" t="s">
        <v>2791</v>
      </c>
      <c r="Z559" s="5" t="s">
        <v>732</v>
      </c>
      <c r="AA559" s="5" t="s">
        <v>2792</v>
      </c>
      <c r="AB559" s="5" t="s">
        <v>46</v>
      </c>
      <c r="AC559" s="5"/>
      <c r="AD559" s="5" t="b">
        <v>0</v>
      </c>
      <c r="AE559" s="5"/>
      <c r="AF559" s="5"/>
      <c r="AG559" s="9">
        <f t="shared" si="8"/>
        <v>43272</v>
      </c>
    </row>
    <row r="560" s="6" customFormat="1" spans="1:33">
      <c r="A560" s="5" t="s">
        <v>2793</v>
      </c>
      <c r="B560" s="5" t="s">
        <v>2793</v>
      </c>
      <c r="C560" s="5" t="s">
        <v>2794</v>
      </c>
      <c r="D560" s="5" t="s">
        <v>2795</v>
      </c>
      <c r="E560" s="5" t="s">
        <v>36</v>
      </c>
      <c r="F560" s="5" t="s">
        <v>37</v>
      </c>
      <c r="G560" s="5" t="s">
        <v>38</v>
      </c>
      <c r="H560" s="5"/>
      <c r="I560" s="5"/>
      <c r="J560" s="5" t="s">
        <v>39</v>
      </c>
      <c r="K560" s="5" t="s">
        <v>1999</v>
      </c>
      <c r="L560" s="5" t="s">
        <v>2000</v>
      </c>
      <c r="M560" s="5" t="s">
        <v>2001</v>
      </c>
      <c r="N560" s="5" t="s">
        <v>36</v>
      </c>
      <c r="O560" s="5">
        <v>1</v>
      </c>
      <c r="P560" s="5" t="s">
        <v>43</v>
      </c>
      <c r="Q560" s="5">
        <v>18.99</v>
      </c>
      <c r="R560" s="5"/>
      <c r="S560" s="5"/>
      <c r="T560" s="5"/>
      <c r="U560" s="5"/>
      <c r="V560" s="5"/>
      <c r="W560" s="5"/>
      <c r="X560" s="5"/>
      <c r="Y560" s="5" t="s">
        <v>2796</v>
      </c>
      <c r="Z560" s="5" t="s">
        <v>247</v>
      </c>
      <c r="AA560" s="5" t="s">
        <v>2797</v>
      </c>
      <c r="AB560" s="5" t="s">
        <v>46</v>
      </c>
      <c r="AC560" s="5"/>
      <c r="AD560" s="5" t="b">
        <v>0</v>
      </c>
      <c r="AE560" s="5"/>
      <c r="AF560" s="5"/>
      <c r="AG560" s="9">
        <f t="shared" si="8"/>
        <v>43272</v>
      </c>
    </row>
    <row r="561" s="6" customFormat="1" spans="1:33">
      <c r="A561" s="5" t="s">
        <v>2798</v>
      </c>
      <c r="B561" s="5" t="s">
        <v>2798</v>
      </c>
      <c r="C561" s="5" t="s">
        <v>2799</v>
      </c>
      <c r="D561" s="5" t="s">
        <v>2800</v>
      </c>
      <c r="E561" s="5" t="s">
        <v>36</v>
      </c>
      <c r="F561" s="5" t="s">
        <v>37</v>
      </c>
      <c r="G561" s="5" t="s">
        <v>38</v>
      </c>
      <c r="H561" s="5"/>
      <c r="I561" s="5"/>
      <c r="J561" s="5" t="s">
        <v>287</v>
      </c>
      <c r="K561" s="5" t="s">
        <v>119</v>
      </c>
      <c r="L561" s="5" t="s">
        <v>2099</v>
      </c>
      <c r="M561" s="5" t="s">
        <v>121</v>
      </c>
      <c r="N561" s="5" t="s">
        <v>36</v>
      </c>
      <c r="O561" s="5">
        <v>1</v>
      </c>
      <c r="P561" s="5" t="s">
        <v>43</v>
      </c>
      <c r="Q561" s="5">
        <v>24.99</v>
      </c>
      <c r="R561" s="5"/>
      <c r="S561" s="5">
        <v>3.99</v>
      </c>
      <c r="T561" s="5"/>
      <c r="U561" s="5"/>
      <c r="V561" s="5"/>
      <c r="W561" s="5"/>
      <c r="X561" s="5">
        <v>3.99</v>
      </c>
      <c r="Y561" s="5" t="s">
        <v>2801</v>
      </c>
      <c r="Z561" s="5" t="s">
        <v>1039</v>
      </c>
      <c r="AA561" s="5" t="s">
        <v>2802</v>
      </c>
      <c r="AB561" s="5" t="s">
        <v>46</v>
      </c>
      <c r="AC561" s="5"/>
      <c r="AD561" s="5" t="b">
        <v>0</v>
      </c>
      <c r="AE561" s="5"/>
      <c r="AF561" s="5"/>
      <c r="AG561" s="9">
        <f t="shared" si="8"/>
        <v>43272</v>
      </c>
    </row>
    <row r="562" s="6" customFormat="1" spans="1:33">
      <c r="A562" s="5" t="s">
        <v>2803</v>
      </c>
      <c r="B562" s="5" t="s">
        <v>2803</v>
      </c>
      <c r="C562" s="5" t="s">
        <v>2804</v>
      </c>
      <c r="D562" s="5" t="s">
        <v>2805</v>
      </c>
      <c r="E562" s="5" t="s">
        <v>36</v>
      </c>
      <c r="F562" s="5" t="s">
        <v>37</v>
      </c>
      <c r="G562" s="5" t="s">
        <v>38</v>
      </c>
      <c r="H562" s="5"/>
      <c r="I562" s="5"/>
      <c r="J562" s="5" t="s">
        <v>39</v>
      </c>
      <c r="K562" s="5" t="s">
        <v>278</v>
      </c>
      <c r="L562" s="5" t="s">
        <v>279</v>
      </c>
      <c r="M562" s="5" t="s">
        <v>280</v>
      </c>
      <c r="N562" s="5" t="s">
        <v>36</v>
      </c>
      <c r="O562" s="5">
        <v>1</v>
      </c>
      <c r="P562" s="5" t="s">
        <v>43</v>
      </c>
      <c r="Q562" s="5">
        <v>24.99</v>
      </c>
      <c r="R562" s="5"/>
      <c r="S562" s="5"/>
      <c r="T562" s="5"/>
      <c r="U562" s="5"/>
      <c r="V562" s="5"/>
      <c r="W562" s="5"/>
      <c r="X562" s="5"/>
      <c r="Y562" s="5" t="s">
        <v>2806</v>
      </c>
      <c r="Z562" s="5" t="s">
        <v>54</v>
      </c>
      <c r="AA562" s="5">
        <v>92071</v>
      </c>
      <c r="AB562" s="5" t="s">
        <v>46</v>
      </c>
      <c r="AC562" s="5"/>
      <c r="AD562" s="5" t="b">
        <v>0</v>
      </c>
      <c r="AE562" s="5"/>
      <c r="AF562" s="5"/>
      <c r="AG562" s="9">
        <f t="shared" si="8"/>
        <v>43272</v>
      </c>
    </row>
    <row r="563" s="6" customFormat="1" spans="1:33">
      <c r="A563" s="5" t="s">
        <v>2807</v>
      </c>
      <c r="B563" s="5" t="s">
        <v>2807</v>
      </c>
      <c r="C563" s="5" t="s">
        <v>2808</v>
      </c>
      <c r="D563" s="5" t="s">
        <v>2809</v>
      </c>
      <c r="E563" s="5" t="s">
        <v>36</v>
      </c>
      <c r="F563" s="5" t="s">
        <v>37</v>
      </c>
      <c r="G563" s="5" t="s">
        <v>38</v>
      </c>
      <c r="H563" s="5"/>
      <c r="I563" s="5"/>
      <c r="J563" s="5" t="s">
        <v>128</v>
      </c>
      <c r="K563" s="5" t="s">
        <v>459</v>
      </c>
      <c r="L563" s="5" t="s">
        <v>460</v>
      </c>
      <c r="M563" s="5" t="s">
        <v>461</v>
      </c>
      <c r="N563" s="5" t="s">
        <v>36</v>
      </c>
      <c r="O563" s="5">
        <v>1</v>
      </c>
      <c r="P563" s="5" t="s">
        <v>43</v>
      </c>
      <c r="Q563" s="5">
        <v>15.98</v>
      </c>
      <c r="R563" s="5"/>
      <c r="S563" s="5">
        <v>2.82</v>
      </c>
      <c r="T563" s="5"/>
      <c r="U563" s="5"/>
      <c r="V563" s="5"/>
      <c r="W563" s="5"/>
      <c r="X563" s="5">
        <v>2.82</v>
      </c>
      <c r="Y563" s="5" t="s">
        <v>1571</v>
      </c>
      <c r="Z563" s="5" t="s">
        <v>1050</v>
      </c>
      <c r="AA563" s="5" t="s">
        <v>2810</v>
      </c>
      <c r="AB563" s="5" t="s">
        <v>46</v>
      </c>
      <c r="AC563" s="5" t="s">
        <v>225</v>
      </c>
      <c r="AD563" s="5" t="b">
        <v>0</v>
      </c>
      <c r="AE563" s="5"/>
      <c r="AF563" s="5"/>
      <c r="AG563" s="9">
        <f t="shared" si="8"/>
        <v>43272</v>
      </c>
    </row>
    <row r="564" s="6" customFormat="1" spans="1:33">
      <c r="A564" s="5" t="s">
        <v>2807</v>
      </c>
      <c r="B564" s="5" t="s">
        <v>2807</v>
      </c>
      <c r="C564" s="5" t="s">
        <v>2808</v>
      </c>
      <c r="D564" s="5" t="s">
        <v>2809</v>
      </c>
      <c r="E564" s="5" t="s">
        <v>36</v>
      </c>
      <c r="F564" s="5" t="s">
        <v>37</v>
      </c>
      <c r="G564" s="5" t="s">
        <v>38</v>
      </c>
      <c r="H564" s="5"/>
      <c r="I564" s="5"/>
      <c r="J564" s="5" t="s">
        <v>128</v>
      </c>
      <c r="K564" s="5" t="s">
        <v>325</v>
      </c>
      <c r="L564" s="5" t="s">
        <v>326</v>
      </c>
      <c r="M564" s="5" t="s">
        <v>327</v>
      </c>
      <c r="N564" s="5" t="s">
        <v>36</v>
      </c>
      <c r="O564" s="5">
        <v>1</v>
      </c>
      <c r="P564" s="5" t="s">
        <v>43</v>
      </c>
      <c r="Q564" s="5">
        <v>10</v>
      </c>
      <c r="R564" s="5"/>
      <c r="S564" s="5">
        <v>2.82</v>
      </c>
      <c r="T564" s="5"/>
      <c r="U564" s="5"/>
      <c r="V564" s="5"/>
      <c r="W564" s="5"/>
      <c r="X564" s="5">
        <v>2.82</v>
      </c>
      <c r="Y564" s="5" t="s">
        <v>1571</v>
      </c>
      <c r="Z564" s="5" t="s">
        <v>1050</v>
      </c>
      <c r="AA564" s="5" t="s">
        <v>2810</v>
      </c>
      <c r="AB564" s="5" t="s">
        <v>46</v>
      </c>
      <c r="AC564" s="5" t="s">
        <v>225</v>
      </c>
      <c r="AD564" s="5" t="b">
        <v>0</v>
      </c>
      <c r="AE564" s="5"/>
      <c r="AF564" s="5"/>
      <c r="AG564" s="9">
        <f t="shared" si="8"/>
        <v>43272</v>
      </c>
    </row>
    <row r="565" s="6" customFormat="1" spans="1:33">
      <c r="A565" s="5" t="s">
        <v>2811</v>
      </c>
      <c r="B565" s="5" t="s">
        <v>2811</v>
      </c>
      <c r="C565" s="5" t="s">
        <v>2812</v>
      </c>
      <c r="D565" s="5" t="s">
        <v>2813</v>
      </c>
      <c r="E565" s="5" t="s">
        <v>36</v>
      </c>
      <c r="F565" s="5" t="s">
        <v>37</v>
      </c>
      <c r="G565" s="5" t="s">
        <v>38</v>
      </c>
      <c r="H565" s="5"/>
      <c r="I565" s="5"/>
      <c r="J565" s="5" t="s">
        <v>39</v>
      </c>
      <c r="K565" s="5" t="s">
        <v>243</v>
      </c>
      <c r="L565" s="5" t="s">
        <v>244</v>
      </c>
      <c r="M565" s="5" t="s">
        <v>245</v>
      </c>
      <c r="N565" s="5" t="s">
        <v>36</v>
      </c>
      <c r="O565" s="5">
        <v>1</v>
      </c>
      <c r="P565" s="5" t="s">
        <v>43</v>
      </c>
      <c r="Q565" s="5">
        <v>18.99</v>
      </c>
      <c r="R565" s="5"/>
      <c r="S565" s="5"/>
      <c r="T565" s="5"/>
      <c r="U565" s="5"/>
      <c r="V565" s="5"/>
      <c r="W565" s="5"/>
      <c r="X565" s="5"/>
      <c r="Y565" s="5" t="s">
        <v>536</v>
      </c>
      <c r="Z565" s="5" t="s">
        <v>247</v>
      </c>
      <c r="AA565" s="5" t="s">
        <v>2814</v>
      </c>
      <c r="AB565" s="5" t="s">
        <v>46</v>
      </c>
      <c r="AC565" s="5"/>
      <c r="AD565" s="5" t="b">
        <v>0</v>
      </c>
      <c r="AE565" s="5"/>
      <c r="AF565" s="5"/>
      <c r="AG565" s="9">
        <f t="shared" si="8"/>
        <v>43272</v>
      </c>
    </row>
    <row r="566" s="6" customFormat="1" spans="1:33">
      <c r="A566" s="5" t="s">
        <v>2815</v>
      </c>
      <c r="B566" s="5" t="s">
        <v>2815</v>
      </c>
      <c r="C566" s="5" t="s">
        <v>2816</v>
      </c>
      <c r="D566" s="5" t="s">
        <v>2817</v>
      </c>
      <c r="E566" s="5" t="s">
        <v>36</v>
      </c>
      <c r="F566" s="5" t="s">
        <v>37</v>
      </c>
      <c r="G566" s="5" t="s">
        <v>38</v>
      </c>
      <c r="H566" s="5"/>
      <c r="I566" s="5"/>
      <c r="J566" s="5" t="s">
        <v>39</v>
      </c>
      <c r="K566" s="5" t="s">
        <v>243</v>
      </c>
      <c r="L566" s="5" t="s">
        <v>244</v>
      </c>
      <c r="M566" s="5" t="s">
        <v>245</v>
      </c>
      <c r="N566" s="5" t="s">
        <v>36</v>
      </c>
      <c r="O566" s="5">
        <v>1</v>
      </c>
      <c r="P566" s="5" t="s">
        <v>43</v>
      </c>
      <c r="Q566" s="5">
        <v>18.99</v>
      </c>
      <c r="R566" s="5"/>
      <c r="S566" s="5"/>
      <c r="T566" s="5"/>
      <c r="U566" s="5"/>
      <c r="V566" s="5"/>
      <c r="W566" s="5"/>
      <c r="X566" s="5"/>
      <c r="Y566" s="5" t="s">
        <v>2818</v>
      </c>
      <c r="Z566" s="5" t="s">
        <v>142</v>
      </c>
      <c r="AA566" s="5" t="s">
        <v>2819</v>
      </c>
      <c r="AB566" s="5" t="s">
        <v>46</v>
      </c>
      <c r="AC566" s="5"/>
      <c r="AD566" s="5" t="b">
        <v>0</v>
      </c>
      <c r="AE566" s="5"/>
      <c r="AF566" s="5"/>
      <c r="AG566" s="9">
        <f t="shared" si="8"/>
        <v>43272</v>
      </c>
    </row>
    <row r="567" s="6" customFormat="1" spans="1:33">
      <c r="A567" s="5" t="s">
        <v>2820</v>
      </c>
      <c r="B567" s="5" t="s">
        <v>2820</v>
      </c>
      <c r="C567" s="5" t="s">
        <v>2821</v>
      </c>
      <c r="D567" s="5" t="s">
        <v>2822</v>
      </c>
      <c r="E567" s="5" t="s">
        <v>36</v>
      </c>
      <c r="F567" s="5" t="s">
        <v>37</v>
      </c>
      <c r="G567" s="5" t="s">
        <v>38</v>
      </c>
      <c r="H567" s="5"/>
      <c r="I567" s="5"/>
      <c r="J567" s="5" t="s">
        <v>39</v>
      </c>
      <c r="K567" s="5" t="s">
        <v>147</v>
      </c>
      <c r="L567" s="5" t="s">
        <v>148</v>
      </c>
      <c r="M567" s="5" t="s">
        <v>149</v>
      </c>
      <c r="N567" s="5" t="s">
        <v>36</v>
      </c>
      <c r="O567" s="5">
        <v>1</v>
      </c>
      <c r="P567" s="5" t="s">
        <v>43</v>
      </c>
      <c r="Q567" s="5">
        <v>12.98</v>
      </c>
      <c r="R567" s="5"/>
      <c r="S567" s="5"/>
      <c r="T567" s="5"/>
      <c r="U567" s="5"/>
      <c r="V567" s="5"/>
      <c r="W567" s="5"/>
      <c r="X567" s="5"/>
      <c r="Y567" s="5" t="s">
        <v>2823</v>
      </c>
      <c r="Z567" s="5" t="s">
        <v>247</v>
      </c>
      <c r="AA567" s="5" t="s">
        <v>2824</v>
      </c>
      <c r="AB567" s="5" t="s">
        <v>46</v>
      </c>
      <c r="AC567" s="5"/>
      <c r="AD567" s="5" t="b">
        <v>0</v>
      </c>
      <c r="AE567" s="5"/>
      <c r="AF567" s="5"/>
      <c r="AG567" s="9">
        <f t="shared" si="8"/>
        <v>43272</v>
      </c>
    </row>
    <row r="568" s="6" customFormat="1" spans="1:33">
      <c r="A568" s="5" t="s">
        <v>2825</v>
      </c>
      <c r="B568" s="5" t="s">
        <v>2825</v>
      </c>
      <c r="C568" s="5" t="s">
        <v>2826</v>
      </c>
      <c r="D568" s="5" t="s">
        <v>2827</v>
      </c>
      <c r="E568" s="5" t="s">
        <v>614</v>
      </c>
      <c r="F568" s="5" t="s">
        <v>37</v>
      </c>
      <c r="G568" s="5" t="s">
        <v>38</v>
      </c>
      <c r="H568" s="5"/>
      <c r="I568" s="5"/>
      <c r="J568" s="5" t="s">
        <v>39</v>
      </c>
      <c r="K568" s="5" t="s">
        <v>243</v>
      </c>
      <c r="L568" s="5" t="s">
        <v>244</v>
      </c>
      <c r="M568" s="5" t="s">
        <v>245</v>
      </c>
      <c r="N568" s="5" t="s">
        <v>614</v>
      </c>
      <c r="O568" s="5">
        <v>0</v>
      </c>
      <c r="P568" s="5"/>
      <c r="Q568" s="5"/>
      <c r="R568" s="5"/>
      <c r="S568" s="5"/>
      <c r="T568" s="5"/>
      <c r="U568" s="5"/>
      <c r="V568" s="5"/>
      <c r="W568" s="5"/>
      <c r="X568" s="5"/>
      <c r="Y568" s="5" t="s">
        <v>2818</v>
      </c>
      <c r="Z568" s="5" t="s">
        <v>142</v>
      </c>
      <c r="AA568" s="5" t="s">
        <v>2819</v>
      </c>
      <c r="AB568" s="5" t="s">
        <v>46</v>
      </c>
      <c r="AC568" s="5"/>
      <c r="AD568" s="5" t="b">
        <v>0</v>
      </c>
      <c r="AE568" s="5"/>
      <c r="AF568" s="5"/>
      <c r="AG568" s="9">
        <f t="shared" si="8"/>
        <v>43272</v>
      </c>
    </row>
    <row r="569" s="6" customFormat="1" spans="1:33">
      <c r="A569" s="5" t="s">
        <v>2828</v>
      </c>
      <c r="B569" s="5" t="s">
        <v>2828</v>
      </c>
      <c r="C569" s="5" t="s">
        <v>2829</v>
      </c>
      <c r="D569" s="5" t="s">
        <v>2830</v>
      </c>
      <c r="E569" s="5" t="s">
        <v>36</v>
      </c>
      <c r="F569" s="5" t="s">
        <v>37</v>
      </c>
      <c r="G569" s="5" t="s">
        <v>38</v>
      </c>
      <c r="H569" s="5"/>
      <c r="I569" s="5"/>
      <c r="J569" s="5" t="s">
        <v>39</v>
      </c>
      <c r="K569" s="5" t="s">
        <v>2197</v>
      </c>
      <c r="L569" s="5" t="s">
        <v>2198</v>
      </c>
      <c r="M569" s="5" t="s">
        <v>2199</v>
      </c>
      <c r="N569" s="5" t="s">
        <v>36</v>
      </c>
      <c r="O569" s="5">
        <v>1</v>
      </c>
      <c r="P569" s="5" t="s">
        <v>43</v>
      </c>
      <c r="Q569" s="5">
        <v>24.99</v>
      </c>
      <c r="R569" s="5"/>
      <c r="S569" s="5"/>
      <c r="T569" s="5"/>
      <c r="U569" s="5"/>
      <c r="V569" s="5"/>
      <c r="W569" s="5"/>
      <c r="X569" s="5"/>
      <c r="Y569" s="5" t="s">
        <v>2831</v>
      </c>
      <c r="Z569" s="5" t="s">
        <v>391</v>
      </c>
      <c r="AA569" s="5" t="s">
        <v>2832</v>
      </c>
      <c r="AB569" s="5" t="s">
        <v>46</v>
      </c>
      <c r="AC569" s="5"/>
      <c r="AD569" s="5" t="b">
        <v>0</v>
      </c>
      <c r="AE569" s="5"/>
      <c r="AF569" s="5"/>
      <c r="AG569" s="9">
        <f t="shared" si="8"/>
        <v>43272</v>
      </c>
    </row>
    <row r="570" s="6" customFormat="1" spans="1:33">
      <c r="A570" s="5" t="s">
        <v>2833</v>
      </c>
      <c r="B570" s="5" t="s">
        <v>2833</v>
      </c>
      <c r="C570" s="5" t="s">
        <v>2834</v>
      </c>
      <c r="D570" s="5" t="s">
        <v>2835</v>
      </c>
      <c r="E570" s="5" t="s">
        <v>36</v>
      </c>
      <c r="F570" s="5" t="s">
        <v>37</v>
      </c>
      <c r="G570" s="5" t="s">
        <v>38</v>
      </c>
      <c r="H570" s="5"/>
      <c r="I570" s="5"/>
      <c r="J570" s="5" t="s">
        <v>39</v>
      </c>
      <c r="K570" s="5" t="s">
        <v>147</v>
      </c>
      <c r="L570" s="5" t="s">
        <v>148</v>
      </c>
      <c r="M570" s="5" t="s">
        <v>149</v>
      </c>
      <c r="N570" s="5" t="s">
        <v>36</v>
      </c>
      <c r="O570" s="5">
        <v>1</v>
      </c>
      <c r="P570" s="5" t="s">
        <v>43</v>
      </c>
      <c r="Q570" s="5">
        <v>12.98</v>
      </c>
      <c r="R570" s="5">
        <v>0.78</v>
      </c>
      <c r="S570" s="5"/>
      <c r="T570" s="5"/>
      <c r="U570" s="5"/>
      <c r="V570" s="5"/>
      <c r="W570" s="5"/>
      <c r="X570" s="5"/>
      <c r="Y570" s="5" t="s">
        <v>254</v>
      </c>
      <c r="Z570" s="5" t="s">
        <v>255</v>
      </c>
      <c r="AA570" s="5" t="s">
        <v>2836</v>
      </c>
      <c r="AB570" s="5" t="s">
        <v>46</v>
      </c>
      <c r="AC570" s="5"/>
      <c r="AD570" s="5" t="b">
        <v>0</v>
      </c>
      <c r="AE570" s="5"/>
      <c r="AF570" s="5"/>
      <c r="AG570" s="9">
        <f t="shared" si="8"/>
        <v>43272</v>
      </c>
    </row>
    <row r="571" s="6" customFormat="1" spans="1:33">
      <c r="A571" s="5" t="s">
        <v>2837</v>
      </c>
      <c r="B571" s="5" t="s">
        <v>2837</v>
      </c>
      <c r="C571" s="5" t="s">
        <v>2838</v>
      </c>
      <c r="D571" s="5" t="s">
        <v>2839</v>
      </c>
      <c r="E571" s="5" t="s">
        <v>36</v>
      </c>
      <c r="F571" s="5" t="s">
        <v>37</v>
      </c>
      <c r="G571" s="5" t="s">
        <v>38</v>
      </c>
      <c r="H571" s="5"/>
      <c r="I571" s="5"/>
      <c r="J571" s="5" t="s">
        <v>39</v>
      </c>
      <c r="K571" s="5" t="s">
        <v>201</v>
      </c>
      <c r="L571" s="5" t="s">
        <v>202</v>
      </c>
      <c r="M571" s="5" t="s">
        <v>203</v>
      </c>
      <c r="N571" s="5" t="s">
        <v>36</v>
      </c>
      <c r="O571" s="5">
        <v>1</v>
      </c>
      <c r="P571" s="5" t="s">
        <v>43</v>
      </c>
      <c r="Q571" s="5">
        <v>18.99</v>
      </c>
      <c r="R571" s="5"/>
      <c r="S571" s="5"/>
      <c r="T571" s="5"/>
      <c r="U571" s="5"/>
      <c r="V571" s="5"/>
      <c r="W571" s="5"/>
      <c r="X571" s="5"/>
      <c r="Y571" s="5" t="s">
        <v>2840</v>
      </c>
      <c r="Z571" s="5" t="s">
        <v>923</v>
      </c>
      <c r="AA571" s="5" t="s">
        <v>2841</v>
      </c>
      <c r="AB571" s="5" t="s">
        <v>46</v>
      </c>
      <c r="AC571" s="5"/>
      <c r="AD571" s="5" t="b">
        <v>0</v>
      </c>
      <c r="AE571" s="5"/>
      <c r="AF571" s="5"/>
      <c r="AG571" s="9">
        <f t="shared" si="8"/>
        <v>43272</v>
      </c>
    </row>
    <row r="572" s="6" customFormat="1" spans="1:33">
      <c r="A572" s="5" t="s">
        <v>2842</v>
      </c>
      <c r="B572" s="5" t="s">
        <v>2842</v>
      </c>
      <c r="C572" s="5" t="s">
        <v>2843</v>
      </c>
      <c r="D572" s="5" t="s">
        <v>2844</v>
      </c>
      <c r="E572" s="5" t="s">
        <v>36</v>
      </c>
      <c r="F572" s="5" t="s">
        <v>37</v>
      </c>
      <c r="G572" s="5" t="s">
        <v>38</v>
      </c>
      <c r="H572" s="5"/>
      <c r="I572" s="5"/>
      <c r="J572" s="5" t="s">
        <v>39</v>
      </c>
      <c r="K572" s="5" t="s">
        <v>243</v>
      </c>
      <c r="L572" s="5" t="s">
        <v>244</v>
      </c>
      <c r="M572" s="5" t="s">
        <v>245</v>
      </c>
      <c r="N572" s="5" t="s">
        <v>36</v>
      </c>
      <c r="O572" s="5">
        <v>1</v>
      </c>
      <c r="P572" s="5" t="s">
        <v>43</v>
      </c>
      <c r="Q572" s="5">
        <v>18.99</v>
      </c>
      <c r="R572" s="5"/>
      <c r="S572" s="5"/>
      <c r="T572" s="5"/>
      <c r="U572" s="5"/>
      <c r="V572" s="5"/>
      <c r="W572" s="5"/>
      <c r="X572" s="5"/>
      <c r="Y572" s="5" t="s">
        <v>2845</v>
      </c>
      <c r="Z572" s="5" t="s">
        <v>391</v>
      </c>
      <c r="AA572" s="5" t="s">
        <v>2846</v>
      </c>
      <c r="AB572" s="5" t="s">
        <v>46</v>
      </c>
      <c r="AC572" s="5"/>
      <c r="AD572" s="5" t="b">
        <v>0</v>
      </c>
      <c r="AE572" s="5"/>
      <c r="AF572" s="5"/>
      <c r="AG572" s="9">
        <f t="shared" si="8"/>
        <v>43272</v>
      </c>
    </row>
    <row r="573" s="6" customFormat="1" spans="1:33">
      <c r="A573" s="5" t="s">
        <v>2847</v>
      </c>
      <c r="B573" s="5" t="s">
        <v>2847</v>
      </c>
      <c r="C573" s="5" t="s">
        <v>2848</v>
      </c>
      <c r="D573" s="5" t="s">
        <v>2849</v>
      </c>
      <c r="E573" s="5" t="s">
        <v>36</v>
      </c>
      <c r="F573" s="5" t="s">
        <v>37</v>
      </c>
      <c r="G573" s="5" t="s">
        <v>38</v>
      </c>
      <c r="H573" s="5"/>
      <c r="I573" s="5"/>
      <c r="J573" s="5" t="s">
        <v>39</v>
      </c>
      <c r="K573" s="5" t="s">
        <v>533</v>
      </c>
      <c r="L573" s="5" t="s">
        <v>1048</v>
      </c>
      <c r="M573" s="5" t="s">
        <v>535</v>
      </c>
      <c r="N573" s="5" t="s">
        <v>36</v>
      </c>
      <c r="O573" s="5">
        <v>1</v>
      </c>
      <c r="P573" s="5" t="s">
        <v>43</v>
      </c>
      <c r="Q573" s="5">
        <v>24.99</v>
      </c>
      <c r="R573" s="5"/>
      <c r="S573" s="5"/>
      <c r="T573" s="5"/>
      <c r="U573" s="5"/>
      <c r="V573" s="5"/>
      <c r="W573" s="5"/>
      <c r="X573" s="5"/>
      <c r="Y573" s="5" t="s">
        <v>1817</v>
      </c>
      <c r="Z573" s="5" t="s">
        <v>247</v>
      </c>
      <c r="AA573" s="5">
        <v>75068</v>
      </c>
      <c r="AB573" s="5" t="s">
        <v>46</v>
      </c>
      <c r="AC573" s="5"/>
      <c r="AD573" s="5" t="b">
        <v>0</v>
      </c>
      <c r="AE573" s="5"/>
      <c r="AF573" s="5"/>
      <c r="AG573" s="9">
        <f t="shared" si="8"/>
        <v>43272</v>
      </c>
    </row>
    <row r="574" s="6" customFormat="1" spans="1:33">
      <c r="A574" s="5" t="s">
        <v>2850</v>
      </c>
      <c r="B574" s="5" t="s">
        <v>2850</v>
      </c>
      <c r="C574" s="5" t="s">
        <v>2851</v>
      </c>
      <c r="D574" s="5" t="s">
        <v>2852</v>
      </c>
      <c r="E574" s="5" t="s">
        <v>36</v>
      </c>
      <c r="F574" s="5" t="s">
        <v>37</v>
      </c>
      <c r="G574" s="5" t="s">
        <v>38</v>
      </c>
      <c r="H574" s="5"/>
      <c r="I574" s="5"/>
      <c r="J574" s="5" t="s">
        <v>39</v>
      </c>
      <c r="K574" s="5" t="s">
        <v>75</v>
      </c>
      <c r="L574" s="5" t="s">
        <v>76</v>
      </c>
      <c r="M574" s="5" t="s">
        <v>77</v>
      </c>
      <c r="N574" s="5" t="s">
        <v>36</v>
      </c>
      <c r="O574" s="5">
        <v>1</v>
      </c>
      <c r="P574" s="5" t="s">
        <v>43</v>
      </c>
      <c r="Q574" s="5">
        <v>12.99</v>
      </c>
      <c r="R574" s="5"/>
      <c r="S574" s="5"/>
      <c r="T574" s="5"/>
      <c r="U574" s="5"/>
      <c r="V574" s="5"/>
      <c r="W574" s="5"/>
      <c r="X574" s="5"/>
      <c r="Y574" s="5" t="s">
        <v>2853</v>
      </c>
      <c r="Z574" s="5" t="s">
        <v>151</v>
      </c>
      <c r="AA574" s="5" t="s">
        <v>2854</v>
      </c>
      <c r="AB574" s="5" t="s">
        <v>46</v>
      </c>
      <c r="AC574" s="5"/>
      <c r="AD574" s="5" t="b">
        <v>0</v>
      </c>
      <c r="AE574" s="5"/>
      <c r="AF574" s="5"/>
      <c r="AG574" s="9">
        <f t="shared" si="8"/>
        <v>43272</v>
      </c>
    </row>
    <row r="575" s="6" customFormat="1" spans="1:33">
      <c r="A575" s="5" t="s">
        <v>2855</v>
      </c>
      <c r="B575" s="5" t="s">
        <v>2855</v>
      </c>
      <c r="C575" s="5" t="s">
        <v>2856</v>
      </c>
      <c r="D575" s="5" t="s">
        <v>2857</v>
      </c>
      <c r="E575" s="5" t="s">
        <v>36</v>
      </c>
      <c r="F575" s="5" t="s">
        <v>37</v>
      </c>
      <c r="G575" s="5" t="s">
        <v>38</v>
      </c>
      <c r="H575" s="5"/>
      <c r="I575" s="5"/>
      <c r="J575" s="5" t="s">
        <v>39</v>
      </c>
      <c r="K575" s="5" t="s">
        <v>243</v>
      </c>
      <c r="L575" s="5" t="s">
        <v>244</v>
      </c>
      <c r="M575" s="5" t="s">
        <v>245</v>
      </c>
      <c r="N575" s="5" t="s">
        <v>36</v>
      </c>
      <c r="O575" s="5">
        <v>1</v>
      </c>
      <c r="P575" s="5" t="s">
        <v>43</v>
      </c>
      <c r="Q575" s="5">
        <v>18.99</v>
      </c>
      <c r="R575" s="5"/>
      <c r="S575" s="5"/>
      <c r="T575" s="5"/>
      <c r="U575" s="5"/>
      <c r="V575" s="5"/>
      <c r="W575" s="5"/>
      <c r="X575" s="5"/>
      <c r="Y575" s="5" t="s">
        <v>454</v>
      </c>
      <c r="Z575" s="5" t="s">
        <v>142</v>
      </c>
      <c r="AA575" s="5" t="s">
        <v>2858</v>
      </c>
      <c r="AB575" s="5" t="s">
        <v>46</v>
      </c>
      <c r="AC575" s="5"/>
      <c r="AD575" s="5" t="b">
        <v>0</v>
      </c>
      <c r="AE575" s="5"/>
      <c r="AF575" s="5"/>
      <c r="AG575" s="9">
        <f t="shared" si="8"/>
        <v>43272</v>
      </c>
    </row>
    <row r="576" s="6" customFormat="1" spans="1:33">
      <c r="A576" s="5" t="s">
        <v>2859</v>
      </c>
      <c r="B576" s="5" t="s">
        <v>2859</v>
      </c>
      <c r="C576" s="5" t="s">
        <v>2860</v>
      </c>
      <c r="D576" s="5" t="s">
        <v>2861</v>
      </c>
      <c r="E576" s="5" t="s">
        <v>36</v>
      </c>
      <c r="F576" s="5" t="s">
        <v>37</v>
      </c>
      <c r="G576" s="5" t="s">
        <v>38</v>
      </c>
      <c r="H576" s="5"/>
      <c r="I576" s="5"/>
      <c r="J576" s="5" t="s">
        <v>39</v>
      </c>
      <c r="K576" s="5" t="s">
        <v>2862</v>
      </c>
      <c r="L576" s="5" t="s">
        <v>2863</v>
      </c>
      <c r="M576" s="5" t="s">
        <v>2864</v>
      </c>
      <c r="N576" s="5" t="s">
        <v>36</v>
      </c>
      <c r="O576" s="5">
        <v>1</v>
      </c>
      <c r="P576" s="5" t="s">
        <v>43</v>
      </c>
      <c r="Q576" s="5">
        <v>12</v>
      </c>
      <c r="R576" s="5"/>
      <c r="S576" s="5"/>
      <c r="T576" s="5"/>
      <c r="U576" s="5"/>
      <c r="V576" s="5"/>
      <c r="W576" s="5"/>
      <c r="X576" s="5"/>
      <c r="Y576" s="5" t="s">
        <v>2865</v>
      </c>
      <c r="Z576" s="5" t="s">
        <v>87</v>
      </c>
      <c r="AA576" s="5" t="s">
        <v>2866</v>
      </c>
      <c r="AB576" s="5" t="s">
        <v>46</v>
      </c>
      <c r="AC576" s="5"/>
      <c r="AD576" s="5" t="b">
        <v>0</v>
      </c>
      <c r="AE576" s="5"/>
      <c r="AF576" s="5"/>
      <c r="AG576" s="9">
        <f t="shared" si="8"/>
        <v>43272</v>
      </c>
    </row>
    <row r="577" s="6" customFormat="1" spans="1:33">
      <c r="A577" s="5" t="s">
        <v>2867</v>
      </c>
      <c r="B577" s="5" t="s">
        <v>2867</v>
      </c>
      <c r="C577" s="5" t="s">
        <v>2868</v>
      </c>
      <c r="D577" s="5" t="s">
        <v>2869</v>
      </c>
      <c r="E577" s="5" t="s">
        <v>36</v>
      </c>
      <c r="F577" s="5" t="s">
        <v>37</v>
      </c>
      <c r="G577" s="5" t="s">
        <v>38</v>
      </c>
      <c r="H577" s="5"/>
      <c r="I577" s="5"/>
      <c r="J577" s="5" t="s">
        <v>39</v>
      </c>
      <c r="K577" s="5" t="s">
        <v>514</v>
      </c>
      <c r="L577" s="5" t="s">
        <v>515</v>
      </c>
      <c r="M577" s="5" t="s">
        <v>516</v>
      </c>
      <c r="N577" s="5" t="s">
        <v>36</v>
      </c>
      <c r="O577" s="5">
        <v>1</v>
      </c>
      <c r="P577" s="5" t="s">
        <v>43</v>
      </c>
      <c r="Q577" s="5">
        <v>14.98</v>
      </c>
      <c r="R577" s="5"/>
      <c r="S577" s="5"/>
      <c r="T577" s="5"/>
      <c r="U577" s="5"/>
      <c r="V577" s="5"/>
      <c r="W577" s="5"/>
      <c r="X577" s="5"/>
      <c r="Y577" s="5" t="s">
        <v>2870</v>
      </c>
      <c r="Z577" s="5" t="s">
        <v>264</v>
      </c>
      <c r="AA577" s="5" t="s">
        <v>2871</v>
      </c>
      <c r="AB577" s="5" t="s">
        <v>46</v>
      </c>
      <c r="AC577" s="5"/>
      <c r="AD577" s="5" t="b">
        <v>0</v>
      </c>
      <c r="AE577" s="5"/>
      <c r="AF577" s="5"/>
      <c r="AG577" s="9">
        <f t="shared" si="8"/>
        <v>43272</v>
      </c>
    </row>
    <row r="578" s="6" customFormat="1" spans="1:33">
      <c r="A578" s="5" t="s">
        <v>2872</v>
      </c>
      <c r="B578" s="5" t="s">
        <v>2872</v>
      </c>
      <c r="C578" s="5" t="s">
        <v>2873</v>
      </c>
      <c r="D578" s="5" t="s">
        <v>2874</v>
      </c>
      <c r="E578" s="5" t="s">
        <v>36</v>
      </c>
      <c r="F578" s="5" t="s">
        <v>37</v>
      </c>
      <c r="G578" s="5" t="s">
        <v>38</v>
      </c>
      <c r="H578" s="5"/>
      <c r="I578" s="5"/>
      <c r="J578" s="5" t="s">
        <v>39</v>
      </c>
      <c r="K578" s="5" t="s">
        <v>75</v>
      </c>
      <c r="L578" s="5" t="s">
        <v>76</v>
      </c>
      <c r="M578" s="5" t="s">
        <v>77</v>
      </c>
      <c r="N578" s="5" t="s">
        <v>36</v>
      </c>
      <c r="O578" s="5">
        <v>1</v>
      </c>
      <c r="P578" s="5" t="s">
        <v>43</v>
      </c>
      <c r="Q578" s="5">
        <v>12.99</v>
      </c>
      <c r="R578" s="5"/>
      <c r="S578" s="5"/>
      <c r="T578" s="5"/>
      <c r="U578" s="5"/>
      <c r="V578" s="5"/>
      <c r="W578" s="5"/>
      <c r="X578" s="5"/>
      <c r="Y578" s="5" t="s">
        <v>2875</v>
      </c>
      <c r="Z578" s="5" t="s">
        <v>2876</v>
      </c>
      <c r="AA578" s="5">
        <v>13039</v>
      </c>
      <c r="AB578" s="5" t="s">
        <v>46</v>
      </c>
      <c r="AC578" s="5"/>
      <c r="AD578" s="5" t="b">
        <v>0</v>
      </c>
      <c r="AE578" s="5"/>
      <c r="AF578" s="5"/>
      <c r="AG578" s="9">
        <f t="shared" ref="AG578:AG641" si="9">DATEVALUE(LEFT(C578,10))</f>
        <v>43272</v>
      </c>
    </row>
    <row r="579" s="6" customFormat="1" spans="1:33">
      <c r="A579" s="5" t="s">
        <v>2877</v>
      </c>
      <c r="B579" s="5" t="s">
        <v>2877</v>
      </c>
      <c r="C579" s="5" t="s">
        <v>2878</v>
      </c>
      <c r="D579" s="5" t="s">
        <v>2879</v>
      </c>
      <c r="E579" s="5" t="s">
        <v>36</v>
      </c>
      <c r="F579" s="5" t="s">
        <v>37</v>
      </c>
      <c r="G579" s="5" t="s">
        <v>38</v>
      </c>
      <c r="H579" s="5"/>
      <c r="I579" s="5"/>
      <c r="J579" s="5" t="s">
        <v>39</v>
      </c>
      <c r="K579" s="5" t="s">
        <v>365</v>
      </c>
      <c r="L579" s="5" t="s">
        <v>366</v>
      </c>
      <c r="M579" s="5" t="s">
        <v>367</v>
      </c>
      <c r="N579" s="5" t="s">
        <v>36</v>
      </c>
      <c r="O579" s="5">
        <v>1</v>
      </c>
      <c r="P579" s="5" t="s">
        <v>43</v>
      </c>
      <c r="Q579" s="5">
        <v>18.99</v>
      </c>
      <c r="R579" s="5"/>
      <c r="S579" s="5"/>
      <c r="T579" s="5"/>
      <c r="U579" s="5"/>
      <c r="V579" s="5"/>
      <c r="W579" s="5">
        <v>0.95</v>
      </c>
      <c r="X579" s="5"/>
      <c r="Y579" s="5" t="s">
        <v>2880</v>
      </c>
      <c r="Z579" s="5" t="s">
        <v>105</v>
      </c>
      <c r="AA579" s="5" t="s">
        <v>2881</v>
      </c>
      <c r="AB579" s="5" t="s">
        <v>46</v>
      </c>
      <c r="AC579" s="5" t="s">
        <v>115</v>
      </c>
      <c r="AD579" s="5" t="b">
        <v>0</v>
      </c>
      <c r="AE579" s="5"/>
      <c r="AF579" s="5"/>
      <c r="AG579" s="9">
        <f t="shared" si="9"/>
        <v>43272</v>
      </c>
    </row>
    <row r="580" s="6" customFormat="1" spans="1:33">
      <c r="A580" s="5" t="s">
        <v>2877</v>
      </c>
      <c r="B580" s="5" t="s">
        <v>2877</v>
      </c>
      <c r="C580" s="5" t="s">
        <v>2878</v>
      </c>
      <c r="D580" s="5" t="s">
        <v>2879</v>
      </c>
      <c r="E580" s="5" t="s">
        <v>36</v>
      </c>
      <c r="F580" s="5" t="s">
        <v>37</v>
      </c>
      <c r="G580" s="5" t="s">
        <v>38</v>
      </c>
      <c r="H580" s="5"/>
      <c r="I580" s="5"/>
      <c r="J580" s="5" t="s">
        <v>39</v>
      </c>
      <c r="K580" s="5" t="s">
        <v>387</v>
      </c>
      <c r="L580" s="5" t="s">
        <v>388</v>
      </c>
      <c r="M580" s="5" t="s">
        <v>389</v>
      </c>
      <c r="N580" s="5" t="s">
        <v>36</v>
      </c>
      <c r="O580" s="5">
        <v>1</v>
      </c>
      <c r="P580" s="5" t="s">
        <v>43</v>
      </c>
      <c r="Q580" s="5">
        <v>18.99</v>
      </c>
      <c r="R580" s="5"/>
      <c r="S580" s="5"/>
      <c r="T580" s="5"/>
      <c r="U580" s="5"/>
      <c r="V580" s="5"/>
      <c r="W580" s="5">
        <v>0.95</v>
      </c>
      <c r="X580" s="5"/>
      <c r="Y580" s="5" t="s">
        <v>2880</v>
      </c>
      <c r="Z580" s="5" t="s">
        <v>105</v>
      </c>
      <c r="AA580" s="5" t="s">
        <v>2881</v>
      </c>
      <c r="AB580" s="5" t="s">
        <v>46</v>
      </c>
      <c r="AC580" s="5" t="s">
        <v>115</v>
      </c>
      <c r="AD580" s="5" t="b">
        <v>0</v>
      </c>
      <c r="AE580" s="5"/>
      <c r="AF580" s="5"/>
      <c r="AG580" s="9">
        <f t="shared" si="9"/>
        <v>43272</v>
      </c>
    </row>
    <row r="581" s="6" customFormat="1" spans="1:33">
      <c r="A581" s="5" t="s">
        <v>2877</v>
      </c>
      <c r="B581" s="5" t="s">
        <v>2877</v>
      </c>
      <c r="C581" s="5" t="s">
        <v>2878</v>
      </c>
      <c r="D581" s="5" t="s">
        <v>2879</v>
      </c>
      <c r="E581" s="5" t="s">
        <v>36</v>
      </c>
      <c r="F581" s="5" t="s">
        <v>37</v>
      </c>
      <c r="G581" s="5" t="s">
        <v>38</v>
      </c>
      <c r="H581" s="5"/>
      <c r="I581" s="5"/>
      <c r="J581" s="5" t="s">
        <v>39</v>
      </c>
      <c r="K581" s="5" t="s">
        <v>50</v>
      </c>
      <c r="L581" s="5" t="s">
        <v>51</v>
      </c>
      <c r="M581" s="5" t="s">
        <v>52</v>
      </c>
      <c r="N581" s="5" t="s">
        <v>36</v>
      </c>
      <c r="O581" s="5">
        <v>1</v>
      </c>
      <c r="P581" s="5" t="s">
        <v>43</v>
      </c>
      <c r="Q581" s="5">
        <v>18.99</v>
      </c>
      <c r="R581" s="5"/>
      <c r="S581" s="5"/>
      <c r="T581" s="5"/>
      <c r="U581" s="5"/>
      <c r="V581" s="5"/>
      <c r="W581" s="5">
        <v>0.95</v>
      </c>
      <c r="X581" s="5"/>
      <c r="Y581" s="5" t="s">
        <v>2880</v>
      </c>
      <c r="Z581" s="5" t="s">
        <v>105</v>
      </c>
      <c r="AA581" s="5" t="s">
        <v>2881</v>
      </c>
      <c r="AB581" s="5" t="s">
        <v>46</v>
      </c>
      <c r="AC581" s="5" t="s">
        <v>115</v>
      </c>
      <c r="AD581" s="5" t="b">
        <v>0</v>
      </c>
      <c r="AE581" s="5"/>
      <c r="AF581" s="5"/>
      <c r="AG581" s="9">
        <f t="shared" si="9"/>
        <v>43272</v>
      </c>
    </row>
    <row r="582" s="6" customFormat="1" spans="1:33">
      <c r="A582" s="5" t="s">
        <v>2882</v>
      </c>
      <c r="B582" s="5" t="s">
        <v>2882</v>
      </c>
      <c r="C582" s="5" t="s">
        <v>2883</v>
      </c>
      <c r="D582" s="5" t="s">
        <v>2884</v>
      </c>
      <c r="E582" s="5" t="s">
        <v>36</v>
      </c>
      <c r="F582" s="5" t="s">
        <v>37</v>
      </c>
      <c r="G582" s="5" t="s">
        <v>38</v>
      </c>
      <c r="H582" s="5"/>
      <c r="I582" s="5"/>
      <c r="J582" s="5" t="s">
        <v>39</v>
      </c>
      <c r="K582" s="5" t="s">
        <v>75</v>
      </c>
      <c r="L582" s="5" t="s">
        <v>76</v>
      </c>
      <c r="M582" s="5" t="s">
        <v>77</v>
      </c>
      <c r="N582" s="5" t="s">
        <v>36</v>
      </c>
      <c r="O582" s="5">
        <v>1</v>
      </c>
      <c r="P582" s="5" t="s">
        <v>43</v>
      </c>
      <c r="Q582" s="5">
        <v>12.99</v>
      </c>
      <c r="R582" s="5"/>
      <c r="S582" s="5"/>
      <c r="T582" s="5"/>
      <c r="U582" s="5"/>
      <c r="V582" s="5"/>
      <c r="W582" s="5"/>
      <c r="X582" s="5"/>
      <c r="Y582" s="5" t="s">
        <v>630</v>
      </c>
      <c r="Z582" s="5" t="s">
        <v>631</v>
      </c>
      <c r="AA582" s="5" t="s">
        <v>1752</v>
      </c>
      <c r="AB582" s="5" t="s">
        <v>46</v>
      </c>
      <c r="AC582" s="5"/>
      <c r="AD582" s="5" t="b">
        <v>0</v>
      </c>
      <c r="AE582" s="5"/>
      <c r="AF582" s="5"/>
      <c r="AG582" s="9">
        <f t="shared" si="9"/>
        <v>43272</v>
      </c>
    </row>
    <row r="583" s="6" customFormat="1" spans="1:33">
      <c r="A583" s="5" t="s">
        <v>2885</v>
      </c>
      <c r="B583" s="5" t="s">
        <v>2885</v>
      </c>
      <c r="C583" s="5" t="s">
        <v>2886</v>
      </c>
      <c r="D583" s="5" t="s">
        <v>2887</v>
      </c>
      <c r="E583" s="5" t="s">
        <v>36</v>
      </c>
      <c r="F583" s="5" t="s">
        <v>37</v>
      </c>
      <c r="G583" s="5" t="s">
        <v>38</v>
      </c>
      <c r="H583" s="5"/>
      <c r="I583" s="5"/>
      <c r="J583" s="5" t="s">
        <v>39</v>
      </c>
      <c r="K583" s="5" t="s">
        <v>110</v>
      </c>
      <c r="L583" s="5" t="s">
        <v>111</v>
      </c>
      <c r="M583" s="5" t="s">
        <v>112</v>
      </c>
      <c r="N583" s="5" t="s">
        <v>36</v>
      </c>
      <c r="O583" s="5">
        <v>1</v>
      </c>
      <c r="P583" s="5" t="s">
        <v>43</v>
      </c>
      <c r="Q583" s="5">
        <v>12.99</v>
      </c>
      <c r="R583" s="5"/>
      <c r="S583" s="5"/>
      <c r="T583" s="5"/>
      <c r="U583" s="5"/>
      <c r="V583" s="5"/>
      <c r="W583" s="5"/>
      <c r="X583" s="5"/>
      <c r="Y583" s="5" t="s">
        <v>2888</v>
      </c>
      <c r="Z583" s="5" t="s">
        <v>649</v>
      </c>
      <c r="AA583" s="5" t="s">
        <v>2889</v>
      </c>
      <c r="AB583" s="5" t="s">
        <v>46</v>
      </c>
      <c r="AC583" s="5"/>
      <c r="AD583" s="5" t="b">
        <v>0</v>
      </c>
      <c r="AE583" s="5"/>
      <c r="AF583" s="5"/>
      <c r="AG583" s="9">
        <f t="shared" si="9"/>
        <v>43272</v>
      </c>
    </row>
    <row r="584" s="6" customFormat="1" spans="1:33">
      <c r="A584" s="5" t="s">
        <v>2890</v>
      </c>
      <c r="B584" s="5" t="s">
        <v>2890</v>
      </c>
      <c r="C584" s="5" t="s">
        <v>2891</v>
      </c>
      <c r="D584" s="5" t="s">
        <v>2892</v>
      </c>
      <c r="E584" s="5" t="s">
        <v>36</v>
      </c>
      <c r="F584" s="5" t="s">
        <v>37</v>
      </c>
      <c r="G584" s="5" t="s">
        <v>38</v>
      </c>
      <c r="H584" s="5"/>
      <c r="I584" s="5"/>
      <c r="J584" s="5" t="s">
        <v>287</v>
      </c>
      <c r="K584" s="5" t="s">
        <v>533</v>
      </c>
      <c r="L584" s="5" t="s">
        <v>1048</v>
      </c>
      <c r="M584" s="5" t="s">
        <v>535</v>
      </c>
      <c r="N584" s="5" t="s">
        <v>36</v>
      </c>
      <c r="O584" s="5">
        <v>1</v>
      </c>
      <c r="P584" s="5" t="s">
        <v>43</v>
      </c>
      <c r="Q584" s="5">
        <v>24.99</v>
      </c>
      <c r="R584" s="5">
        <v>2.15</v>
      </c>
      <c r="S584" s="5">
        <v>2.99</v>
      </c>
      <c r="T584" s="5"/>
      <c r="U584" s="5"/>
      <c r="V584" s="5"/>
      <c r="W584" s="5"/>
      <c r="X584" s="5">
        <v>2.99</v>
      </c>
      <c r="Y584" s="5" t="s">
        <v>1599</v>
      </c>
      <c r="Z584" s="5" t="s">
        <v>474</v>
      </c>
      <c r="AA584" s="5" t="s">
        <v>2893</v>
      </c>
      <c r="AB584" s="5" t="s">
        <v>46</v>
      </c>
      <c r="AC584" s="5"/>
      <c r="AD584" s="5" t="b">
        <v>0</v>
      </c>
      <c r="AE584" s="5"/>
      <c r="AF584" s="5"/>
      <c r="AG584" s="9">
        <f t="shared" si="9"/>
        <v>43272</v>
      </c>
    </row>
    <row r="585" s="6" customFormat="1" spans="1:33">
      <c r="A585" s="5" t="s">
        <v>2894</v>
      </c>
      <c r="B585" s="5" t="s">
        <v>2894</v>
      </c>
      <c r="C585" s="5" t="s">
        <v>2895</v>
      </c>
      <c r="D585" s="5" t="s">
        <v>2896</v>
      </c>
      <c r="E585" s="5" t="s">
        <v>36</v>
      </c>
      <c r="F585" s="5" t="s">
        <v>37</v>
      </c>
      <c r="G585" s="5" t="s">
        <v>38</v>
      </c>
      <c r="H585" s="5"/>
      <c r="I585" s="5"/>
      <c r="J585" s="5" t="s">
        <v>39</v>
      </c>
      <c r="K585" s="5" t="s">
        <v>147</v>
      </c>
      <c r="L585" s="5" t="s">
        <v>148</v>
      </c>
      <c r="M585" s="5" t="s">
        <v>149</v>
      </c>
      <c r="N585" s="5" t="s">
        <v>36</v>
      </c>
      <c r="O585" s="5">
        <v>1</v>
      </c>
      <c r="P585" s="5" t="s">
        <v>43</v>
      </c>
      <c r="Q585" s="5">
        <v>12.98</v>
      </c>
      <c r="R585" s="5"/>
      <c r="S585" s="5"/>
      <c r="T585" s="5"/>
      <c r="U585" s="5"/>
      <c r="V585" s="5"/>
      <c r="W585" s="5"/>
      <c r="X585" s="5"/>
      <c r="Y585" s="5" t="s">
        <v>2897</v>
      </c>
      <c r="Z585" s="5" t="s">
        <v>96</v>
      </c>
      <c r="AA585" s="5" t="s">
        <v>2898</v>
      </c>
      <c r="AB585" s="5" t="s">
        <v>46</v>
      </c>
      <c r="AC585" s="5"/>
      <c r="AD585" s="5" t="b">
        <v>0</v>
      </c>
      <c r="AE585" s="5"/>
      <c r="AF585" s="5"/>
      <c r="AG585" s="9">
        <f t="shared" si="9"/>
        <v>43272</v>
      </c>
    </row>
    <row r="586" s="6" customFormat="1" spans="1:33">
      <c r="A586" s="5" t="s">
        <v>2899</v>
      </c>
      <c r="B586" s="5" t="s">
        <v>2899</v>
      </c>
      <c r="C586" s="5" t="s">
        <v>2900</v>
      </c>
      <c r="D586" s="5" t="s">
        <v>2901</v>
      </c>
      <c r="E586" s="5" t="s">
        <v>36</v>
      </c>
      <c r="F586" s="5" t="s">
        <v>37</v>
      </c>
      <c r="G586" s="5" t="s">
        <v>38</v>
      </c>
      <c r="H586" s="5"/>
      <c r="I586" s="5"/>
      <c r="J586" s="5" t="s">
        <v>39</v>
      </c>
      <c r="K586" s="5" t="s">
        <v>711</v>
      </c>
      <c r="L586" s="5" t="s">
        <v>712</v>
      </c>
      <c r="M586" s="5" t="s">
        <v>713</v>
      </c>
      <c r="N586" s="5" t="s">
        <v>36</v>
      </c>
      <c r="O586" s="5">
        <v>1</v>
      </c>
      <c r="P586" s="5" t="s">
        <v>43</v>
      </c>
      <c r="Q586" s="5">
        <v>16.98</v>
      </c>
      <c r="R586" s="5"/>
      <c r="S586" s="5"/>
      <c r="T586" s="5"/>
      <c r="U586" s="5"/>
      <c r="V586" s="5"/>
      <c r="W586" s="5"/>
      <c r="X586" s="5"/>
      <c r="Y586" s="5" t="s">
        <v>2902</v>
      </c>
      <c r="Z586" s="5" t="s">
        <v>756</v>
      </c>
      <c r="AA586" s="5">
        <v>21793</v>
      </c>
      <c r="AB586" s="5" t="s">
        <v>46</v>
      </c>
      <c r="AC586" s="5"/>
      <c r="AD586" s="5" t="b">
        <v>0</v>
      </c>
      <c r="AE586" s="5"/>
      <c r="AF586" s="5"/>
      <c r="AG586" s="9">
        <f t="shared" si="9"/>
        <v>43272</v>
      </c>
    </row>
    <row r="587" s="6" customFormat="1" spans="1:33">
      <c r="A587" s="5" t="s">
        <v>2903</v>
      </c>
      <c r="B587" s="5" t="s">
        <v>2903</v>
      </c>
      <c r="C587" s="5" t="s">
        <v>2904</v>
      </c>
      <c r="D587" s="5" t="s">
        <v>2905</v>
      </c>
      <c r="E587" s="5" t="s">
        <v>36</v>
      </c>
      <c r="F587" s="5" t="s">
        <v>37</v>
      </c>
      <c r="G587" s="5" t="s">
        <v>38</v>
      </c>
      <c r="H587" s="5"/>
      <c r="I587" s="5"/>
      <c r="J587" s="5" t="s">
        <v>39</v>
      </c>
      <c r="K587" s="5" t="s">
        <v>147</v>
      </c>
      <c r="L587" s="5" t="s">
        <v>148</v>
      </c>
      <c r="M587" s="5" t="s">
        <v>149</v>
      </c>
      <c r="N587" s="5" t="s">
        <v>36</v>
      </c>
      <c r="O587" s="5">
        <v>1</v>
      </c>
      <c r="P587" s="5" t="s">
        <v>43</v>
      </c>
      <c r="Q587" s="5">
        <v>12.98</v>
      </c>
      <c r="R587" s="5"/>
      <c r="S587" s="5"/>
      <c r="T587" s="5"/>
      <c r="U587" s="5"/>
      <c r="V587" s="5"/>
      <c r="W587" s="5"/>
      <c r="X587" s="5"/>
      <c r="Y587" s="5" t="s">
        <v>2906</v>
      </c>
      <c r="Z587" s="5" t="s">
        <v>247</v>
      </c>
      <c r="AA587" s="5" t="s">
        <v>2907</v>
      </c>
      <c r="AB587" s="5" t="s">
        <v>46</v>
      </c>
      <c r="AC587" s="5"/>
      <c r="AD587" s="5" t="b">
        <v>0</v>
      </c>
      <c r="AE587" s="5"/>
      <c r="AF587" s="5"/>
      <c r="AG587" s="9">
        <f t="shared" si="9"/>
        <v>43272</v>
      </c>
    </row>
    <row r="588" s="6" customFormat="1" spans="1:33">
      <c r="A588" s="5" t="s">
        <v>2908</v>
      </c>
      <c r="B588" s="5" t="s">
        <v>2908</v>
      </c>
      <c r="C588" s="5" t="s">
        <v>2909</v>
      </c>
      <c r="D588" s="5" t="s">
        <v>2910</v>
      </c>
      <c r="E588" s="5" t="s">
        <v>36</v>
      </c>
      <c r="F588" s="5" t="s">
        <v>37</v>
      </c>
      <c r="G588" s="5" t="s">
        <v>38</v>
      </c>
      <c r="H588" s="5"/>
      <c r="I588" s="5"/>
      <c r="J588" s="5" t="s">
        <v>39</v>
      </c>
      <c r="K588" s="5" t="s">
        <v>243</v>
      </c>
      <c r="L588" s="5" t="s">
        <v>244</v>
      </c>
      <c r="M588" s="5" t="s">
        <v>245</v>
      </c>
      <c r="N588" s="5" t="s">
        <v>36</v>
      </c>
      <c r="O588" s="5">
        <v>1</v>
      </c>
      <c r="P588" s="5" t="s">
        <v>43</v>
      </c>
      <c r="Q588" s="5">
        <v>18.99</v>
      </c>
      <c r="R588" s="5"/>
      <c r="S588" s="5"/>
      <c r="T588" s="5"/>
      <c r="U588" s="5"/>
      <c r="V588" s="5"/>
      <c r="W588" s="5"/>
      <c r="X588" s="5"/>
      <c r="Y588" s="5" t="s">
        <v>2911</v>
      </c>
      <c r="Z588" s="5" t="s">
        <v>377</v>
      </c>
      <c r="AA588" s="5" t="s">
        <v>2912</v>
      </c>
      <c r="AB588" s="5" t="s">
        <v>46</v>
      </c>
      <c r="AC588" s="5"/>
      <c r="AD588" s="5" t="b">
        <v>0</v>
      </c>
      <c r="AE588" s="5"/>
      <c r="AF588" s="5"/>
      <c r="AG588" s="9">
        <f t="shared" si="9"/>
        <v>43272</v>
      </c>
    </row>
    <row r="589" s="6" customFormat="1" spans="1:33">
      <c r="A589" s="5" t="s">
        <v>2913</v>
      </c>
      <c r="B589" s="5" t="s">
        <v>2913</v>
      </c>
      <c r="C589" s="5" t="s">
        <v>2914</v>
      </c>
      <c r="D589" s="5" t="s">
        <v>2915</v>
      </c>
      <c r="E589" s="5" t="s">
        <v>36</v>
      </c>
      <c r="F589" s="5" t="s">
        <v>37</v>
      </c>
      <c r="G589" s="5" t="s">
        <v>38</v>
      </c>
      <c r="H589" s="5"/>
      <c r="I589" s="5"/>
      <c r="J589" s="5" t="s">
        <v>39</v>
      </c>
      <c r="K589" s="5" t="s">
        <v>365</v>
      </c>
      <c r="L589" s="5" t="s">
        <v>366</v>
      </c>
      <c r="M589" s="5" t="s">
        <v>367</v>
      </c>
      <c r="N589" s="5" t="s">
        <v>36</v>
      </c>
      <c r="O589" s="5">
        <v>1</v>
      </c>
      <c r="P589" s="5" t="s">
        <v>43</v>
      </c>
      <c r="Q589" s="5">
        <v>18.99</v>
      </c>
      <c r="R589" s="5"/>
      <c r="S589" s="5"/>
      <c r="T589" s="5"/>
      <c r="U589" s="5"/>
      <c r="V589" s="5"/>
      <c r="W589" s="5">
        <v>0.95</v>
      </c>
      <c r="X589" s="5"/>
      <c r="Y589" s="5" t="s">
        <v>1604</v>
      </c>
      <c r="Z589" s="5" t="s">
        <v>238</v>
      </c>
      <c r="AA589" s="5" t="s">
        <v>1605</v>
      </c>
      <c r="AB589" s="5" t="s">
        <v>46</v>
      </c>
      <c r="AC589" s="5" t="s">
        <v>115</v>
      </c>
      <c r="AD589" s="5" t="b">
        <v>0</v>
      </c>
      <c r="AE589" s="5"/>
      <c r="AF589" s="5"/>
      <c r="AG589" s="9">
        <f t="shared" si="9"/>
        <v>43272</v>
      </c>
    </row>
    <row r="590" s="6" customFormat="1" spans="1:33">
      <c r="A590" s="5" t="s">
        <v>2916</v>
      </c>
      <c r="B590" s="5" t="s">
        <v>2916</v>
      </c>
      <c r="C590" s="5" t="s">
        <v>2914</v>
      </c>
      <c r="D590" s="5" t="s">
        <v>2917</v>
      </c>
      <c r="E590" s="5" t="s">
        <v>36</v>
      </c>
      <c r="F590" s="5" t="s">
        <v>37</v>
      </c>
      <c r="G590" s="5" t="s">
        <v>38</v>
      </c>
      <c r="H590" s="5"/>
      <c r="I590" s="5"/>
      <c r="J590" s="5" t="s">
        <v>39</v>
      </c>
      <c r="K590" s="5" t="s">
        <v>147</v>
      </c>
      <c r="L590" s="5" t="s">
        <v>148</v>
      </c>
      <c r="M590" s="5" t="s">
        <v>149</v>
      </c>
      <c r="N590" s="5" t="s">
        <v>36</v>
      </c>
      <c r="O590" s="5">
        <v>1</v>
      </c>
      <c r="P590" s="5" t="s">
        <v>43</v>
      </c>
      <c r="Q590" s="5">
        <v>12.98</v>
      </c>
      <c r="R590" s="5"/>
      <c r="S590" s="5"/>
      <c r="T590" s="5"/>
      <c r="U590" s="5"/>
      <c r="V590" s="5"/>
      <c r="W590" s="5">
        <v>0.65</v>
      </c>
      <c r="X590" s="5"/>
      <c r="Y590" s="5" t="s">
        <v>1604</v>
      </c>
      <c r="Z590" s="5" t="s">
        <v>238</v>
      </c>
      <c r="AA590" s="5" t="s">
        <v>1605</v>
      </c>
      <c r="AB590" s="5" t="s">
        <v>46</v>
      </c>
      <c r="AC590" s="5" t="s">
        <v>115</v>
      </c>
      <c r="AD590" s="5" t="b">
        <v>0</v>
      </c>
      <c r="AE590" s="5"/>
      <c r="AF590" s="5"/>
      <c r="AG590" s="9">
        <f t="shared" si="9"/>
        <v>43272</v>
      </c>
    </row>
    <row r="591" s="6" customFormat="1" spans="1:33">
      <c r="A591" s="5" t="s">
        <v>2918</v>
      </c>
      <c r="B591" s="5" t="s">
        <v>2918</v>
      </c>
      <c r="C591" s="5" t="s">
        <v>2919</v>
      </c>
      <c r="D591" s="5" t="s">
        <v>2920</v>
      </c>
      <c r="E591" s="5" t="s">
        <v>36</v>
      </c>
      <c r="F591" s="5" t="s">
        <v>37</v>
      </c>
      <c r="G591" s="5" t="s">
        <v>38</v>
      </c>
      <c r="H591" s="5"/>
      <c r="I591" s="5"/>
      <c r="J591" s="5" t="s">
        <v>39</v>
      </c>
      <c r="K591" s="5" t="s">
        <v>409</v>
      </c>
      <c r="L591" s="5" t="s">
        <v>410</v>
      </c>
      <c r="M591" s="5" t="s">
        <v>411</v>
      </c>
      <c r="N591" s="5" t="s">
        <v>36</v>
      </c>
      <c r="O591" s="5">
        <v>1</v>
      </c>
      <c r="P591" s="5" t="s">
        <v>43</v>
      </c>
      <c r="Q591" s="5">
        <v>9.9</v>
      </c>
      <c r="R591" s="5"/>
      <c r="S591" s="5"/>
      <c r="T591" s="5"/>
      <c r="U591" s="5"/>
      <c r="V591" s="5"/>
      <c r="W591" s="5"/>
      <c r="X591" s="5"/>
      <c r="Y591" s="5" t="s">
        <v>2921</v>
      </c>
      <c r="Z591" s="5" t="s">
        <v>170</v>
      </c>
      <c r="AA591" s="5" t="s">
        <v>2922</v>
      </c>
      <c r="AB591" s="5" t="s">
        <v>46</v>
      </c>
      <c r="AC591" s="5"/>
      <c r="AD591" s="5" t="b">
        <v>0</v>
      </c>
      <c r="AE591" s="5"/>
      <c r="AF591" s="5"/>
      <c r="AG591" s="9">
        <f t="shared" si="9"/>
        <v>43272</v>
      </c>
    </row>
    <row r="592" s="6" customFormat="1" spans="1:33">
      <c r="A592" s="5" t="s">
        <v>2923</v>
      </c>
      <c r="B592" s="5" t="s">
        <v>2923</v>
      </c>
      <c r="C592" s="5" t="s">
        <v>2924</v>
      </c>
      <c r="D592" s="5" t="s">
        <v>2925</v>
      </c>
      <c r="E592" s="5" t="s">
        <v>36</v>
      </c>
      <c r="F592" s="5" t="s">
        <v>37</v>
      </c>
      <c r="G592" s="5" t="s">
        <v>38</v>
      </c>
      <c r="H592" s="5"/>
      <c r="I592" s="5"/>
      <c r="J592" s="5" t="s">
        <v>39</v>
      </c>
      <c r="K592" s="5" t="s">
        <v>75</v>
      </c>
      <c r="L592" s="5" t="s">
        <v>76</v>
      </c>
      <c r="M592" s="5" t="s">
        <v>77</v>
      </c>
      <c r="N592" s="5" t="s">
        <v>36</v>
      </c>
      <c r="O592" s="5">
        <v>1</v>
      </c>
      <c r="P592" s="5" t="s">
        <v>43</v>
      </c>
      <c r="Q592" s="5">
        <v>12.99</v>
      </c>
      <c r="R592" s="5"/>
      <c r="S592" s="5"/>
      <c r="T592" s="5"/>
      <c r="U592" s="5"/>
      <c r="V592" s="5"/>
      <c r="W592" s="5"/>
      <c r="X592" s="5"/>
      <c r="Y592" s="5" t="s">
        <v>2926</v>
      </c>
      <c r="Z592" s="5" t="s">
        <v>2876</v>
      </c>
      <c r="AA592" s="5">
        <v>13492</v>
      </c>
      <c r="AB592" s="5" t="s">
        <v>46</v>
      </c>
      <c r="AC592" s="5"/>
      <c r="AD592" s="5" t="b">
        <v>0</v>
      </c>
      <c r="AE592" s="5"/>
      <c r="AF592" s="5"/>
      <c r="AG592" s="9">
        <f t="shared" si="9"/>
        <v>43272</v>
      </c>
    </row>
    <row r="593" s="6" customFormat="1" spans="1:33">
      <c r="A593" s="5" t="s">
        <v>2927</v>
      </c>
      <c r="B593" s="5" t="s">
        <v>2927</v>
      </c>
      <c r="C593" s="5" t="s">
        <v>2928</v>
      </c>
      <c r="D593" s="5" t="s">
        <v>2929</v>
      </c>
      <c r="E593" s="5" t="s">
        <v>36</v>
      </c>
      <c r="F593" s="5" t="s">
        <v>37</v>
      </c>
      <c r="G593" s="5" t="s">
        <v>38</v>
      </c>
      <c r="H593" s="5"/>
      <c r="I593" s="5"/>
      <c r="J593" s="5" t="s">
        <v>39</v>
      </c>
      <c r="K593" s="5" t="s">
        <v>2862</v>
      </c>
      <c r="L593" s="5" t="s">
        <v>2863</v>
      </c>
      <c r="M593" s="5" t="s">
        <v>2864</v>
      </c>
      <c r="N593" s="5" t="s">
        <v>36</v>
      </c>
      <c r="O593" s="5">
        <v>1</v>
      </c>
      <c r="P593" s="5" t="s">
        <v>43</v>
      </c>
      <c r="Q593" s="5">
        <v>12</v>
      </c>
      <c r="R593" s="5"/>
      <c r="S593" s="5"/>
      <c r="T593" s="5"/>
      <c r="U593" s="5"/>
      <c r="V593" s="5"/>
      <c r="W593" s="5"/>
      <c r="X593" s="5"/>
      <c r="Y593" s="5" t="s">
        <v>2930</v>
      </c>
      <c r="Z593" s="5" t="s">
        <v>391</v>
      </c>
      <c r="AA593" s="5" t="s">
        <v>2931</v>
      </c>
      <c r="AB593" s="5" t="s">
        <v>46</v>
      </c>
      <c r="AC593" s="5"/>
      <c r="AD593" s="5" t="b">
        <v>0</v>
      </c>
      <c r="AE593" s="5"/>
      <c r="AF593" s="5"/>
      <c r="AG593" s="9">
        <f t="shared" si="9"/>
        <v>43272</v>
      </c>
    </row>
    <row r="594" s="6" customFormat="1" spans="1:33">
      <c r="A594" s="5" t="s">
        <v>2932</v>
      </c>
      <c r="B594" s="5" t="s">
        <v>2932</v>
      </c>
      <c r="C594" s="5" t="s">
        <v>2933</v>
      </c>
      <c r="D594" s="5" t="s">
        <v>2934</v>
      </c>
      <c r="E594" s="5" t="s">
        <v>36</v>
      </c>
      <c r="F594" s="5" t="s">
        <v>37</v>
      </c>
      <c r="G594" s="5" t="s">
        <v>38</v>
      </c>
      <c r="H594" s="5"/>
      <c r="I594" s="5"/>
      <c r="J594" s="5" t="s">
        <v>39</v>
      </c>
      <c r="K594" s="5" t="s">
        <v>110</v>
      </c>
      <c r="L594" s="5" t="s">
        <v>111</v>
      </c>
      <c r="M594" s="5" t="s">
        <v>112</v>
      </c>
      <c r="N594" s="5" t="s">
        <v>36</v>
      </c>
      <c r="O594" s="5">
        <v>2</v>
      </c>
      <c r="P594" s="5" t="s">
        <v>43</v>
      </c>
      <c r="Q594" s="5">
        <v>25.98</v>
      </c>
      <c r="R594" s="5"/>
      <c r="S594" s="5"/>
      <c r="T594" s="5"/>
      <c r="U594" s="5"/>
      <c r="V594" s="5"/>
      <c r="W594" s="5">
        <v>1.3</v>
      </c>
      <c r="X594" s="5"/>
      <c r="Y594" s="5" t="s">
        <v>2935</v>
      </c>
      <c r="Z594" s="5" t="s">
        <v>54</v>
      </c>
      <c r="AA594" s="5" t="s">
        <v>2936</v>
      </c>
      <c r="AB594" s="5" t="s">
        <v>46</v>
      </c>
      <c r="AC594" s="5" t="s">
        <v>115</v>
      </c>
      <c r="AD594" s="5" t="b">
        <v>0</v>
      </c>
      <c r="AE594" s="5"/>
      <c r="AF594" s="5"/>
      <c r="AG594" s="9">
        <f t="shared" si="9"/>
        <v>43272</v>
      </c>
    </row>
    <row r="595" s="6" customFormat="1" spans="1:33">
      <c r="A595" s="5" t="s">
        <v>2937</v>
      </c>
      <c r="B595" s="5" t="s">
        <v>2937</v>
      </c>
      <c r="C595" s="5" t="s">
        <v>2938</v>
      </c>
      <c r="D595" s="5" t="s">
        <v>2939</v>
      </c>
      <c r="E595" s="5" t="s">
        <v>36</v>
      </c>
      <c r="F595" s="5" t="s">
        <v>37</v>
      </c>
      <c r="G595" s="5" t="s">
        <v>38</v>
      </c>
      <c r="H595" s="5"/>
      <c r="I595" s="5"/>
      <c r="J595" s="5" t="s">
        <v>39</v>
      </c>
      <c r="K595" s="5" t="s">
        <v>387</v>
      </c>
      <c r="L595" s="5" t="s">
        <v>388</v>
      </c>
      <c r="M595" s="5" t="s">
        <v>389</v>
      </c>
      <c r="N595" s="5" t="s">
        <v>36</v>
      </c>
      <c r="O595" s="5">
        <v>1</v>
      </c>
      <c r="P595" s="5" t="s">
        <v>43</v>
      </c>
      <c r="Q595" s="5">
        <v>18.99</v>
      </c>
      <c r="R595" s="5"/>
      <c r="S595" s="5"/>
      <c r="T595" s="5"/>
      <c r="U595" s="5"/>
      <c r="V595" s="5"/>
      <c r="W595" s="5"/>
      <c r="X595" s="5"/>
      <c r="Y595" s="5" t="s">
        <v>2940</v>
      </c>
      <c r="Z595" s="5" t="s">
        <v>843</v>
      </c>
      <c r="AA595" s="5">
        <v>74129</v>
      </c>
      <c r="AB595" s="5" t="s">
        <v>46</v>
      </c>
      <c r="AC595" s="5"/>
      <c r="AD595" s="5" t="b">
        <v>0</v>
      </c>
      <c r="AE595" s="5"/>
      <c r="AF595" s="5"/>
      <c r="AG595" s="9">
        <f t="shared" si="9"/>
        <v>43272</v>
      </c>
    </row>
    <row r="596" s="6" customFormat="1" spans="1:33">
      <c r="A596" s="5" t="s">
        <v>2941</v>
      </c>
      <c r="B596" s="5" t="s">
        <v>2941</v>
      </c>
      <c r="C596" s="5" t="s">
        <v>2942</v>
      </c>
      <c r="D596" s="5" t="s">
        <v>2943</v>
      </c>
      <c r="E596" s="5" t="s">
        <v>36</v>
      </c>
      <c r="F596" s="5" t="s">
        <v>37</v>
      </c>
      <c r="G596" s="5" t="s">
        <v>38</v>
      </c>
      <c r="H596" s="5"/>
      <c r="I596" s="5"/>
      <c r="J596" s="5" t="s">
        <v>39</v>
      </c>
      <c r="K596" s="5" t="s">
        <v>83</v>
      </c>
      <c r="L596" s="5" t="s">
        <v>1080</v>
      </c>
      <c r="M596" s="5" t="s">
        <v>85</v>
      </c>
      <c r="N596" s="5" t="s">
        <v>36</v>
      </c>
      <c r="O596" s="5">
        <v>1</v>
      </c>
      <c r="P596" s="5" t="s">
        <v>43</v>
      </c>
      <c r="Q596" s="5">
        <v>12.99</v>
      </c>
      <c r="R596" s="5"/>
      <c r="S596" s="5"/>
      <c r="T596" s="5"/>
      <c r="U596" s="5"/>
      <c r="V596" s="5"/>
      <c r="W596" s="5"/>
      <c r="X596" s="5"/>
      <c r="Y596" s="5" t="s">
        <v>2944</v>
      </c>
      <c r="Z596" s="5" t="s">
        <v>2945</v>
      </c>
      <c r="AA596" s="5" t="s">
        <v>2946</v>
      </c>
      <c r="AB596" s="5" t="s">
        <v>46</v>
      </c>
      <c r="AC596" s="5"/>
      <c r="AD596" s="5" t="b">
        <v>0</v>
      </c>
      <c r="AE596" s="5"/>
      <c r="AF596" s="5"/>
      <c r="AG596" s="9">
        <f t="shared" si="9"/>
        <v>43273</v>
      </c>
    </row>
    <row r="597" s="6" customFormat="1" spans="1:33">
      <c r="A597" s="5" t="s">
        <v>2947</v>
      </c>
      <c r="B597" s="5" t="s">
        <v>2947</v>
      </c>
      <c r="C597" s="5" t="s">
        <v>2948</v>
      </c>
      <c r="D597" s="5" t="s">
        <v>2949</v>
      </c>
      <c r="E597" s="5" t="s">
        <v>36</v>
      </c>
      <c r="F597" s="5" t="s">
        <v>37</v>
      </c>
      <c r="G597" s="5" t="s">
        <v>38</v>
      </c>
      <c r="H597" s="5"/>
      <c r="I597" s="5"/>
      <c r="J597" s="5" t="s">
        <v>39</v>
      </c>
      <c r="K597" s="5" t="s">
        <v>50</v>
      </c>
      <c r="L597" s="5" t="s">
        <v>51</v>
      </c>
      <c r="M597" s="5" t="s">
        <v>52</v>
      </c>
      <c r="N597" s="5" t="s">
        <v>36</v>
      </c>
      <c r="O597" s="5">
        <v>1</v>
      </c>
      <c r="P597" s="5" t="s">
        <v>43</v>
      </c>
      <c r="Q597" s="5">
        <v>18.99</v>
      </c>
      <c r="R597" s="5">
        <v>1.14</v>
      </c>
      <c r="S597" s="5"/>
      <c r="T597" s="5"/>
      <c r="U597" s="5"/>
      <c r="V597" s="5"/>
      <c r="W597" s="5"/>
      <c r="X597" s="5"/>
      <c r="Y597" s="5" t="s">
        <v>2950</v>
      </c>
      <c r="Z597" s="5" t="s">
        <v>255</v>
      </c>
      <c r="AA597" s="5" t="s">
        <v>2951</v>
      </c>
      <c r="AB597" s="5" t="s">
        <v>46</v>
      </c>
      <c r="AC597" s="5"/>
      <c r="AD597" s="5" t="b">
        <v>0</v>
      </c>
      <c r="AE597" s="5"/>
      <c r="AF597" s="5"/>
      <c r="AG597" s="9">
        <f t="shared" si="9"/>
        <v>43273</v>
      </c>
    </row>
    <row r="598" s="6" customFormat="1" spans="1:33">
      <c r="A598" s="5" t="s">
        <v>2952</v>
      </c>
      <c r="B598" s="5" t="s">
        <v>2952</v>
      </c>
      <c r="C598" s="5" t="s">
        <v>2953</v>
      </c>
      <c r="D598" s="5" t="s">
        <v>2954</v>
      </c>
      <c r="E598" s="5" t="s">
        <v>36</v>
      </c>
      <c r="F598" s="5" t="s">
        <v>37</v>
      </c>
      <c r="G598" s="5" t="s">
        <v>38</v>
      </c>
      <c r="H598" s="5"/>
      <c r="I598" s="5"/>
      <c r="J598" s="5" t="s">
        <v>39</v>
      </c>
      <c r="K598" s="5" t="s">
        <v>269</v>
      </c>
      <c r="L598" s="5" t="s">
        <v>1958</v>
      </c>
      <c r="M598" s="5" t="s">
        <v>271</v>
      </c>
      <c r="N598" s="5" t="s">
        <v>36</v>
      </c>
      <c r="O598" s="5">
        <v>1</v>
      </c>
      <c r="P598" s="5" t="s">
        <v>43</v>
      </c>
      <c r="Q598" s="5">
        <v>24.99</v>
      </c>
      <c r="R598" s="5"/>
      <c r="S598" s="5"/>
      <c r="T598" s="5"/>
      <c r="U598" s="5"/>
      <c r="V598" s="5"/>
      <c r="W598" s="5"/>
      <c r="X598" s="5"/>
      <c r="Y598" s="5" t="s">
        <v>2955</v>
      </c>
      <c r="Z598" s="5" t="s">
        <v>2956</v>
      </c>
      <c r="AA598" s="5">
        <v>72936</v>
      </c>
      <c r="AB598" s="5" t="s">
        <v>46</v>
      </c>
      <c r="AC598" s="5"/>
      <c r="AD598" s="5" t="b">
        <v>0</v>
      </c>
      <c r="AE598" s="5"/>
      <c r="AF598" s="5"/>
      <c r="AG598" s="9">
        <f t="shared" si="9"/>
        <v>43273</v>
      </c>
    </row>
    <row r="599" s="6" customFormat="1" spans="1:33">
      <c r="A599" s="5" t="s">
        <v>2957</v>
      </c>
      <c r="B599" s="5" t="s">
        <v>2957</v>
      </c>
      <c r="C599" s="5" t="s">
        <v>2958</v>
      </c>
      <c r="D599" s="5" t="s">
        <v>2959</v>
      </c>
      <c r="E599" s="5" t="s">
        <v>36</v>
      </c>
      <c r="F599" s="5" t="s">
        <v>37</v>
      </c>
      <c r="G599" s="5" t="s">
        <v>38</v>
      </c>
      <c r="H599" s="5"/>
      <c r="I599" s="5"/>
      <c r="J599" s="5" t="s">
        <v>39</v>
      </c>
      <c r="K599" s="5" t="s">
        <v>58</v>
      </c>
      <c r="L599" s="5" t="s">
        <v>59</v>
      </c>
      <c r="M599" s="5" t="s">
        <v>60</v>
      </c>
      <c r="N599" s="5" t="s">
        <v>36</v>
      </c>
      <c r="O599" s="5">
        <v>1</v>
      </c>
      <c r="P599" s="5" t="s">
        <v>43</v>
      </c>
      <c r="Q599" s="5">
        <v>13.99</v>
      </c>
      <c r="R599" s="5"/>
      <c r="S599" s="5"/>
      <c r="T599" s="5"/>
      <c r="U599" s="5"/>
      <c r="V599" s="5"/>
      <c r="W599" s="5"/>
      <c r="X599" s="5"/>
      <c r="Y599" s="5" t="s">
        <v>861</v>
      </c>
      <c r="Z599" s="5" t="s">
        <v>54</v>
      </c>
      <c r="AA599" s="5" t="s">
        <v>2960</v>
      </c>
      <c r="AB599" s="5" t="s">
        <v>46</v>
      </c>
      <c r="AC599" s="5"/>
      <c r="AD599" s="5" t="b">
        <v>0</v>
      </c>
      <c r="AE599" s="5"/>
      <c r="AF599" s="5"/>
      <c r="AG599" s="9">
        <f t="shared" si="9"/>
        <v>43273</v>
      </c>
    </row>
    <row r="600" s="6" customFormat="1" spans="1:33">
      <c r="A600" s="5" t="s">
        <v>2957</v>
      </c>
      <c r="B600" s="5" t="s">
        <v>2957</v>
      </c>
      <c r="C600" s="5" t="s">
        <v>2958</v>
      </c>
      <c r="D600" s="5" t="s">
        <v>2959</v>
      </c>
      <c r="E600" s="5" t="s">
        <v>36</v>
      </c>
      <c r="F600" s="5" t="s">
        <v>37</v>
      </c>
      <c r="G600" s="5" t="s">
        <v>38</v>
      </c>
      <c r="H600" s="5"/>
      <c r="I600" s="5"/>
      <c r="J600" s="5" t="s">
        <v>39</v>
      </c>
      <c r="K600" s="5" t="s">
        <v>1999</v>
      </c>
      <c r="L600" s="5" t="s">
        <v>2000</v>
      </c>
      <c r="M600" s="5" t="s">
        <v>2001</v>
      </c>
      <c r="N600" s="5" t="s">
        <v>36</v>
      </c>
      <c r="O600" s="5">
        <v>1</v>
      </c>
      <c r="P600" s="5" t="s">
        <v>43</v>
      </c>
      <c r="Q600" s="5">
        <v>18.99</v>
      </c>
      <c r="R600" s="5"/>
      <c r="S600" s="5"/>
      <c r="T600" s="5"/>
      <c r="U600" s="5"/>
      <c r="V600" s="5"/>
      <c r="W600" s="5"/>
      <c r="X600" s="5"/>
      <c r="Y600" s="5" t="s">
        <v>861</v>
      </c>
      <c r="Z600" s="5" t="s">
        <v>54</v>
      </c>
      <c r="AA600" s="5" t="s">
        <v>2960</v>
      </c>
      <c r="AB600" s="5" t="s">
        <v>46</v>
      </c>
      <c r="AC600" s="5"/>
      <c r="AD600" s="5" t="b">
        <v>0</v>
      </c>
      <c r="AE600" s="5"/>
      <c r="AF600" s="5"/>
      <c r="AG600" s="9">
        <f t="shared" si="9"/>
        <v>43273</v>
      </c>
    </row>
    <row r="601" s="6" customFormat="1" spans="1:33">
      <c r="A601" s="5" t="s">
        <v>2961</v>
      </c>
      <c r="B601" s="5" t="s">
        <v>2961</v>
      </c>
      <c r="C601" s="5" t="s">
        <v>2962</v>
      </c>
      <c r="D601" s="5" t="s">
        <v>2963</v>
      </c>
      <c r="E601" s="5" t="s">
        <v>36</v>
      </c>
      <c r="F601" s="5" t="s">
        <v>37</v>
      </c>
      <c r="G601" s="5" t="s">
        <v>38</v>
      </c>
      <c r="H601" s="5"/>
      <c r="I601" s="5"/>
      <c r="J601" s="5" t="s">
        <v>39</v>
      </c>
      <c r="K601" s="5" t="s">
        <v>387</v>
      </c>
      <c r="L601" s="5" t="s">
        <v>388</v>
      </c>
      <c r="M601" s="5" t="s">
        <v>389</v>
      </c>
      <c r="N601" s="5" t="s">
        <v>36</v>
      </c>
      <c r="O601" s="5">
        <v>1</v>
      </c>
      <c r="P601" s="5" t="s">
        <v>43</v>
      </c>
      <c r="Q601" s="5">
        <v>18.99</v>
      </c>
      <c r="R601" s="5"/>
      <c r="S601" s="5"/>
      <c r="T601" s="5"/>
      <c r="U601" s="5"/>
      <c r="V601" s="5"/>
      <c r="W601" s="5"/>
      <c r="X601" s="5"/>
      <c r="Y601" s="5" t="s">
        <v>2964</v>
      </c>
      <c r="Z601" s="5" t="s">
        <v>329</v>
      </c>
      <c r="AA601" s="5" t="s">
        <v>2965</v>
      </c>
      <c r="AB601" s="5" t="s">
        <v>46</v>
      </c>
      <c r="AC601" s="5"/>
      <c r="AD601" s="5" t="b">
        <v>0</v>
      </c>
      <c r="AE601" s="5"/>
      <c r="AF601" s="5"/>
      <c r="AG601" s="9">
        <f t="shared" si="9"/>
        <v>43273</v>
      </c>
    </row>
    <row r="602" s="6" customFormat="1" spans="1:33">
      <c r="A602" s="5" t="s">
        <v>2966</v>
      </c>
      <c r="B602" s="5" t="s">
        <v>2966</v>
      </c>
      <c r="C602" s="5" t="s">
        <v>2967</v>
      </c>
      <c r="D602" s="5" t="s">
        <v>2968</v>
      </c>
      <c r="E602" s="5" t="s">
        <v>36</v>
      </c>
      <c r="F602" s="5" t="s">
        <v>37</v>
      </c>
      <c r="G602" s="5" t="s">
        <v>38</v>
      </c>
      <c r="H602" s="5"/>
      <c r="I602" s="5"/>
      <c r="J602" s="5" t="s">
        <v>39</v>
      </c>
      <c r="K602" s="5" t="s">
        <v>201</v>
      </c>
      <c r="L602" s="5" t="s">
        <v>202</v>
      </c>
      <c r="M602" s="5" t="s">
        <v>203</v>
      </c>
      <c r="N602" s="5" t="s">
        <v>36</v>
      </c>
      <c r="O602" s="5">
        <v>1</v>
      </c>
      <c r="P602" s="5" t="s">
        <v>43</v>
      </c>
      <c r="Q602" s="5">
        <v>18.99</v>
      </c>
      <c r="R602" s="5"/>
      <c r="S602" s="5"/>
      <c r="T602" s="5"/>
      <c r="U602" s="5"/>
      <c r="V602" s="5"/>
      <c r="W602" s="5"/>
      <c r="X602" s="5"/>
      <c r="Y602" s="5" t="s">
        <v>2969</v>
      </c>
      <c r="Z602" s="5" t="s">
        <v>377</v>
      </c>
      <c r="AA602" s="5">
        <v>1075</v>
      </c>
      <c r="AB602" s="5" t="s">
        <v>46</v>
      </c>
      <c r="AC602" s="5"/>
      <c r="AD602" s="5" t="b">
        <v>0</v>
      </c>
      <c r="AE602" s="5"/>
      <c r="AF602" s="5"/>
      <c r="AG602" s="9">
        <f t="shared" si="9"/>
        <v>43273</v>
      </c>
    </row>
    <row r="603" s="6" customFormat="1" spans="1:33">
      <c r="A603" s="5" t="s">
        <v>2970</v>
      </c>
      <c r="B603" s="5" t="s">
        <v>2970</v>
      </c>
      <c r="C603" s="5" t="s">
        <v>2971</v>
      </c>
      <c r="D603" s="5" t="s">
        <v>2972</v>
      </c>
      <c r="E603" s="5" t="s">
        <v>36</v>
      </c>
      <c r="F603" s="5" t="s">
        <v>37</v>
      </c>
      <c r="G603" s="5" t="s">
        <v>38</v>
      </c>
      <c r="H603" s="5"/>
      <c r="I603" s="5"/>
      <c r="J603" s="5" t="s">
        <v>39</v>
      </c>
      <c r="K603" s="5" t="s">
        <v>2973</v>
      </c>
      <c r="L603" s="5" t="s">
        <v>2974</v>
      </c>
      <c r="M603" s="5" t="s">
        <v>2975</v>
      </c>
      <c r="N603" s="5" t="s">
        <v>36</v>
      </c>
      <c r="O603" s="5">
        <v>1</v>
      </c>
      <c r="P603" s="5" t="s">
        <v>43</v>
      </c>
      <c r="Q603" s="5">
        <v>18.99</v>
      </c>
      <c r="R603" s="5"/>
      <c r="S603" s="5"/>
      <c r="T603" s="5"/>
      <c r="U603" s="5"/>
      <c r="V603" s="5"/>
      <c r="W603" s="5"/>
      <c r="X603" s="5"/>
      <c r="Y603" s="5" t="s">
        <v>2976</v>
      </c>
      <c r="Z603" s="5" t="s">
        <v>54</v>
      </c>
      <c r="AA603" s="5" t="s">
        <v>2977</v>
      </c>
      <c r="AB603" s="5" t="s">
        <v>46</v>
      </c>
      <c r="AC603" s="5"/>
      <c r="AD603" s="5" t="b">
        <v>0</v>
      </c>
      <c r="AE603" s="5"/>
      <c r="AF603" s="5"/>
      <c r="AG603" s="9">
        <f t="shared" si="9"/>
        <v>43273</v>
      </c>
    </row>
    <row r="604" s="6" customFormat="1" spans="1:33">
      <c r="A604" s="5" t="s">
        <v>2970</v>
      </c>
      <c r="B604" s="5" t="s">
        <v>2970</v>
      </c>
      <c r="C604" s="5" t="s">
        <v>2971</v>
      </c>
      <c r="D604" s="5" t="s">
        <v>2972</v>
      </c>
      <c r="E604" s="5" t="s">
        <v>36</v>
      </c>
      <c r="F604" s="5" t="s">
        <v>37</v>
      </c>
      <c r="G604" s="5" t="s">
        <v>38</v>
      </c>
      <c r="H604" s="5"/>
      <c r="I604" s="5"/>
      <c r="J604" s="5" t="s">
        <v>39</v>
      </c>
      <c r="K604" s="5" t="s">
        <v>1999</v>
      </c>
      <c r="L604" s="5" t="s">
        <v>2000</v>
      </c>
      <c r="M604" s="5" t="s">
        <v>2001</v>
      </c>
      <c r="N604" s="5" t="s">
        <v>36</v>
      </c>
      <c r="O604" s="5">
        <v>1</v>
      </c>
      <c r="P604" s="5" t="s">
        <v>43</v>
      </c>
      <c r="Q604" s="5">
        <v>18.99</v>
      </c>
      <c r="R604" s="5"/>
      <c r="S604" s="5"/>
      <c r="T604" s="5"/>
      <c r="U604" s="5"/>
      <c r="V604" s="5"/>
      <c r="W604" s="5"/>
      <c r="X604" s="5"/>
      <c r="Y604" s="5" t="s">
        <v>2976</v>
      </c>
      <c r="Z604" s="5" t="s">
        <v>54</v>
      </c>
      <c r="AA604" s="5" t="s">
        <v>2977</v>
      </c>
      <c r="AB604" s="5" t="s">
        <v>46</v>
      </c>
      <c r="AC604" s="5"/>
      <c r="AD604" s="5" t="b">
        <v>0</v>
      </c>
      <c r="AE604" s="5"/>
      <c r="AF604" s="5"/>
      <c r="AG604" s="9">
        <f t="shared" si="9"/>
        <v>43273</v>
      </c>
    </row>
    <row r="605" s="6" customFormat="1" spans="1:33">
      <c r="A605" s="5" t="s">
        <v>2978</v>
      </c>
      <c r="B605" s="5" t="s">
        <v>2978</v>
      </c>
      <c r="C605" s="5" t="s">
        <v>2979</v>
      </c>
      <c r="D605" s="5" t="s">
        <v>2980</v>
      </c>
      <c r="E605" s="5" t="s">
        <v>36</v>
      </c>
      <c r="F605" s="5" t="s">
        <v>37</v>
      </c>
      <c r="G605" s="5" t="s">
        <v>38</v>
      </c>
      <c r="H605" s="5"/>
      <c r="I605" s="5"/>
      <c r="J605" s="5" t="s">
        <v>39</v>
      </c>
      <c r="K605" s="5" t="s">
        <v>760</v>
      </c>
      <c r="L605" s="5" t="s">
        <v>761</v>
      </c>
      <c r="M605" s="5" t="s">
        <v>762</v>
      </c>
      <c r="N605" s="5" t="s">
        <v>36</v>
      </c>
      <c r="O605" s="5">
        <v>1</v>
      </c>
      <c r="P605" s="5" t="s">
        <v>43</v>
      </c>
      <c r="Q605" s="5">
        <v>10</v>
      </c>
      <c r="R605" s="5"/>
      <c r="S605" s="5"/>
      <c r="T605" s="5"/>
      <c r="U605" s="5"/>
      <c r="V605" s="5"/>
      <c r="W605" s="5"/>
      <c r="X605" s="5"/>
      <c r="Y605" s="5" t="s">
        <v>2981</v>
      </c>
      <c r="Z605" s="5" t="s">
        <v>54</v>
      </c>
      <c r="AA605" s="5" t="s">
        <v>2982</v>
      </c>
      <c r="AB605" s="5" t="s">
        <v>46</v>
      </c>
      <c r="AC605" s="5"/>
      <c r="AD605" s="5" t="b">
        <v>0</v>
      </c>
      <c r="AE605" s="5"/>
      <c r="AF605" s="5"/>
      <c r="AG605" s="9">
        <f t="shared" si="9"/>
        <v>43273</v>
      </c>
    </row>
    <row r="606" s="6" customFormat="1" spans="1:33">
      <c r="A606" s="5" t="s">
        <v>2983</v>
      </c>
      <c r="B606" s="5" t="s">
        <v>2983</v>
      </c>
      <c r="C606" s="5" t="s">
        <v>2984</v>
      </c>
      <c r="D606" s="5" t="s">
        <v>2985</v>
      </c>
      <c r="E606" s="5" t="s">
        <v>36</v>
      </c>
      <c r="F606" s="5" t="s">
        <v>37</v>
      </c>
      <c r="G606" s="5" t="s">
        <v>38</v>
      </c>
      <c r="H606" s="5"/>
      <c r="I606" s="5"/>
      <c r="J606" s="5" t="s">
        <v>39</v>
      </c>
      <c r="K606" s="5" t="s">
        <v>101</v>
      </c>
      <c r="L606" s="5" t="s">
        <v>102</v>
      </c>
      <c r="M606" s="5" t="s">
        <v>103</v>
      </c>
      <c r="N606" s="5" t="s">
        <v>36</v>
      </c>
      <c r="O606" s="5">
        <v>1</v>
      </c>
      <c r="P606" s="5" t="s">
        <v>43</v>
      </c>
      <c r="Q606" s="5">
        <v>12.99</v>
      </c>
      <c r="R606" s="5"/>
      <c r="S606" s="5"/>
      <c r="T606" s="5"/>
      <c r="U606" s="5"/>
      <c r="V606" s="5"/>
      <c r="W606" s="5"/>
      <c r="X606" s="5"/>
      <c r="Y606" s="5" t="s">
        <v>2986</v>
      </c>
      <c r="Z606" s="5" t="s">
        <v>54</v>
      </c>
      <c r="AA606" s="5" t="s">
        <v>2987</v>
      </c>
      <c r="AB606" s="5" t="s">
        <v>46</v>
      </c>
      <c r="AC606" s="5"/>
      <c r="AD606" s="5" t="b">
        <v>0</v>
      </c>
      <c r="AE606" s="5"/>
      <c r="AF606" s="5"/>
      <c r="AG606" s="9">
        <f t="shared" si="9"/>
        <v>43273</v>
      </c>
    </row>
    <row r="607" s="6" customFormat="1" spans="1:33">
      <c r="A607" s="5" t="s">
        <v>2988</v>
      </c>
      <c r="B607" s="5" t="s">
        <v>2988</v>
      </c>
      <c r="C607" s="5" t="s">
        <v>2989</v>
      </c>
      <c r="D607" s="5" t="s">
        <v>2990</v>
      </c>
      <c r="E607" s="5" t="s">
        <v>36</v>
      </c>
      <c r="F607" s="5" t="s">
        <v>37</v>
      </c>
      <c r="G607" s="5" t="s">
        <v>38</v>
      </c>
      <c r="H607" s="5"/>
      <c r="I607" s="5"/>
      <c r="J607" s="5" t="s">
        <v>39</v>
      </c>
      <c r="K607" s="5" t="s">
        <v>1291</v>
      </c>
      <c r="L607" s="5" t="s">
        <v>1292</v>
      </c>
      <c r="M607" s="5" t="s">
        <v>1293</v>
      </c>
      <c r="N607" s="5" t="s">
        <v>36</v>
      </c>
      <c r="O607" s="5">
        <v>1</v>
      </c>
      <c r="P607" s="5" t="s">
        <v>43</v>
      </c>
      <c r="Q607" s="5">
        <v>12.99</v>
      </c>
      <c r="R607" s="5">
        <v>1.35</v>
      </c>
      <c r="S607" s="5"/>
      <c r="T607" s="5"/>
      <c r="U607" s="5"/>
      <c r="V607" s="5"/>
      <c r="W607" s="5"/>
      <c r="X607" s="5"/>
      <c r="Y607" s="5" t="s">
        <v>2991</v>
      </c>
      <c r="Z607" s="5" t="s">
        <v>474</v>
      </c>
      <c r="AA607" s="5" t="s">
        <v>2992</v>
      </c>
      <c r="AB607" s="5" t="s">
        <v>46</v>
      </c>
      <c r="AC607" s="5"/>
      <c r="AD607" s="5" t="b">
        <v>0</v>
      </c>
      <c r="AE607" s="5"/>
      <c r="AF607" s="5"/>
      <c r="AG607" s="9">
        <f t="shared" si="9"/>
        <v>43273</v>
      </c>
    </row>
    <row r="608" s="6" customFormat="1" spans="1:33">
      <c r="A608" s="5" t="s">
        <v>2993</v>
      </c>
      <c r="B608" s="5" t="s">
        <v>2993</v>
      </c>
      <c r="C608" s="5" t="s">
        <v>2994</v>
      </c>
      <c r="D608" s="5" t="s">
        <v>2995</v>
      </c>
      <c r="E608" s="5" t="s">
        <v>36</v>
      </c>
      <c r="F608" s="5" t="s">
        <v>37</v>
      </c>
      <c r="G608" s="5" t="s">
        <v>38</v>
      </c>
      <c r="H608" s="5"/>
      <c r="I608" s="5"/>
      <c r="J608" s="5" t="s">
        <v>39</v>
      </c>
      <c r="K608" s="5" t="s">
        <v>101</v>
      </c>
      <c r="L608" s="5" t="s">
        <v>102</v>
      </c>
      <c r="M608" s="5" t="s">
        <v>103</v>
      </c>
      <c r="N608" s="5" t="s">
        <v>36</v>
      </c>
      <c r="O608" s="5">
        <v>1</v>
      </c>
      <c r="P608" s="5" t="s">
        <v>43</v>
      </c>
      <c r="Q608" s="5">
        <v>12.99</v>
      </c>
      <c r="R608" s="5"/>
      <c r="S608" s="5"/>
      <c r="T608" s="5"/>
      <c r="U608" s="5"/>
      <c r="V608" s="5"/>
      <c r="W608" s="5"/>
      <c r="X608" s="5"/>
      <c r="Y608" s="5" t="s">
        <v>2996</v>
      </c>
      <c r="Z608" s="5" t="s">
        <v>247</v>
      </c>
      <c r="AA608" s="5" t="s">
        <v>2997</v>
      </c>
      <c r="AB608" s="5" t="s">
        <v>46</v>
      </c>
      <c r="AC608" s="5"/>
      <c r="AD608" s="5" t="b">
        <v>0</v>
      </c>
      <c r="AE608" s="5"/>
      <c r="AF608" s="5"/>
      <c r="AG608" s="9">
        <f t="shared" si="9"/>
        <v>43273</v>
      </c>
    </row>
    <row r="609" s="6" customFormat="1" spans="1:33">
      <c r="A609" s="5" t="s">
        <v>2998</v>
      </c>
      <c r="B609" s="5" t="s">
        <v>2998</v>
      </c>
      <c r="C609" s="5" t="s">
        <v>2999</v>
      </c>
      <c r="D609" s="5" t="s">
        <v>3000</v>
      </c>
      <c r="E609" s="5" t="s">
        <v>36</v>
      </c>
      <c r="F609" s="5" t="s">
        <v>37</v>
      </c>
      <c r="G609" s="5" t="s">
        <v>38</v>
      </c>
      <c r="H609" s="5"/>
      <c r="I609" s="5"/>
      <c r="J609" s="5" t="s">
        <v>39</v>
      </c>
      <c r="K609" s="5" t="s">
        <v>387</v>
      </c>
      <c r="L609" s="5" t="s">
        <v>388</v>
      </c>
      <c r="M609" s="5" t="s">
        <v>389</v>
      </c>
      <c r="N609" s="5" t="s">
        <v>36</v>
      </c>
      <c r="O609" s="5">
        <v>1</v>
      </c>
      <c r="P609" s="5" t="s">
        <v>43</v>
      </c>
      <c r="Q609" s="5">
        <v>18.99</v>
      </c>
      <c r="R609" s="5"/>
      <c r="S609" s="5"/>
      <c r="T609" s="5"/>
      <c r="U609" s="5"/>
      <c r="V609" s="5"/>
      <c r="W609" s="5"/>
      <c r="X609" s="5"/>
      <c r="Y609" s="5" t="s">
        <v>3001</v>
      </c>
      <c r="Z609" s="5" t="s">
        <v>307</v>
      </c>
      <c r="AA609" s="5" t="s">
        <v>3002</v>
      </c>
      <c r="AB609" s="5" t="s">
        <v>46</v>
      </c>
      <c r="AC609" s="5"/>
      <c r="AD609" s="5" t="b">
        <v>0</v>
      </c>
      <c r="AE609" s="5"/>
      <c r="AF609" s="5"/>
      <c r="AG609" s="9">
        <f t="shared" si="9"/>
        <v>43273</v>
      </c>
    </row>
    <row r="610" s="6" customFormat="1" spans="1:33">
      <c r="A610" s="5" t="s">
        <v>3003</v>
      </c>
      <c r="B610" s="5" t="s">
        <v>3003</v>
      </c>
      <c r="C610" s="5" t="s">
        <v>3004</v>
      </c>
      <c r="D610" s="5" t="s">
        <v>3005</v>
      </c>
      <c r="E610" s="5" t="s">
        <v>36</v>
      </c>
      <c r="F610" s="5" t="s">
        <v>37</v>
      </c>
      <c r="G610" s="5" t="s">
        <v>38</v>
      </c>
      <c r="H610" s="5"/>
      <c r="I610" s="5"/>
      <c r="J610" s="5" t="s">
        <v>39</v>
      </c>
      <c r="K610" s="5" t="s">
        <v>243</v>
      </c>
      <c r="L610" s="5" t="s">
        <v>244</v>
      </c>
      <c r="M610" s="5" t="s">
        <v>245</v>
      </c>
      <c r="N610" s="5" t="s">
        <v>36</v>
      </c>
      <c r="O610" s="5">
        <v>1</v>
      </c>
      <c r="P610" s="5" t="s">
        <v>43</v>
      </c>
      <c r="Q610" s="5">
        <v>18.99</v>
      </c>
      <c r="R610" s="5"/>
      <c r="S610" s="5"/>
      <c r="T610" s="5"/>
      <c r="U610" s="5"/>
      <c r="V610" s="5"/>
      <c r="W610" s="5">
        <v>0.95</v>
      </c>
      <c r="X610" s="5"/>
      <c r="Y610" s="5" t="s">
        <v>3006</v>
      </c>
      <c r="Z610" s="5" t="s">
        <v>3007</v>
      </c>
      <c r="AA610" s="5" t="s">
        <v>3008</v>
      </c>
      <c r="AB610" s="5" t="s">
        <v>46</v>
      </c>
      <c r="AC610" s="5" t="s">
        <v>115</v>
      </c>
      <c r="AD610" s="5" t="b">
        <v>0</v>
      </c>
      <c r="AE610" s="5"/>
      <c r="AF610" s="5"/>
      <c r="AG610" s="9">
        <f t="shared" si="9"/>
        <v>43273</v>
      </c>
    </row>
    <row r="611" s="6" customFormat="1" spans="1:33">
      <c r="A611" s="5" t="s">
        <v>3003</v>
      </c>
      <c r="B611" s="5" t="s">
        <v>3003</v>
      </c>
      <c r="C611" s="5" t="s">
        <v>3004</v>
      </c>
      <c r="D611" s="5" t="s">
        <v>3005</v>
      </c>
      <c r="E611" s="5" t="s">
        <v>36</v>
      </c>
      <c r="F611" s="5" t="s">
        <v>37</v>
      </c>
      <c r="G611" s="5" t="s">
        <v>38</v>
      </c>
      <c r="H611" s="5"/>
      <c r="I611" s="5"/>
      <c r="J611" s="5" t="s">
        <v>39</v>
      </c>
      <c r="K611" s="5" t="s">
        <v>147</v>
      </c>
      <c r="L611" s="5" t="s">
        <v>148</v>
      </c>
      <c r="M611" s="5" t="s">
        <v>149</v>
      </c>
      <c r="N611" s="5" t="s">
        <v>36</v>
      </c>
      <c r="O611" s="5">
        <v>1</v>
      </c>
      <c r="P611" s="5" t="s">
        <v>43</v>
      </c>
      <c r="Q611" s="5">
        <v>12.98</v>
      </c>
      <c r="R611" s="5"/>
      <c r="S611" s="5"/>
      <c r="T611" s="5"/>
      <c r="U611" s="5"/>
      <c r="V611" s="5"/>
      <c r="W611" s="5">
        <v>0.65</v>
      </c>
      <c r="X611" s="5"/>
      <c r="Y611" s="5" t="s">
        <v>3006</v>
      </c>
      <c r="Z611" s="5" t="s">
        <v>3007</v>
      </c>
      <c r="AA611" s="5" t="s">
        <v>3008</v>
      </c>
      <c r="AB611" s="5" t="s">
        <v>46</v>
      </c>
      <c r="AC611" s="5" t="s">
        <v>115</v>
      </c>
      <c r="AD611" s="5" t="b">
        <v>0</v>
      </c>
      <c r="AE611" s="5"/>
      <c r="AF611" s="5"/>
      <c r="AG611" s="9">
        <f t="shared" si="9"/>
        <v>43273</v>
      </c>
    </row>
    <row r="612" s="6" customFormat="1" spans="1:33">
      <c r="A612" s="5" t="s">
        <v>3003</v>
      </c>
      <c r="B612" s="5" t="s">
        <v>3003</v>
      </c>
      <c r="C612" s="5" t="s">
        <v>3004</v>
      </c>
      <c r="D612" s="5" t="s">
        <v>3005</v>
      </c>
      <c r="E612" s="5" t="s">
        <v>36</v>
      </c>
      <c r="F612" s="5" t="s">
        <v>37</v>
      </c>
      <c r="G612" s="5" t="s">
        <v>38</v>
      </c>
      <c r="H612" s="5"/>
      <c r="I612" s="5"/>
      <c r="J612" s="5" t="s">
        <v>39</v>
      </c>
      <c r="K612" s="5" t="s">
        <v>387</v>
      </c>
      <c r="L612" s="5" t="s">
        <v>388</v>
      </c>
      <c r="M612" s="5" t="s">
        <v>389</v>
      </c>
      <c r="N612" s="5" t="s">
        <v>36</v>
      </c>
      <c r="O612" s="5">
        <v>1</v>
      </c>
      <c r="P612" s="5" t="s">
        <v>43</v>
      </c>
      <c r="Q612" s="5">
        <v>18.99</v>
      </c>
      <c r="R612" s="5"/>
      <c r="S612" s="5"/>
      <c r="T612" s="5"/>
      <c r="U612" s="5"/>
      <c r="V612" s="5"/>
      <c r="W612" s="5">
        <v>0.95</v>
      </c>
      <c r="X612" s="5"/>
      <c r="Y612" s="5" t="s">
        <v>3006</v>
      </c>
      <c r="Z612" s="5" t="s">
        <v>3007</v>
      </c>
      <c r="AA612" s="5" t="s">
        <v>3008</v>
      </c>
      <c r="AB612" s="5" t="s">
        <v>46</v>
      </c>
      <c r="AC612" s="5" t="s">
        <v>115</v>
      </c>
      <c r="AD612" s="5" t="b">
        <v>0</v>
      </c>
      <c r="AE612" s="5"/>
      <c r="AF612" s="5"/>
      <c r="AG612" s="9">
        <f t="shared" si="9"/>
        <v>43273</v>
      </c>
    </row>
    <row r="613" s="6" customFormat="1" spans="1:33">
      <c r="A613" s="5" t="s">
        <v>3003</v>
      </c>
      <c r="B613" s="5" t="s">
        <v>3003</v>
      </c>
      <c r="C613" s="5" t="s">
        <v>3004</v>
      </c>
      <c r="D613" s="5" t="s">
        <v>3005</v>
      </c>
      <c r="E613" s="5" t="s">
        <v>36</v>
      </c>
      <c r="F613" s="5" t="s">
        <v>37</v>
      </c>
      <c r="G613" s="5" t="s">
        <v>38</v>
      </c>
      <c r="H613" s="5"/>
      <c r="I613" s="5"/>
      <c r="J613" s="5" t="s">
        <v>39</v>
      </c>
      <c r="K613" s="5" t="s">
        <v>312</v>
      </c>
      <c r="L613" s="5" t="s">
        <v>2578</v>
      </c>
      <c r="M613" s="5" t="s">
        <v>314</v>
      </c>
      <c r="N613" s="5" t="s">
        <v>36</v>
      </c>
      <c r="O613" s="5">
        <v>1</v>
      </c>
      <c r="P613" s="5" t="s">
        <v>43</v>
      </c>
      <c r="Q613" s="5">
        <v>23.99</v>
      </c>
      <c r="R613" s="5"/>
      <c r="S613" s="5"/>
      <c r="T613" s="5"/>
      <c r="U613" s="5"/>
      <c r="V613" s="5"/>
      <c r="W613" s="5">
        <v>1.2</v>
      </c>
      <c r="X613" s="5"/>
      <c r="Y613" s="5" t="s">
        <v>3006</v>
      </c>
      <c r="Z613" s="5" t="s">
        <v>3007</v>
      </c>
      <c r="AA613" s="5" t="s">
        <v>3008</v>
      </c>
      <c r="AB613" s="5" t="s">
        <v>46</v>
      </c>
      <c r="AC613" s="5" t="s">
        <v>115</v>
      </c>
      <c r="AD613" s="5" t="b">
        <v>0</v>
      </c>
      <c r="AE613" s="5"/>
      <c r="AF613" s="5"/>
      <c r="AG613" s="9">
        <f t="shared" si="9"/>
        <v>43273</v>
      </c>
    </row>
    <row r="614" s="6" customFormat="1" spans="1:33">
      <c r="A614" s="5" t="s">
        <v>3003</v>
      </c>
      <c r="B614" s="5" t="s">
        <v>3003</v>
      </c>
      <c r="C614" s="5" t="s">
        <v>3004</v>
      </c>
      <c r="D614" s="5" t="s">
        <v>3005</v>
      </c>
      <c r="E614" s="5" t="s">
        <v>36</v>
      </c>
      <c r="F614" s="5" t="s">
        <v>37</v>
      </c>
      <c r="G614" s="5" t="s">
        <v>38</v>
      </c>
      <c r="H614" s="5"/>
      <c r="I614" s="5"/>
      <c r="J614" s="5" t="s">
        <v>39</v>
      </c>
      <c r="K614" s="5" t="s">
        <v>75</v>
      </c>
      <c r="L614" s="5" t="s">
        <v>76</v>
      </c>
      <c r="M614" s="5" t="s">
        <v>77</v>
      </c>
      <c r="N614" s="5" t="s">
        <v>36</v>
      </c>
      <c r="O614" s="5">
        <v>1</v>
      </c>
      <c r="P614" s="5" t="s">
        <v>43</v>
      </c>
      <c r="Q614" s="5">
        <v>12.99</v>
      </c>
      <c r="R614" s="5"/>
      <c r="S614" s="5"/>
      <c r="T614" s="5"/>
      <c r="U614" s="5"/>
      <c r="V614" s="5"/>
      <c r="W614" s="5">
        <v>0.65</v>
      </c>
      <c r="X614" s="5"/>
      <c r="Y614" s="5" t="s">
        <v>3006</v>
      </c>
      <c r="Z614" s="5" t="s">
        <v>3007</v>
      </c>
      <c r="AA614" s="5" t="s">
        <v>3008</v>
      </c>
      <c r="AB614" s="5" t="s">
        <v>46</v>
      </c>
      <c r="AC614" s="5" t="s">
        <v>115</v>
      </c>
      <c r="AD614" s="5" t="b">
        <v>0</v>
      </c>
      <c r="AE614" s="5"/>
      <c r="AF614" s="5"/>
      <c r="AG614" s="9">
        <f t="shared" si="9"/>
        <v>43273</v>
      </c>
    </row>
    <row r="615" s="6" customFormat="1" spans="1:33">
      <c r="A615" s="5" t="s">
        <v>3009</v>
      </c>
      <c r="B615" s="5" t="s">
        <v>3009</v>
      </c>
      <c r="C615" s="5" t="s">
        <v>3010</v>
      </c>
      <c r="D615" s="5" t="s">
        <v>3011</v>
      </c>
      <c r="E615" s="5" t="s">
        <v>36</v>
      </c>
      <c r="F615" s="5" t="s">
        <v>37</v>
      </c>
      <c r="G615" s="5" t="s">
        <v>38</v>
      </c>
      <c r="H615" s="5"/>
      <c r="I615" s="5"/>
      <c r="J615" s="5" t="s">
        <v>39</v>
      </c>
      <c r="K615" s="5" t="s">
        <v>1291</v>
      </c>
      <c r="L615" s="5" t="s">
        <v>1292</v>
      </c>
      <c r="M615" s="5" t="s">
        <v>1293</v>
      </c>
      <c r="N615" s="5" t="s">
        <v>36</v>
      </c>
      <c r="O615" s="5">
        <v>1</v>
      </c>
      <c r="P615" s="5" t="s">
        <v>43</v>
      </c>
      <c r="Q615" s="5">
        <v>12.99</v>
      </c>
      <c r="R615" s="5"/>
      <c r="S615" s="5"/>
      <c r="T615" s="5"/>
      <c r="U615" s="5"/>
      <c r="V615" s="5"/>
      <c r="W615" s="5"/>
      <c r="X615" s="5"/>
      <c r="Y615" s="5" t="s">
        <v>3012</v>
      </c>
      <c r="Z615" s="5" t="s">
        <v>391</v>
      </c>
      <c r="AA615" s="5" t="s">
        <v>3013</v>
      </c>
      <c r="AB615" s="5" t="s">
        <v>46</v>
      </c>
      <c r="AC615" s="5"/>
      <c r="AD615" s="5" t="b">
        <v>0</v>
      </c>
      <c r="AE615" s="5"/>
      <c r="AF615" s="5"/>
      <c r="AG615" s="9">
        <f t="shared" si="9"/>
        <v>43273</v>
      </c>
    </row>
    <row r="616" s="6" customFormat="1" spans="1:33">
      <c r="A616" s="5" t="s">
        <v>3014</v>
      </c>
      <c r="B616" s="5" t="s">
        <v>3014</v>
      </c>
      <c r="C616" s="5" t="s">
        <v>3015</v>
      </c>
      <c r="D616" s="5" t="s">
        <v>3016</v>
      </c>
      <c r="E616" s="5" t="s">
        <v>36</v>
      </c>
      <c r="F616" s="5" t="s">
        <v>37</v>
      </c>
      <c r="G616" s="5" t="s">
        <v>38</v>
      </c>
      <c r="H616" s="5"/>
      <c r="I616" s="5"/>
      <c r="J616" s="5" t="s">
        <v>128</v>
      </c>
      <c r="K616" s="5" t="s">
        <v>101</v>
      </c>
      <c r="L616" s="5" t="s">
        <v>102</v>
      </c>
      <c r="M616" s="5" t="s">
        <v>103</v>
      </c>
      <c r="N616" s="5" t="s">
        <v>36</v>
      </c>
      <c r="O616" s="5">
        <v>1</v>
      </c>
      <c r="P616" s="5" t="s">
        <v>43</v>
      </c>
      <c r="Q616" s="5">
        <v>12.99</v>
      </c>
      <c r="R616" s="5"/>
      <c r="S616" s="5">
        <v>0.94</v>
      </c>
      <c r="T616" s="5"/>
      <c r="U616" s="5"/>
      <c r="V616" s="5"/>
      <c r="W616" s="5"/>
      <c r="X616" s="5"/>
      <c r="Y616" s="5" t="s">
        <v>3017</v>
      </c>
      <c r="Z616" s="5" t="s">
        <v>223</v>
      </c>
      <c r="AA616" s="5" t="s">
        <v>3018</v>
      </c>
      <c r="AB616" s="5" t="s">
        <v>46</v>
      </c>
      <c r="AC616" s="5"/>
      <c r="AD616" s="5" t="b">
        <v>0</v>
      </c>
      <c r="AE616" s="5"/>
      <c r="AF616" s="5"/>
      <c r="AG616" s="9">
        <f t="shared" si="9"/>
        <v>43273</v>
      </c>
    </row>
    <row r="617" s="6" customFormat="1" spans="1:33">
      <c r="A617" s="5" t="s">
        <v>3019</v>
      </c>
      <c r="B617" s="5" t="s">
        <v>3019</v>
      </c>
      <c r="C617" s="5" t="s">
        <v>3020</v>
      </c>
      <c r="D617" s="5" t="s">
        <v>3021</v>
      </c>
      <c r="E617" s="5" t="s">
        <v>36</v>
      </c>
      <c r="F617" s="5" t="s">
        <v>37</v>
      </c>
      <c r="G617" s="5" t="s">
        <v>38</v>
      </c>
      <c r="H617" s="5"/>
      <c r="I617" s="5"/>
      <c r="J617" s="5" t="s">
        <v>39</v>
      </c>
      <c r="K617" s="5" t="s">
        <v>101</v>
      </c>
      <c r="L617" s="5" t="s">
        <v>102</v>
      </c>
      <c r="M617" s="5" t="s">
        <v>103</v>
      </c>
      <c r="N617" s="5" t="s">
        <v>36</v>
      </c>
      <c r="O617" s="5">
        <v>1</v>
      </c>
      <c r="P617" s="5" t="s">
        <v>43</v>
      </c>
      <c r="Q617" s="5">
        <v>12.99</v>
      </c>
      <c r="R617" s="5"/>
      <c r="S617" s="5"/>
      <c r="T617" s="5"/>
      <c r="U617" s="5"/>
      <c r="V617" s="5"/>
      <c r="W617" s="5"/>
      <c r="X617" s="5"/>
      <c r="Y617" s="5" t="s">
        <v>3022</v>
      </c>
      <c r="Z617" s="5" t="s">
        <v>218</v>
      </c>
      <c r="AA617" s="5" t="s">
        <v>3023</v>
      </c>
      <c r="AB617" s="5" t="s">
        <v>46</v>
      </c>
      <c r="AC617" s="5"/>
      <c r="AD617" s="5" t="b">
        <v>0</v>
      </c>
      <c r="AE617" s="5"/>
      <c r="AF617" s="5"/>
      <c r="AG617" s="9">
        <f t="shared" si="9"/>
        <v>43273</v>
      </c>
    </row>
    <row r="618" s="6" customFormat="1" spans="1:33">
      <c r="A618" s="5" t="s">
        <v>3024</v>
      </c>
      <c r="B618" s="5" t="s">
        <v>3024</v>
      </c>
      <c r="C618" s="5" t="s">
        <v>3025</v>
      </c>
      <c r="D618" s="5" t="s">
        <v>3026</v>
      </c>
      <c r="E618" s="5" t="s">
        <v>36</v>
      </c>
      <c r="F618" s="5" t="s">
        <v>37</v>
      </c>
      <c r="G618" s="5" t="s">
        <v>38</v>
      </c>
      <c r="H618" s="5"/>
      <c r="I618" s="5"/>
      <c r="J618" s="5" t="s">
        <v>39</v>
      </c>
      <c r="K618" s="5" t="s">
        <v>50</v>
      </c>
      <c r="L618" s="5" t="s">
        <v>51</v>
      </c>
      <c r="M618" s="5" t="s">
        <v>52</v>
      </c>
      <c r="N618" s="5" t="s">
        <v>36</v>
      </c>
      <c r="O618" s="5">
        <v>2</v>
      </c>
      <c r="P618" s="5" t="s">
        <v>43</v>
      </c>
      <c r="Q618" s="5">
        <v>37.98</v>
      </c>
      <c r="R618" s="5"/>
      <c r="S618" s="5"/>
      <c r="T618" s="5"/>
      <c r="U618" s="5"/>
      <c r="V618" s="5"/>
      <c r="W618" s="5">
        <v>1.9</v>
      </c>
      <c r="X618" s="5"/>
      <c r="Y618" s="5" t="s">
        <v>3027</v>
      </c>
      <c r="Z618" s="5" t="s">
        <v>142</v>
      </c>
      <c r="AA618" s="5" t="s">
        <v>3028</v>
      </c>
      <c r="AB618" s="5" t="s">
        <v>46</v>
      </c>
      <c r="AC618" s="5" t="s">
        <v>115</v>
      </c>
      <c r="AD618" s="5" t="b">
        <v>0</v>
      </c>
      <c r="AE618" s="5"/>
      <c r="AF618" s="5"/>
      <c r="AG618" s="9">
        <f t="shared" si="9"/>
        <v>43273</v>
      </c>
    </row>
    <row r="619" s="6" customFormat="1" spans="1:33">
      <c r="A619" s="5" t="s">
        <v>3029</v>
      </c>
      <c r="B619" s="5" t="s">
        <v>3029</v>
      </c>
      <c r="C619" s="5" t="s">
        <v>3030</v>
      </c>
      <c r="D619" s="5" t="s">
        <v>3031</v>
      </c>
      <c r="E619" s="5" t="s">
        <v>36</v>
      </c>
      <c r="F619" s="5" t="s">
        <v>37</v>
      </c>
      <c r="G619" s="5" t="s">
        <v>38</v>
      </c>
      <c r="H619" s="5"/>
      <c r="I619" s="5"/>
      <c r="J619" s="5" t="s">
        <v>128</v>
      </c>
      <c r="K619" s="5" t="s">
        <v>119</v>
      </c>
      <c r="L619" s="5" t="s">
        <v>2099</v>
      </c>
      <c r="M619" s="5" t="s">
        <v>121</v>
      </c>
      <c r="N619" s="5" t="s">
        <v>36</v>
      </c>
      <c r="O619" s="5">
        <v>2</v>
      </c>
      <c r="P619" s="5" t="s">
        <v>43</v>
      </c>
      <c r="Q619" s="5">
        <v>49.98</v>
      </c>
      <c r="R619" s="5"/>
      <c r="S619" s="5">
        <v>0.55</v>
      </c>
      <c r="T619" s="5"/>
      <c r="U619" s="5"/>
      <c r="V619" s="5"/>
      <c r="W619" s="5">
        <v>2.5</v>
      </c>
      <c r="X619" s="5">
        <v>0.55</v>
      </c>
      <c r="Y619" s="5" t="s">
        <v>2801</v>
      </c>
      <c r="Z619" s="5" t="s">
        <v>142</v>
      </c>
      <c r="AA619" s="5" t="s">
        <v>3032</v>
      </c>
      <c r="AB619" s="5" t="s">
        <v>46</v>
      </c>
      <c r="AC619" s="5" t="s">
        <v>132</v>
      </c>
      <c r="AD619" s="5" t="b">
        <v>0</v>
      </c>
      <c r="AE619" s="5"/>
      <c r="AF619" s="5"/>
      <c r="AG619" s="9">
        <f t="shared" si="9"/>
        <v>43273</v>
      </c>
    </row>
    <row r="620" s="6" customFormat="1" spans="1:33">
      <c r="A620" s="5" t="s">
        <v>3033</v>
      </c>
      <c r="B620" s="5" t="s">
        <v>3033</v>
      </c>
      <c r="C620" s="5" t="s">
        <v>3034</v>
      </c>
      <c r="D620" s="5" t="s">
        <v>3035</v>
      </c>
      <c r="E620" s="5" t="s">
        <v>36</v>
      </c>
      <c r="F620" s="5" t="s">
        <v>37</v>
      </c>
      <c r="G620" s="5" t="s">
        <v>38</v>
      </c>
      <c r="H620" s="5"/>
      <c r="I620" s="5"/>
      <c r="J620" s="5" t="s">
        <v>39</v>
      </c>
      <c r="K620" s="5" t="s">
        <v>147</v>
      </c>
      <c r="L620" s="5" t="s">
        <v>148</v>
      </c>
      <c r="M620" s="5" t="s">
        <v>149</v>
      </c>
      <c r="N620" s="5" t="s">
        <v>36</v>
      </c>
      <c r="O620" s="5">
        <v>1</v>
      </c>
      <c r="P620" s="5" t="s">
        <v>43</v>
      </c>
      <c r="Q620" s="5">
        <v>12.98</v>
      </c>
      <c r="R620" s="5"/>
      <c r="S620" s="5"/>
      <c r="T620" s="5"/>
      <c r="U620" s="5"/>
      <c r="V620" s="5"/>
      <c r="W620" s="5"/>
      <c r="X620" s="5"/>
      <c r="Y620" s="5" t="s">
        <v>3036</v>
      </c>
      <c r="Z620" s="5" t="s">
        <v>335</v>
      </c>
      <c r="AA620" s="5" t="s">
        <v>3037</v>
      </c>
      <c r="AB620" s="5" t="s">
        <v>46</v>
      </c>
      <c r="AC620" s="5"/>
      <c r="AD620" s="5" t="b">
        <v>0</v>
      </c>
      <c r="AE620" s="5"/>
      <c r="AF620" s="5"/>
      <c r="AG620" s="9">
        <f t="shared" si="9"/>
        <v>43273</v>
      </c>
    </row>
    <row r="621" s="6" customFormat="1" spans="1:33">
      <c r="A621" s="5" t="s">
        <v>3038</v>
      </c>
      <c r="B621" s="5" t="s">
        <v>3038</v>
      </c>
      <c r="C621" s="5" t="s">
        <v>3039</v>
      </c>
      <c r="D621" s="5" t="s">
        <v>3040</v>
      </c>
      <c r="E621" s="5" t="s">
        <v>36</v>
      </c>
      <c r="F621" s="5" t="s">
        <v>37</v>
      </c>
      <c r="G621" s="5" t="s">
        <v>38</v>
      </c>
      <c r="H621" s="5"/>
      <c r="I621" s="5"/>
      <c r="J621" s="5" t="s">
        <v>39</v>
      </c>
      <c r="K621" s="5" t="s">
        <v>147</v>
      </c>
      <c r="L621" s="5" t="s">
        <v>148</v>
      </c>
      <c r="M621" s="5" t="s">
        <v>149</v>
      </c>
      <c r="N621" s="5" t="s">
        <v>36</v>
      </c>
      <c r="O621" s="5">
        <v>1</v>
      </c>
      <c r="P621" s="5" t="s">
        <v>43</v>
      </c>
      <c r="Q621" s="5">
        <v>12.98</v>
      </c>
      <c r="R621" s="5"/>
      <c r="S621" s="5"/>
      <c r="T621" s="5"/>
      <c r="U621" s="5"/>
      <c r="V621" s="5"/>
      <c r="W621" s="5"/>
      <c r="X621" s="5"/>
      <c r="Y621" s="5" t="s">
        <v>3041</v>
      </c>
      <c r="Z621" s="5" t="s">
        <v>3042</v>
      </c>
      <c r="AA621" s="5">
        <v>48317</v>
      </c>
      <c r="AB621" s="5" t="s">
        <v>46</v>
      </c>
      <c r="AC621" s="5"/>
      <c r="AD621" s="5" t="b">
        <v>0</v>
      </c>
      <c r="AE621" s="5"/>
      <c r="AF621" s="5"/>
      <c r="AG621" s="9">
        <f t="shared" si="9"/>
        <v>43273</v>
      </c>
    </row>
    <row r="622" s="6" customFormat="1" spans="1:33">
      <c r="A622" s="5" t="s">
        <v>3043</v>
      </c>
      <c r="B622" s="5" t="s">
        <v>3043</v>
      </c>
      <c r="C622" s="5" t="s">
        <v>3044</v>
      </c>
      <c r="D622" s="5" t="s">
        <v>3045</v>
      </c>
      <c r="E622" s="5" t="s">
        <v>36</v>
      </c>
      <c r="F622" s="5" t="s">
        <v>37</v>
      </c>
      <c r="G622" s="5" t="s">
        <v>38</v>
      </c>
      <c r="H622" s="5"/>
      <c r="I622" s="5"/>
      <c r="J622" s="5" t="s">
        <v>39</v>
      </c>
      <c r="K622" s="5" t="s">
        <v>166</v>
      </c>
      <c r="L622" s="5" t="s">
        <v>2634</v>
      </c>
      <c r="M622" s="5" t="s">
        <v>2635</v>
      </c>
      <c r="N622" s="5" t="s">
        <v>36</v>
      </c>
      <c r="O622" s="5">
        <v>1</v>
      </c>
      <c r="P622" s="5" t="s">
        <v>43</v>
      </c>
      <c r="Q622" s="5">
        <v>15</v>
      </c>
      <c r="R622" s="5">
        <v>1.02</v>
      </c>
      <c r="S622" s="5"/>
      <c r="T622" s="5"/>
      <c r="U622" s="5"/>
      <c r="V622" s="5"/>
      <c r="W622" s="5">
        <v>3</v>
      </c>
      <c r="X622" s="5"/>
      <c r="Y622" s="5" t="s">
        <v>3046</v>
      </c>
      <c r="Z622" s="5" t="s">
        <v>474</v>
      </c>
      <c r="AA622" s="5" t="s">
        <v>3047</v>
      </c>
      <c r="AB622" s="5" t="s">
        <v>46</v>
      </c>
      <c r="AC622" s="5" t="s">
        <v>172</v>
      </c>
      <c r="AD622" s="5" t="b">
        <v>0</v>
      </c>
      <c r="AE622" s="5"/>
      <c r="AF622" s="5"/>
      <c r="AG622" s="9">
        <f t="shared" si="9"/>
        <v>43273</v>
      </c>
    </row>
    <row r="623" s="6" customFormat="1" spans="1:33">
      <c r="A623" s="5" t="s">
        <v>3048</v>
      </c>
      <c r="B623" s="5" t="s">
        <v>3048</v>
      </c>
      <c r="C623" s="5" t="s">
        <v>3049</v>
      </c>
      <c r="D623" s="5" t="s">
        <v>3050</v>
      </c>
      <c r="E623" s="5" t="s">
        <v>36</v>
      </c>
      <c r="F623" s="5" t="s">
        <v>37</v>
      </c>
      <c r="G623" s="5" t="s">
        <v>38</v>
      </c>
      <c r="H623" s="5"/>
      <c r="I623" s="5"/>
      <c r="J623" s="5" t="s">
        <v>39</v>
      </c>
      <c r="K623" s="5" t="s">
        <v>365</v>
      </c>
      <c r="L623" s="5" t="s">
        <v>419</v>
      </c>
      <c r="M623" s="5" t="s">
        <v>367</v>
      </c>
      <c r="N623" s="5" t="s">
        <v>36</v>
      </c>
      <c r="O623" s="5">
        <v>1</v>
      </c>
      <c r="P623" s="5" t="s">
        <v>43</v>
      </c>
      <c r="Q623" s="5">
        <v>18.99</v>
      </c>
      <c r="R623" s="5"/>
      <c r="S623" s="5"/>
      <c r="T623" s="5"/>
      <c r="U623" s="5"/>
      <c r="V623" s="5"/>
      <c r="W623" s="5"/>
      <c r="X623" s="5"/>
      <c r="Y623" s="5" t="s">
        <v>3051</v>
      </c>
      <c r="Z623" s="5" t="s">
        <v>87</v>
      </c>
      <c r="AA623" s="5" t="s">
        <v>3052</v>
      </c>
      <c r="AB623" s="5" t="s">
        <v>46</v>
      </c>
      <c r="AC623" s="5"/>
      <c r="AD623" s="5" t="b">
        <v>0</v>
      </c>
      <c r="AE623" s="5"/>
      <c r="AF623" s="5"/>
      <c r="AG623" s="9">
        <f t="shared" si="9"/>
        <v>43273</v>
      </c>
    </row>
    <row r="624" s="6" customFormat="1" spans="1:33">
      <c r="A624" s="5" t="s">
        <v>3053</v>
      </c>
      <c r="B624" s="5" t="s">
        <v>3053</v>
      </c>
      <c r="C624" s="5" t="s">
        <v>3054</v>
      </c>
      <c r="D624" s="5" t="s">
        <v>3055</v>
      </c>
      <c r="E624" s="5" t="s">
        <v>36</v>
      </c>
      <c r="F624" s="5" t="s">
        <v>37</v>
      </c>
      <c r="G624" s="5" t="s">
        <v>38</v>
      </c>
      <c r="H624" s="5"/>
      <c r="I624" s="5"/>
      <c r="J624" s="5" t="s">
        <v>39</v>
      </c>
      <c r="K624" s="5" t="s">
        <v>1291</v>
      </c>
      <c r="L624" s="5" t="s">
        <v>1292</v>
      </c>
      <c r="M624" s="5" t="s">
        <v>1293</v>
      </c>
      <c r="N624" s="5" t="s">
        <v>36</v>
      </c>
      <c r="O624" s="5">
        <v>1</v>
      </c>
      <c r="P624" s="5" t="s">
        <v>43</v>
      </c>
      <c r="Q624" s="5">
        <v>12.99</v>
      </c>
      <c r="R624" s="5"/>
      <c r="S624" s="5"/>
      <c r="T624" s="5"/>
      <c r="U624" s="5"/>
      <c r="V624" s="5"/>
      <c r="W624" s="5"/>
      <c r="X624" s="5"/>
      <c r="Y624" s="5" t="s">
        <v>1486</v>
      </c>
      <c r="Z624" s="5" t="s">
        <v>391</v>
      </c>
      <c r="AA624" s="5" t="s">
        <v>3056</v>
      </c>
      <c r="AB624" s="5" t="s">
        <v>46</v>
      </c>
      <c r="AC624" s="5"/>
      <c r="AD624" s="5" t="b">
        <v>0</v>
      </c>
      <c r="AE624" s="5"/>
      <c r="AF624" s="5"/>
      <c r="AG624" s="9">
        <f t="shared" si="9"/>
        <v>43273</v>
      </c>
    </row>
    <row r="625" s="6" customFormat="1" spans="1:33">
      <c r="A625" s="5" t="s">
        <v>3057</v>
      </c>
      <c r="B625" s="5" t="s">
        <v>3057</v>
      </c>
      <c r="C625" s="5" t="s">
        <v>3058</v>
      </c>
      <c r="D625" s="5" t="s">
        <v>3059</v>
      </c>
      <c r="E625" s="5" t="s">
        <v>36</v>
      </c>
      <c r="F625" s="5" t="s">
        <v>37</v>
      </c>
      <c r="G625" s="5" t="s">
        <v>38</v>
      </c>
      <c r="H625" s="5"/>
      <c r="I625" s="5"/>
      <c r="J625" s="5" t="s">
        <v>128</v>
      </c>
      <c r="K625" s="5" t="s">
        <v>101</v>
      </c>
      <c r="L625" s="5" t="s">
        <v>102</v>
      </c>
      <c r="M625" s="5" t="s">
        <v>103</v>
      </c>
      <c r="N625" s="5" t="s">
        <v>36</v>
      </c>
      <c r="O625" s="5">
        <v>1</v>
      </c>
      <c r="P625" s="5" t="s">
        <v>43</v>
      </c>
      <c r="Q625" s="5">
        <v>12.99</v>
      </c>
      <c r="R625" s="5"/>
      <c r="S625" s="5">
        <v>1.38</v>
      </c>
      <c r="T625" s="5"/>
      <c r="U625" s="5"/>
      <c r="V625" s="5"/>
      <c r="W625" s="5"/>
      <c r="X625" s="5">
        <v>1.38</v>
      </c>
      <c r="Y625" s="5" t="s">
        <v>3060</v>
      </c>
      <c r="Z625" s="5" t="s">
        <v>3061</v>
      </c>
      <c r="AA625" s="5">
        <v>92879</v>
      </c>
      <c r="AB625" s="5" t="s">
        <v>46</v>
      </c>
      <c r="AC625" s="5" t="s">
        <v>225</v>
      </c>
      <c r="AD625" s="5" t="b">
        <v>0</v>
      </c>
      <c r="AE625" s="5"/>
      <c r="AF625" s="5"/>
      <c r="AG625" s="9">
        <f t="shared" si="9"/>
        <v>43273</v>
      </c>
    </row>
    <row r="626" s="6" customFormat="1" spans="1:33">
      <c r="A626" s="5" t="s">
        <v>3062</v>
      </c>
      <c r="B626" s="5" t="s">
        <v>3062</v>
      </c>
      <c r="C626" s="5" t="s">
        <v>3063</v>
      </c>
      <c r="D626" s="5" t="s">
        <v>3064</v>
      </c>
      <c r="E626" s="5" t="s">
        <v>36</v>
      </c>
      <c r="F626" s="5" t="s">
        <v>37</v>
      </c>
      <c r="G626" s="5" t="s">
        <v>38</v>
      </c>
      <c r="H626" s="5"/>
      <c r="I626" s="5"/>
      <c r="J626" s="5" t="s">
        <v>39</v>
      </c>
      <c r="K626" s="5" t="s">
        <v>387</v>
      </c>
      <c r="L626" s="5" t="s">
        <v>388</v>
      </c>
      <c r="M626" s="5" t="s">
        <v>389</v>
      </c>
      <c r="N626" s="5" t="s">
        <v>36</v>
      </c>
      <c r="O626" s="5">
        <v>1</v>
      </c>
      <c r="P626" s="5" t="s">
        <v>43</v>
      </c>
      <c r="Q626" s="5">
        <v>18.99</v>
      </c>
      <c r="R626" s="5"/>
      <c r="S626" s="5"/>
      <c r="T626" s="5"/>
      <c r="U626" s="5"/>
      <c r="V626" s="5"/>
      <c r="W626" s="5"/>
      <c r="X626" s="5"/>
      <c r="Y626" s="5" t="s">
        <v>3065</v>
      </c>
      <c r="Z626" s="5" t="s">
        <v>1300</v>
      </c>
      <c r="AA626" s="5" t="s">
        <v>3066</v>
      </c>
      <c r="AB626" s="5" t="s">
        <v>46</v>
      </c>
      <c r="AC626" s="5"/>
      <c r="AD626" s="5" t="b">
        <v>0</v>
      </c>
      <c r="AE626" s="5"/>
      <c r="AF626" s="5"/>
      <c r="AG626" s="9">
        <f t="shared" si="9"/>
        <v>43273</v>
      </c>
    </row>
    <row r="627" s="6" customFormat="1" spans="1:33">
      <c r="A627" s="5" t="s">
        <v>3067</v>
      </c>
      <c r="B627" s="5" t="s">
        <v>3067</v>
      </c>
      <c r="C627" s="5" t="s">
        <v>3068</v>
      </c>
      <c r="D627" s="5" t="s">
        <v>3069</v>
      </c>
      <c r="E627" s="5" t="s">
        <v>36</v>
      </c>
      <c r="F627" s="5" t="s">
        <v>37</v>
      </c>
      <c r="G627" s="5" t="s">
        <v>38</v>
      </c>
      <c r="H627" s="5"/>
      <c r="I627" s="5"/>
      <c r="J627" s="5" t="s">
        <v>39</v>
      </c>
      <c r="K627" s="5" t="s">
        <v>119</v>
      </c>
      <c r="L627" s="5" t="s">
        <v>2099</v>
      </c>
      <c r="M627" s="5" t="s">
        <v>121</v>
      </c>
      <c r="N627" s="5" t="s">
        <v>36</v>
      </c>
      <c r="O627" s="5">
        <v>1</v>
      </c>
      <c r="P627" s="5" t="s">
        <v>43</v>
      </c>
      <c r="Q627" s="5">
        <v>24.99</v>
      </c>
      <c r="R627" s="5"/>
      <c r="S627" s="5"/>
      <c r="T627" s="5"/>
      <c r="U627" s="5"/>
      <c r="V627" s="5"/>
      <c r="W627" s="5"/>
      <c r="X627" s="5"/>
      <c r="Y627" s="5" t="s">
        <v>2614</v>
      </c>
      <c r="Z627" s="5" t="s">
        <v>377</v>
      </c>
      <c r="AA627" s="5" t="s">
        <v>2615</v>
      </c>
      <c r="AB627" s="5" t="s">
        <v>46</v>
      </c>
      <c r="AC627" s="5"/>
      <c r="AD627" s="5" t="b">
        <v>0</v>
      </c>
      <c r="AE627" s="5"/>
      <c r="AF627" s="5"/>
      <c r="AG627" s="9">
        <f t="shared" si="9"/>
        <v>43273</v>
      </c>
    </row>
    <row r="628" s="6" customFormat="1" spans="1:33">
      <c r="A628" s="5" t="s">
        <v>3070</v>
      </c>
      <c r="B628" s="5" t="s">
        <v>3070</v>
      </c>
      <c r="C628" s="5" t="s">
        <v>3071</v>
      </c>
      <c r="D628" s="5" t="s">
        <v>3072</v>
      </c>
      <c r="E628" s="5" t="s">
        <v>36</v>
      </c>
      <c r="F628" s="5" t="s">
        <v>37</v>
      </c>
      <c r="G628" s="5" t="s">
        <v>38</v>
      </c>
      <c r="H628" s="5"/>
      <c r="I628" s="5"/>
      <c r="J628" s="5" t="s">
        <v>39</v>
      </c>
      <c r="K628" s="5" t="s">
        <v>533</v>
      </c>
      <c r="L628" s="5" t="s">
        <v>1048</v>
      </c>
      <c r="M628" s="5" t="s">
        <v>535</v>
      </c>
      <c r="N628" s="5" t="s">
        <v>36</v>
      </c>
      <c r="O628" s="5">
        <v>1</v>
      </c>
      <c r="P628" s="5" t="s">
        <v>43</v>
      </c>
      <c r="Q628" s="5">
        <v>24.99</v>
      </c>
      <c r="R628" s="5"/>
      <c r="S628" s="5"/>
      <c r="T628" s="5"/>
      <c r="U628" s="5"/>
      <c r="V628" s="5"/>
      <c r="W628" s="5"/>
      <c r="X628" s="5"/>
      <c r="Y628" s="5" t="s">
        <v>3073</v>
      </c>
      <c r="Z628" s="5" t="s">
        <v>142</v>
      </c>
      <c r="AA628" s="5" t="s">
        <v>3074</v>
      </c>
      <c r="AB628" s="5" t="s">
        <v>46</v>
      </c>
      <c r="AC628" s="5"/>
      <c r="AD628" s="5" t="b">
        <v>0</v>
      </c>
      <c r="AE628" s="5"/>
      <c r="AF628" s="5"/>
      <c r="AG628" s="9">
        <f t="shared" si="9"/>
        <v>43273</v>
      </c>
    </row>
    <row r="629" s="6" customFormat="1" spans="1:33">
      <c r="A629" s="5" t="s">
        <v>3075</v>
      </c>
      <c r="B629" s="5" t="s">
        <v>3075</v>
      </c>
      <c r="C629" s="5" t="s">
        <v>3076</v>
      </c>
      <c r="D629" s="5" t="s">
        <v>3077</v>
      </c>
      <c r="E629" s="5" t="s">
        <v>36</v>
      </c>
      <c r="F629" s="5" t="s">
        <v>37</v>
      </c>
      <c r="G629" s="5" t="s">
        <v>38</v>
      </c>
      <c r="H629" s="5"/>
      <c r="I629" s="5"/>
      <c r="J629" s="5" t="s">
        <v>39</v>
      </c>
      <c r="K629" s="5" t="s">
        <v>365</v>
      </c>
      <c r="L629" s="5" t="s">
        <v>419</v>
      </c>
      <c r="M629" s="5" t="s">
        <v>367</v>
      </c>
      <c r="N629" s="5" t="s">
        <v>36</v>
      </c>
      <c r="O629" s="5">
        <v>1</v>
      </c>
      <c r="P629" s="5" t="s">
        <v>43</v>
      </c>
      <c r="Q629" s="5">
        <v>18.99</v>
      </c>
      <c r="R629" s="5"/>
      <c r="S629" s="5"/>
      <c r="T629" s="5"/>
      <c r="U629" s="5"/>
      <c r="V629" s="5"/>
      <c r="W629" s="5"/>
      <c r="X629" s="5"/>
      <c r="Y629" s="5" t="s">
        <v>2025</v>
      </c>
      <c r="Z629" s="5" t="s">
        <v>264</v>
      </c>
      <c r="AA629" s="5" t="s">
        <v>3078</v>
      </c>
      <c r="AB629" s="5" t="s">
        <v>46</v>
      </c>
      <c r="AC629" s="5"/>
      <c r="AD629" s="5" t="b">
        <v>0</v>
      </c>
      <c r="AE629" s="5"/>
      <c r="AF629" s="5"/>
      <c r="AG629" s="9">
        <f t="shared" si="9"/>
        <v>43273</v>
      </c>
    </row>
    <row r="630" s="6" customFormat="1" spans="1:33">
      <c r="A630" s="5" t="s">
        <v>3079</v>
      </c>
      <c r="B630" s="5" t="s">
        <v>3079</v>
      </c>
      <c r="C630" s="5" t="s">
        <v>3080</v>
      </c>
      <c r="D630" s="5" t="s">
        <v>3081</v>
      </c>
      <c r="E630" s="5" t="s">
        <v>36</v>
      </c>
      <c r="F630" s="5" t="s">
        <v>37</v>
      </c>
      <c r="G630" s="5" t="s">
        <v>38</v>
      </c>
      <c r="H630" s="5"/>
      <c r="I630" s="5"/>
      <c r="J630" s="5" t="s">
        <v>39</v>
      </c>
      <c r="K630" s="5" t="s">
        <v>119</v>
      </c>
      <c r="L630" s="5" t="s">
        <v>2099</v>
      </c>
      <c r="M630" s="5" t="s">
        <v>121</v>
      </c>
      <c r="N630" s="5" t="s">
        <v>36</v>
      </c>
      <c r="O630" s="5">
        <v>1</v>
      </c>
      <c r="P630" s="5" t="s">
        <v>43</v>
      </c>
      <c r="Q630" s="5">
        <v>24.99</v>
      </c>
      <c r="R630" s="5"/>
      <c r="S630" s="5"/>
      <c r="T630" s="5"/>
      <c r="U630" s="5"/>
      <c r="V630" s="5"/>
      <c r="W630" s="5"/>
      <c r="X630" s="5"/>
      <c r="Y630" s="5" t="s">
        <v>3082</v>
      </c>
      <c r="Z630" s="5" t="s">
        <v>223</v>
      </c>
      <c r="AA630" s="5" t="s">
        <v>3083</v>
      </c>
      <c r="AB630" s="5" t="s">
        <v>46</v>
      </c>
      <c r="AC630" s="5"/>
      <c r="AD630" s="5" t="b">
        <v>0</v>
      </c>
      <c r="AE630" s="5"/>
      <c r="AF630" s="5"/>
      <c r="AG630" s="9">
        <f t="shared" si="9"/>
        <v>43273</v>
      </c>
    </row>
    <row r="631" s="6" customFormat="1" spans="1:33">
      <c r="A631" s="5" t="s">
        <v>3084</v>
      </c>
      <c r="B631" s="5" t="s">
        <v>3084</v>
      </c>
      <c r="C631" s="5" t="s">
        <v>3085</v>
      </c>
      <c r="D631" s="5" t="s">
        <v>3086</v>
      </c>
      <c r="E631" s="5" t="s">
        <v>36</v>
      </c>
      <c r="F631" s="5" t="s">
        <v>37</v>
      </c>
      <c r="G631" s="5" t="s">
        <v>38</v>
      </c>
      <c r="H631" s="5"/>
      <c r="I631" s="5"/>
      <c r="J631" s="5" t="s">
        <v>39</v>
      </c>
      <c r="K631" s="5" t="s">
        <v>58</v>
      </c>
      <c r="L631" s="5" t="s">
        <v>59</v>
      </c>
      <c r="M631" s="5" t="s">
        <v>60</v>
      </c>
      <c r="N631" s="5" t="s">
        <v>36</v>
      </c>
      <c r="O631" s="5">
        <v>1</v>
      </c>
      <c r="P631" s="5" t="s">
        <v>43</v>
      </c>
      <c r="Q631" s="5">
        <v>13.99</v>
      </c>
      <c r="R631" s="5"/>
      <c r="S631" s="5"/>
      <c r="T631" s="5"/>
      <c r="U631" s="5"/>
      <c r="V631" s="5"/>
      <c r="W631" s="5"/>
      <c r="X631" s="5"/>
      <c r="Y631" s="5" t="s">
        <v>3087</v>
      </c>
      <c r="Z631" s="5" t="s">
        <v>3088</v>
      </c>
      <c r="AA631" s="5">
        <v>22314</v>
      </c>
      <c r="AB631" s="5" t="s">
        <v>46</v>
      </c>
      <c r="AC631" s="5"/>
      <c r="AD631" s="5" t="b">
        <v>0</v>
      </c>
      <c r="AE631" s="5"/>
      <c r="AF631" s="5"/>
      <c r="AG631" s="9">
        <f t="shared" si="9"/>
        <v>43273</v>
      </c>
    </row>
    <row r="632" s="6" customFormat="1" spans="1:33">
      <c r="A632" s="5" t="s">
        <v>3089</v>
      </c>
      <c r="B632" s="5" t="s">
        <v>3089</v>
      </c>
      <c r="C632" s="5" t="s">
        <v>3090</v>
      </c>
      <c r="D632" s="5" t="s">
        <v>3091</v>
      </c>
      <c r="E632" s="5" t="s">
        <v>36</v>
      </c>
      <c r="F632" s="5" t="s">
        <v>37</v>
      </c>
      <c r="G632" s="5" t="s">
        <v>38</v>
      </c>
      <c r="H632" s="5"/>
      <c r="I632" s="5"/>
      <c r="J632" s="5" t="s">
        <v>39</v>
      </c>
      <c r="K632" s="5" t="s">
        <v>201</v>
      </c>
      <c r="L632" s="5" t="s">
        <v>202</v>
      </c>
      <c r="M632" s="5" t="s">
        <v>203</v>
      </c>
      <c r="N632" s="5" t="s">
        <v>36</v>
      </c>
      <c r="O632" s="5">
        <v>1</v>
      </c>
      <c r="P632" s="5" t="s">
        <v>43</v>
      </c>
      <c r="Q632" s="5">
        <v>18.99</v>
      </c>
      <c r="R632" s="5"/>
      <c r="S632" s="5"/>
      <c r="T632" s="5"/>
      <c r="U632" s="5"/>
      <c r="V632" s="5"/>
      <c r="W632" s="5"/>
      <c r="X632" s="5"/>
      <c r="Y632" s="5" t="s">
        <v>1729</v>
      </c>
      <c r="Z632" s="5" t="s">
        <v>87</v>
      </c>
      <c r="AA632" s="5" t="s">
        <v>1730</v>
      </c>
      <c r="AB632" s="5" t="s">
        <v>46</v>
      </c>
      <c r="AC632" s="5"/>
      <c r="AD632" s="5" t="b">
        <v>0</v>
      </c>
      <c r="AE632" s="5"/>
      <c r="AF632" s="5"/>
      <c r="AG632" s="9">
        <f t="shared" si="9"/>
        <v>43273</v>
      </c>
    </row>
    <row r="633" s="6" customFormat="1" spans="1:33">
      <c r="A633" s="5" t="s">
        <v>3092</v>
      </c>
      <c r="B633" s="5" t="s">
        <v>3092</v>
      </c>
      <c r="C633" s="5" t="s">
        <v>3093</v>
      </c>
      <c r="D633" s="5" t="s">
        <v>3094</v>
      </c>
      <c r="E633" s="5" t="s">
        <v>36</v>
      </c>
      <c r="F633" s="5" t="s">
        <v>37</v>
      </c>
      <c r="G633" s="5" t="s">
        <v>38</v>
      </c>
      <c r="H633" s="5"/>
      <c r="I633" s="5"/>
      <c r="J633" s="5" t="s">
        <v>128</v>
      </c>
      <c r="K633" s="5" t="s">
        <v>3095</v>
      </c>
      <c r="L633" s="5" t="s">
        <v>3096</v>
      </c>
      <c r="M633" s="5" t="s">
        <v>3097</v>
      </c>
      <c r="N633" s="5" t="s">
        <v>36</v>
      </c>
      <c r="O633" s="5">
        <v>1</v>
      </c>
      <c r="P633" s="5" t="s">
        <v>43</v>
      </c>
      <c r="Q633" s="5">
        <v>20</v>
      </c>
      <c r="R633" s="5"/>
      <c r="S633" s="5">
        <v>1.26</v>
      </c>
      <c r="T633" s="5"/>
      <c r="U633" s="5"/>
      <c r="V633" s="5"/>
      <c r="W633" s="5"/>
      <c r="X633" s="5"/>
      <c r="Y633" s="5" t="s">
        <v>3098</v>
      </c>
      <c r="Z633" s="5" t="s">
        <v>1534</v>
      </c>
      <c r="AA633" s="5">
        <v>67218</v>
      </c>
      <c r="AB633" s="5" t="s">
        <v>46</v>
      </c>
      <c r="AC633" s="5" t="s">
        <v>172</v>
      </c>
      <c r="AD633" s="5" t="b">
        <v>0</v>
      </c>
      <c r="AE633" s="5"/>
      <c r="AF633" s="5"/>
      <c r="AG633" s="9">
        <f t="shared" si="9"/>
        <v>43273</v>
      </c>
    </row>
    <row r="634" s="6" customFormat="1" spans="1:33">
      <c r="A634" s="5" t="s">
        <v>3092</v>
      </c>
      <c r="B634" s="5" t="s">
        <v>3092</v>
      </c>
      <c r="C634" s="5" t="s">
        <v>3093</v>
      </c>
      <c r="D634" s="5" t="s">
        <v>3094</v>
      </c>
      <c r="E634" s="5" t="s">
        <v>36</v>
      </c>
      <c r="F634" s="5" t="s">
        <v>37</v>
      </c>
      <c r="G634" s="5" t="s">
        <v>38</v>
      </c>
      <c r="H634" s="5"/>
      <c r="I634" s="5"/>
      <c r="J634" s="5" t="s">
        <v>128</v>
      </c>
      <c r="K634" s="5" t="s">
        <v>641</v>
      </c>
      <c r="L634" s="5" t="s">
        <v>2067</v>
      </c>
      <c r="M634" s="5" t="s">
        <v>2068</v>
      </c>
      <c r="N634" s="5" t="s">
        <v>36</v>
      </c>
      <c r="O634" s="5">
        <v>1</v>
      </c>
      <c r="P634" s="5" t="s">
        <v>43</v>
      </c>
      <c r="Q634" s="5">
        <v>20</v>
      </c>
      <c r="R634" s="5"/>
      <c r="S634" s="5">
        <v>1.26</v>
      </c>
      <c r="T634" s="5"/>
      <c r="U634" s="5"/>
      <c r="V634" s="5"/>
      <c r="W634" s="5"/>
      <c r="X634" s="5"/>
      <c r="Y634" s="5" t="s">
        <v>3098</v>
      </c>
      <c r="Z634" s="5" t="s">
        <v>1534</v>
      </c>
      <c r="AA634" s="5">
        <v>67218</v>
      </c>
      <c r="AB634" s="5" t="s">
        <v>46</v>
      </c>
      <c r="AC634" s="5" t="s">
        <v>172</v>
      </c>
      <c r="AD634" s="5" t="b">
        <v>0</v>
      </c>
      <c r="AE634" s="5"/>
      <c r="AF634" s="5"/>
      <c r="AG634" s="9">
        <f t="shared" si="9"/>
        <v>43273</v>
      </c>
    </row>
    <row r="635" s="6" customFormat="1" spans="1:33">
      <c r="A635" s="5" t="s">
        <v>3099</v>
      </c>
      <c r="B635" s="5" t="s">
        <v>3099</v>
      </c>
      <c r="C635" s="5" t="s">
        <v>3100</v>
      </c>
      <c r="D635" s="5" t="s">
        <v>3101</v>
      </c>
      <c r="E635" s="5" t="s">
        <v>36</v>
      </c>
      <c r="F635" s="5" t="s">
        <v>37</v>
      </c>
      <c r="G635" s="5" t="s">
        <v>38</v>
      </c>
      <c r="H635" s="5"/>
      <c r="I635" s="5"/>
      <c r="J635" s="5" t="s">
        <v>39</v>
      </c>
      <c r="K635" s="5" t="s">
        <v>278</v>
      </c>
      <c r="L635" s="5" t="s">
        <v>279</v>
      </c>
      <c r="M635" s="5" t="s">
        <v>280</v>
      </c>
      <c r="N635" s="5" t="s">
        <v>36</v>
      </c>
      <c r="O635" s="5">
        <v>1</v>
      </c>
      <c r="P635" s="5" t="s">
        <v>43</v>
      </c>
      <c r="Q635" s="5">
        <v>24.99</v>
      </c>
      <c r="R635" s="5"/>
      <c r="S635" s="5"/>
      <c r="T635" s="5"/>
      <c r="U635" s="5"/>
      <c r="V635" s="5"/>
      <c r="W635" s="5"/>
      <c r="X635" s="5"/>
      <c r="Y635" s="5" t="s">
        <v>3102</v>
      </c>
      <c r="Z635" s="5" t="s">
        <v>282</v>
      </c>
      <c r="AA635" s="5" t="s">
        <v>3103</v>
      </c>
      <c r="AB635" s="5" t="s">
        <v>46</v>
      </c>
      <c r="AC635" s="5"/>
      <c r="AD635" s="5" t="b">
        <v>0</v>
      </c>
      <c r="AE635" s="5"/>
      <c r="AF635" s="5"/>
      <c r="AG635" s="9">
        <f t="shared" si="9"/>
        <v>43273</v>
      </c>
    </row>
    <row r="636" s="6" customFormat="1" spans="1:33">
      <c r="A636" s="5" t="s">
        <v>3104</v>
      </c>
      <c r="B636" s="5" t="s">
        <v>3104</v>
      </c>
      <c r="C636" s="5" t="s">
        <v>3105</v>
      </c>
      <c r="D636" s="5" t="s">
        <v>3106</v>
      </c>
      <c r="E636" s="5" t="s">
        <v>36</v>
      </c>
      <c r="F636" s="5" t="s">
        <v>37</v>
      </c>
      <c r="G636" s="5" t="s">
        <v>38</v>
      </c>
      <c r="H636" s="5"/>
      <c r="I636" s="5"/>
      <c r="J636" s="5" t="s">
        <v>39</v>
      </c>
      <c r="K636" s="5" t="s">
        <v>3107</v>
      </c>
      <c r="L636" s="5" t="s">
        <v>3108</v>
      </c>
      <c r="M636" s="5" t="s">
        <v>3109</v>
      </c>
      <c r="N636" s="5" t="s">
        <v>36</v>
      </c>
      <c r="O636" s="5">
        <v>1</v>
      </c>
      <c r="P636" s="5" t="s">
        <v>43</v>
      </c>
      <c r="Q636" s="5">
        <v>18.76</v>
      </c>
      <c r="R636" s="5"/>
      <c r="S636" s="5"/>
      <c r="T636" s="5"/>
      <c r="U636" s="5"/>
      <c r="V636" s="5"/>
      <c r="W636" s="5"/>
      <c r="X636" s="5"/>
      <c r="Y636" s="5" t="s">
        <v>1346</v>
      </c>
      <c r="Z636" s="5" t="s">
        <v>255</v>
      </c>
      <c r="AA636" s="5" t="s">
        <v>3110</v>
      </c>
      <c r="AB636" s="5" t="s">
        <v>46</v>
      </c>
      <c r="AC636" s="5"/>
      <c r="AD636" s="5" t="b">
        <v>0</v>
      </c>
      <c r="AE636" s="5"/>
      <c r="AF636" s="5"/>
      <c r="AG636" s="9">
        <f t="shared" si="9"/>
        <v>43273</v>
      </c>
    </row>
    <row r="637" s="6" customFormat="1" spans="1:33">
      <c r="A637" s="5" t="s">
        <v>3111</v>
      </c>
      <c r="B637" s="5" t="s">
        <v>3111</v>
      </c>
      <c r="C637" s="5" t="s">
        <v>3112</v>
      </c>
      <c r="D637" s="5" t="s">
        <v>3113</v>
      </c>
      <c r="E637" s="5" t="s">
        <v>36</v>
      </c>
      <c r="F637" s="5" t="s">
        <v>37</v>
      </c>
      <c r="G637" s="5" t="s">
        <v>38</v>
      </c>
      <c r="H637" s="5"/>
      <c r="I637" s="5"/>
      <c r="J637" s="5" t="s">
        <v>39</v>
      </c>
      <c r="K637" s="5" t="s">
        <v>75</v>
      </c>
      <c r="L637" s="5" t="s">
        <v>76</v>
      </c>
      <c r="M637" s="5" t="s">
        <v>77</v>
      </c>
      <c r="N637" s="5" t="s">
        <v>36</v>
      </c>
      <c r="O637" s="5">
        <v>1</v>
      </c>
      <c r="P637" s="5" t="s">
        <v>43</v>
      </c>
      <c r="Q637" s="5">
        <v>12.99</v>
      </c>
      <c r="R637" s="5">
        <v>1.3</v>
      </c>
      <c r="S637" s="5"/>
      <c r="T637" s="5"/>
      <c r="U637" s="5"/>
      <c r="V637" s="5"/>
      <c r="W637" s="5"/>
      <c r="X637" s="5"/>
      <c r="Y637" s="5" t="s">
        <v>3114</v>
      </c>
      <c r="Z637" s="5" t="s">
        <v>474</v>
      </c>
      <c r="AA637" s="5" t="s">
        <v>3115</v>
      </c>
      <c r="AB637" s="5" t="s">
        <v>46</v>
      </c>
      <c r="AC637" s="5"/>
      <c r="AD637" s="5" t="b">
        <v>0</v>
      </c>
      <c r="AE637" s="5"/>
      <c r="AF637" s="5"/>
      <c r="AG637" s="9">
        <f t="shared" si="9"/>
        <v>43273</v>
      </c>
    </row>
    <row r="638" s="6" customFormat="1" spans="1:33">
      <c r="A638" s="5" t="s">
        <v>3116</v>
      </c>
      <c r="B638" s="5" t="s">
        <v>3116</v>
      </c>
      <c r="C638" s="5" t="s">
        <v>3117</v>
      </c>
      <c r="D638" s="5" t="s">
        <v>3118</v>
      </c>
      <c r="E638" s="5" t="s">
        <v>36</v>
      </c>
      <c r="F638" s="5" t="s">
        <v>37</v>
      </c>
      <c r="G638" s="5" t="s">
        <v>38</v>
      </c>
      <c r="H638" s="5"/>
      <c r="I638" s="5"/>
      <c r="J638" s="5" t="s">
        <v>128</v>
      </c>
      <c r="K638" s="5" t="s">
        <v>119</v>
      </c>
      <c r="L638" s="5" t="s">
        <v>2099</v>
      </c>
      <c r="M638" s="5" t="s">
        <v>121</v>
      </c>
      <c r="N638" s="5" t="s">
        <v>36</v>
      </c>
      <c r="O638" s="5">
        <v>1</v>
      </c>
      <c r="P638" s="5" t="s">
        <v>43</v>
      </c>
      <c r="Q638" s="5">
        <v>24.99</v>
      </c>
      <c r="R638" s="5"/>
      <c r="S638" s="5">
        <v>1.81</v>
      </c>
      <c r="T638" s="5"/>
      <c r="U638" s="5"/>
      <c r="V638" s="5"/>
      <c r="W638" s="5"/>
      <c r="X638" s="5">
        <v>1.81</v>
      </c>
      <c r="Y638" s="5" t="s">
        <v>3119</v>
      </c>
      <c r="Z638" s="5" t="s">
        <v>54</v>
      </c>
      <c r="AA638" s="5" t="s">
        <v>3120</v>
      </c>
      <c r="AB638" s="5" t="s">
        <v>46</v>
      </c>
      <c r="AC638" s="5" t="s">
        <v>225</v>
      </c>
      <c r="AD638" s="5" t="b">
        <v>0</v>
      </c>
      <c r="AE638" s="5"/>
      <c r="AF638" s="5"/>
      <c r="AG638" s="9">
        <f t="shared" si="9"/>
        <v>43273</v>
      </c>
    </row>
    <row r="639" s="6" customFormat="1" spans="1:33">
      <c r="A639" s="5" t="s">
        <v>3121</v>
      </c>
      <c r="B639" s="5" t="s">
        <v>3121</v>
      </c>
      <c r="C639" s="5" t="s">
        <v>3122</v>
      </c>
      <c r="D639" s="5" t="s">
        <v>3123</v>
      </c>
      <c r="E639" s="5" t="s">
        <v>36</v>
      </c>
      <c r="F639" s="5" t="s">
        <v>37</v>
      </c>
      <c r="G639" s="5" t="s">
        <v>38</v>
      </c>
      <c r="H639" s="5"/>
      <c r="I639" s="5"/>
      <c r="J639" s="5" t="s">
        <v>39</v>
      </c>
      <c r="K639" s="5" t="s">
        <v>387</v>
      </c>
      <c r="L639" s="5" t="s">
        <v>388</v>
      </c>
      <c r="M639" s="5" t="s">
        <v>389</v>
      </c>
      <c r="N639" s="5" t="s">
        <v>36</v>
      </c>
      <c r="O639" s="5">
        <v>1</v>
      </c>
      <c r="P639" s="5" t="s">
        <v>43</v>
      </c>
      <c r="Q639" s="5">
        <v>18.99</v>
      </c>
      <c r="R639" s="5"/>
      <c r="S639" s="5"/>
      <c r="T639" s="5"/>
      <c r="U639" s="5"/>
      <c r="V639" s="5"/>
      <c r="W639" s="5"/>
      <c r="X639" s="5"/>
      <c r="Y639" s="5" t="s">
        <v>1697</v>
      </c>
      <c r="Z639" s="5" t="s">
        <v>1698</v>
      </c>
      <c r="AA639" s="5">
        <v>33192</v>
      </c>
      <c r="AB639" s="5" t="s">
        <v>46</v>
      </c>
      <c r="AC639" s="5"/>
      <c r="AD639" s="5" t="b">
        <v>0</v>
      </c>
      <c r="AE639" s="5"/>
      <c r="AF639" s="5"/>
      <c r="AG639" s="9">
        <f t="shared" si="9"/>
        <v>43273</v>
      </c>
    </row>
    <row r="640" s="6" customFormat="1" spans="1:33">
      <c r="A640" s="5" t="s">
        <v>3124</v>
      </c>
      <c r="B640" s="5" t="s">
        <v>3124</v>
      </c>
      <c r="C640" s="5" t="s">
        <v>3125</v>
      </c>
      <c r="D640" s="5" t="s">
        <v>3126</v>
      </c>
      <c r="E640" s="5" t="s">
        <v>36</v>
      </c>
      <c r="F640" s="5" t="s">
        <v>37</v>
      </c>
      <c r="G640" s="5" t="s">
        <v>38</v>
      </c>
      <c r="H640" s="5"/>
      <c r="I640" s="5"/>
      <c r="J640" s="5" t="s">
        <v>39</v>
      </c>
      <c r="K640" s="5" t="s">
        <v>1999</v>
      </c>
      <c r="L640" s="5" t="s">
        <v>2000</v>
      </c>
      <c r="M640" s="5" t="s">
        <v>2001</v>
      </c>
      <c r="N640" s="5" t="s">
        <v>36</v>
      </c>
      <c r="O640" s="5">
        <v>1</v>
      </c>
      <c r="P640" s="5" t="s">
        <v>43</v>
      </c>
      <c r="Q640" s="5">
        <v>18.99</v>
      </c>
      <c r="R640" s="5"/>
      <c r="S640" s="5"/>
      <c r="T640" s="5"/>
      <c r="U640" s="5"/>
      <c r="V640" s="5"/>
      <c r="W640" s="5"/>
      <c r="X640" s="5"/>
      <c r="Y640" s="5" t="s">
        <v>3127</v>
      </c>
      <c r="Z640" s="5" t="s">
        <v>3128</v>
      </c>
      <c r="AA640" s="5">
        <v>6855</v>
      </c>
      <c r="AB640" s="5" t="s">
        <v>46</v>
      </c>
      <c r="AC640" s="5"/>
      <c r="AD640" s="5" t="b">
        <v>0</v>
      </c>
      <c r="AE640" s="5"/>
      <c r="AF640" s="5"/>
      <c r="AG640" s="9">
        <f t="shared" si="9"/>
        <v>43273</v>
      </c>
    </row>
    <row r="641" s="6" customFormat="1" spans="1:33">
      <c r="A641" s="5" t="s">
        <v>3129</v>
      </c>
      <c r="B641" s="5" t="s">
        <v>3129</v>
      </c>
      <c r="C641" s="5" t="s">
        <v>3130</v>
      </c>
      <c r="D641" s="5" t="s">
        <v>3131</v>
      </c>
      <c r="E641" s="5" t="s">
        <v>36</v>
      </c>
      <c r="F641" s="5" t="s">
        <v>37</v>
      </c>
      <c r="G641" s="5" t="s">
        <v>38</v>
      </c>
      <c r="H641" s="5"/>
      <c r="I641" s="5"/>
      <c r="J641" s="5" t="s">
        <v>39</v>
      </c>
      <c r="K641" s="5" t="s">
        <v>533</v>
      </c>
      <c r="L641" s="5" t="s">
        <v>1048</v>
      </c>
      <c r="M641" s="5" t="s">
        <v>535</v>
      </c>
      <c r="N641" s="5" t="s">
        <v>36</v>
      </c>
      <c r="O641" s="5">
        <v>1</v>
      </c>
      <c r="P641" s="5" t="s">
        <v>43</v>
      </c>
      <c r="Q641" s="5">
        <v>24.99</v>
      </c>
      <c r="R641" s="5"/>
      <c r="S641" s="5"/>
      <c r="T641" s="5"/>
      <c r="U641" s="5"/>
      <c r="V641" s="5"/>
      <c r="W641" s="5"/>
      <c r="X641" s="5"/>
      <c r="Y641" s="5" t="s">
        <v>3132</v>
      </c>
      <c r="Z641" s="5" t="s">
        <v>151</v>
      </c>
      <c r="AA641" s="5" t="s">
        <v>3133</v>
      </c>
      <c r="AB641" s="5" t="s">
        <v>46</v>
      </c>
      <c r="AC641" s="5"/>
      <c r="AD641" s="5" t="b">
        <v>0</v>
      </c>
      <c r="AE641" s="5"/>
      <c r="AF641" s="5"/>
      <c r="AG641" s="9">
        <f t="shared" si="9"/>
        <v>43273</v>
      </c>
    </row>
    <row r="642" s="6" customFormat="1" spans="1:33">
      <c r="A642" s="5" t="s">
        <v>3134</v>
      </c>
      <c r="B642" s="5" t="s">
        <v>3134</v>
      </c>
      <c r="C642" s="5" t="s">
        <v>3135</v>
      </c>
      <c r="D642" s="5" t="s">
        <v>3136</v>
      </c>
      <c r="E642" s="5" t="s">
        <v>36</v>
      </c>
      <c r="F642" s="5" t="s">
        <v>37</v>
      </c>
      <c r="G642" s="5" t="s">
        <v>38</v>
      </c>
      <c r="H642" s="5"/>
      <c r="I642" s="5"/>
      <c r="J642" s="5" t="s">
        <v>39</v>
      </c>
      <c r="K642" s="5" t="s">
        <v>251</v>
      </c>
      <c r="L642" s="5" t="s">
        <v>252</v>
      </c>
      <c r="M642" s="5" t="s">
        <v>253</v>
      </c>
      <c r="N642" s="5" t="s">
        <v>36</v>
      </c>
      <c r="O642" s="5">
        <v>1</v>
      </c>
      <c r="P642" s="5" t="s">
        <v>43</v>
      </c>
      <c r="Q642" s="5">
        <v>16.98</v>
      </c>
      <c r="R642" s="5"/>
      <c r="S642" s="5"/>
      <c r="T642" s="5"/>
      <c r="U642" s="5"/>
      <c r="V642" s="5"/>
      <c r="W642" s="5"/>
      <c r="X642" s="5"/>
      <c r="Y642" s="5" t="s">
        <v>3137</v>
      </c>
      <c r="Z642" s="5" t="s">
        <v>377</v>
      </c>
      <c r="AA642" s="5" t="s">
        <v>3138</v>
      </c>
      <c r="AB642" s="5" t="s">
        <v>46</v>
      </c>
      <c r="AC642" s="5"/>
      <c r="AD642" s="5" t="b">
        <v>0</v>
      </c>
      <c r="AE642" s="5"/>
      <c r="AF642" s="5"/>
      <c r="AG642" s="9">
        <f t="shared" ref="AG642:AG705" si="10">DATEVALUE(LEFT(C642,10))</f>
        <v>43273</v>
      </c>
    </row>
    <row r="643" s="6" customFormat="1" spans="1:33">
      <c r="A643" s="5" t="s">
        <v>3139</v>
      </c>
      <c r="B643" s="5" t="s">
        <v>3139</v>
      </c>
      <c r="C643" s="5" t="s">
        <v>3140</v>
      </c>
      <c r="D643" s="5" t="s">
        <v>3141</v>
      </c>
      <c r="E643" s="5" t="s">
        <v>36</v>
      </c>
      <c r="F643" s="5" t="s">
        <v>37</v>
      </c>
      <c r="G643" s="5" t="s">
        <v>38</v>
      </c>
      <c r="H643" s="5"/>
      <c r="I643" s="5"/>
      <c r="J643" s="5" t="s">
        <v>39</v>
      </c>
      <c r="K643" s="5" t="s">
        <v>147</v>
      </c>
      <c r="L643" s="5" t="s">
        <v>148</v>
      </c>
      <c r="M643" s="5" t="s">
        <v>149</v>
      </c>
      <c r="N643" s="5" t="s">
        <v>36</v>
      </c>
      <c r="O643" s="5">
        <v>1</v>
      </c>
      <c r="P643" s="5" t="s">
        <v>43</v>
      </c>
      <c r="Q643" s="5">
        <v>12.98</v>
      </c>
      <c r="R643" s="5"/>
      <c r="S643" s="5"/>
      <c r="T643" s="5"/>
      <c r="U643" s="5"/>
      <c r="V643" s="5"/>
      <c r="W643" s="5"/>
      <c r="X643" s="5"/>
      <c r="Y643" s="5" t="s">
        <v>1664</v>
      </c>
      <c r="Z643" s="5" t="s">
        <v>54</v>
      </c>
      <c r="AA643" s="5" t="s">
        <v>3142</v>
      </c>
      <c r="AB643" s="5" t="s">
        <v>46</v>
      </c>
      <c r="AC643" s="5"/>
      <c r="AD643" s="5" t="b">
        <v>0</v>
      </c>
      <c r="AE643" s="5"/>
      <c r="AF643" s="5"/>
      <c r="AG643" s="9">
        <f t="shared" si="10"/>
        <v>43273</v>
      </c>
    </row>
    <row r="644" s="6" customFormat="1" spans="1:33">
      <c r="A644" s="5" t="s">
        <v>3143</v>
      </c>
      <c r="B644" s="5" t="s">
        <v>3143</v>
      </c>
      <c r="C644" s="5" t="s">
        <v>3144</v>
      </c>
      <c r="D644" s="5" t="s">
        <v>3145</v>
      </c>
      <c r="E644" s="5" t="s">
        <v>36</v>
      </c>
      <c r="F644" s="5" t="s">
        <v>37</v>
      </c>
      <c r="G644" s="5" t="s">
        <v>38</v>
      </c>
      <c r="H644" s="5"/>
      <c r="I644" s="5"/>
      <c r="J644" s="5" t="s">
        <v>128</v>
      </c>
      <c r="K644" s="5" t="s">
        <v>3146</v>
      </c>
      <c r="L644" s="5" t="s">
        <v>3147</v>
      </c>
      <c r="M644" s="5" t="s">
        <v>3148</v>
      </c>
      <c r="N644" s="5" t="s">
        <v>36</v>
      </c>
      <c r="O644" s="5">
        <v>1</v>
      </c>
      <c r="P644" s="5" t="s">
        <v>43</v>
      </c>
      <c r="Q644" s="5">
        <v>10.98</v>
      </c>
      <c r="R644" s="5"/>
      <c r="S644" s="5">
        <v>2.52</v>
      </c>
      <c r="T644" s="5"/>
      <c r="U644" s="5"/>
      <c r="V644" s="5"/>
      <c r="W644" s="5"/>
      <c r="X644" s="5">
        <v>2.52</v>
      </c>
      <c r="Y644" s="5" t="s">
        <v>489</v>
      </c>
      <c r="Z644" s="5" t="s">
        <v>142</v>
      </c>
      <c r="AA644" s="5" t="s">
        <v>3149</v>
      </c>
      <c r="AB644" s="5" t="s">
        <v>46</v>
      </c>
      <c r="AC644" s="5" t="s">
        <v>225</v>
      </c>
      <c r="AD644" s="5" t="b">
        <v>0</v>
      </c>
      <c r="AE644" s="5"/>
      <c r="AF644" s="5"/>
      <c r="AG644" s="9">
        <f t="shared" si="10"/>
        <v>43273</v>
      </c>
    </row>
    <row r="645" s="6" customFormat="1" spans="1:33">
      <c r="A645" s="5" t="s">
        <v>3150</v>
      </c>
      <c r="B645" s="5" t="s">
        <v>3150</v>
      </c>
      <c r="C645" s="5" t="s">
        <v>3151</v>
      </c>
      <c r="D645" s="5" t="s">
        <v>3152</v>
      </c>
      <c r="E645" s="5" t="s">
        <v>36</v>
      </c>
      <c r="F645" s="5" t="s">
        <v>37</v>
      </c>
      <c r="G645" s="5" t="s">
        <v>38</v>
      </c>
      <c r="H645" s="5"/>
      <c r="I645" s="5"/>
      <c r="J645" s="5" t="s">
        <v>39</v>
      </c>
      <c r="K645" s="5" t="s">
        <v>101</v>
      </c>
      <c r="L645" s="5" t="s">
        <v>102</v>
      </c>
      <c r="M645" s="5" t="s">
        <v>103</v>
      </c>
      <c r="N645" s="5" t="s">
        <v>36</v>
      </c>
      <c r="O645" s="5">
        <v>1</v>
      </c>
      <c r="P645" s="5" t="s">
        <v>43</v>
      </c>
      <c r="Q645" s="5">
        <v>12.99</v>
      </c>
      <c r="R645" s="5"/>
      <c r="S645" s="5"/>
      <c r="T645" s="5"/>
      <c r="U645" s="5"/>
      <c r="V645" s="5"/>
      <c r="W645" s="5"/>
      <c r="X645" s="5"/>
      <c r="Y645" s="5" t="s">
        <v>3153</v>
      </c>
      <c r="Z645" s="5" t="s">
        <v>183</v>
      </c>
      <c r="AA645" s="5" t="s">
        <v>3154</v>
      </c>
      <c r="AB645" s="5" t="s">
        <v>46</v>
      </c>
      <c r="AC645" s="5"/>
      <c r="AD645" s="5" t="b">
        <v>0</v>
      </c>
      <c r="AE645" s="5"/>
      <c r="AF645" s="5"/>
      <c r="AG645" s="9">
        <f t="shared" si="10"/>
        <v>43273</v>
      </c>
    </row>
    <row r="646" s="6" customFormat="1" spans="1:33">
      <c r="A646" s="5" t="s">
        <v>3155</v>
      </c>
      <c r="B646" s="5" t="s">
        <v>3155</v>
      </c>
      <c r="C646" s="5" t="s">
        <v>3156</v>
      </c>
      <c r="D646" s="5" t="s">
        <v>3157</v>
      </c>
      <c r="E646" s="5" t="s">
        <v>36</v>
      </c>
      <c r="F646" s="5" t="s">
        <v>37</v>
      </c>
      <c r="G646" s="5" t="s">
        <v>38</v>
      </c>
      <c r="H646" s="5"/>
      <c r="I646" s="5"/>
      <c r="J646" s="5" t="s">
        <v>39</v>
      </c>
      <c r="K646" s="5" t="s">
        <v>243</v>
      </c>
      <c r="L646" s="5" t="s">
        <v>244</v>
      </c>
      <c r="M646" s="5" t="s">
        <v>245</v>
      </c>
      <c r="N646" s="5" t="s">
        <v>36</v>
      </c>
      <c r="O646" s="5">
        <v>1</v>
      </c>
      <c r="P646" s="5" t="s">
        <v>43</v>
      </c>
      <c r="Q646" s="5">
        <v>18.99</v>
      </c>
      <c r="R646" s="5"/>
      <c r="S646" s="5"/>
      <c r="T646" s="5"/>
      <c r="U646" s="5"/>
      <c r="V646" s="5"/>
      <c r="W646" s="5"/>
      <c r="X646" s="5"/>
      <c r="Y646" s="5" t="s">
        <v>2591</v>
      </c>
      <c r="Z646" s="5" t="s">
        <v>377</v>
      </c>
      <c r="AA646" s="5" t="s">
        <v>3158</v>
      </c>
      <c r="AB646" s="5" t="s">
        <v>46</v>
      </c>
      <c r="AC646" s="5"/>
      <c r="AD646" s="5" t="b">
        <v>0</v>
      </c>
      <c r="AE646" s="5"/>
      <c r="AF646" s="5"/>
      <c r="AG646" s="9">
        <f t="shared" si="10"/>
        <v>43273</v>
      </c>
    </row>
    <row r="647" s="6" customFormat="1" spans="1:33">
      <c r="A647" s="5" t="s">
        <v>3159</v>
      </c>
      <c r="B647" s="5" t="s">
        <v>3159</v>
      </c>
      <c r="C647" s="5" t="s">
        <v>3160</v>
      </c>
      <c r="D647" s="5" t="s">
        <v>3161</v>
      </c>
      <c r="E647" s="5" t="s">
        <v>36</v>
      </c>
      <c r="F647" s="5" t="s">
        <v>37</v>
      </c>
      <c r="G647" s="5" t="s">
        <v>38</v>
      </c>
      <c r="H647" s="5"/>
      <c r="I647" s="5"/>
      <c r="J647" s="5" t="s">
        <v>39</v>
      </c>
      <c r="K647" s="5" t="s">
        <v>101</v>
      </c>
      <c r="L647" s="5" t="s">
        <v>181</v>
      </c>
      <c r="M647" s="5" t="s">
        <v>103</v>
      </c>
      <c r="N647" s="5" t="s">
        <v>36</v>
      </c>
      <c r="O647" s="5">
        <v>1</v>
      </c>
      <c r="P647" s="5" t="s">
        <v>43</v>
      </c>
      <c r="Q647" s="5">
        <v>12.99</v>
      </c>
      <c r="R647" s="5"/>
      <c r="S647" s="5"/>
      <c r="T647" s="5"/>
      <c r="U647" s="5"/>
      <c r="V647" s="5"/>
      <c r="W647" s="5"/>
      <c r="X647" s="5"/>
      <c r="Y647" s="5" t="s">
        <v>3162</v>
      </c>
      <c r="Z647" s="5" t="s">
        <v>680</v>
      </c>
      <c r="AA647" s="5" t="s">
        <v>3163</v>
      </c>
      <c r="AB647" s="5" t="s">
        <v>46</v>
      </c>
      <c r="AC647" s="5"/>
      <c r="AD647" s="5" t="b">
        <v>0</v>
      </c>
      <c r="AE647" s="5"/>
      <c r="AF647" s="5"/>
      <c r="AG647" s="9">
        <f t="shared" si="10"/>
        <v>43274</v>
      </c>
    </row>
    <row r="648" s="6" customFormat="1" spans="1:33">
      <c r="A648" s="5" t="s">
        <v>3164</v>
      </c>
      <c r="B648" s="5" t="s">
        <v>3164</v>
      </c>
      <c r="C648" s="5" t="s">
        <v>3165</v>
      </c>
      <c r="D648" s="5" t="s">
        <v>3166</v>
      </c>
      <c r="E648" s="5" t="s">
        <v>36</v>
      </c>
      <c r="F648" s="5" t="s">
        <v>37</v>
      </c>
      <c r="G648" s="5" t="s">
        <v>38</v>
      </c>
      <c r="H648" s="5"/>
      <c r="I648" s="5"/>
      <c r="J648" s="5" t="s">
        <v>39</v>
      </c>
      <c r="K648" s="5" t="s">
        <v>434</v>
      </c>
      <c r="L648" s="5" t="s">
        <v>435</v>
      </c>
      <c r="M648" s="5" t="s">
        <v>436</v>
      </c>
      <c r="N648" s="5" t="s">
        <v>36</v>
      </c>
      <c r="O648" s="5">
        <v>1</v>
      </c>
      <c r="P648" s="5" t="s">
        <v>43</v>
      </c>
      <c r="Q648" s="5">
        <v>13.99</v>
      </c>
      <c r="R648" s="5"/>
      <c r="S648" s="5"/>
      <c r="T648" s="5"/>
      <c r="U648" s="5"/>
      <c r="V648" s="5"/>
      <c r="W648" s="5"/>
      <c r="X648" s="5"/>
      <c r="Y648" s="5" t="s">
        <v>3167</v>
      </c>
      <c r="Z648" s="5" t="s">
        <v>528</v>
      </c>
      <c r="AA648" s="5" t="s">
        <v>3168</v>
      </c>
      <c r="AB648" s="5" t="s">
        <v>46</v>
      </c>
      <c r="AC648" s="5"/>
      <c r="AD648" s="5" t="b">
        <v>0</v>
      </c>
      <c r="AE648" s="5"/>
      <c r="AF648" s="5"/>
      <c r="AG648" s="9">
        <f t="shared" si="10"/>
        <v>43274</v>
      </c>
    </row>
    <row r="649" s="6" customFormat="1" spans="1:33">
      <c r="A649" s="5" t="s">
        <v>3169</v>
      </c>
      <c r="B649" s="5" t="s">
        <v>3169</v>
      </c>
      <c r="C649" s="5" t="s">
        <v>3170</v>
      </c>
      <c r="D649" s="5" t="s">
        <v>3171</v>
      </c>
      <c r="E649" s="5" t="s">
        <v>36</v>
      </c>
      <c r="F649" s="5" t="s">
        <v>37</v>
      </c>
      <c r="G649" s="5" t="s">
        <v>38</v>
      </c>
      <c r="H649" s="5"/>
      <c r="I649" s="5"/>
      <c r="J649" s="5" t="s">
        <v>287</v>
      </c>
      <c r="K649" s="5" t="s">
        <v>147</v>
      </c>
      <c r="L649" s="5" t="s">
        <v>148</v>
      </c>
      <c r="M649" s="5" t="s">
        <v>149</v>
      </c>
      <c r="N649" s="5" t="s">
        <v>36</v>
      </c>
      <c r="O649" s="5">
        <v>1</v>
      </c>
      <c r="P649" s="5" t="s">
        <v>43</v>
      </c>
      <c r="Q649" s="5">
        <v>12.98</v>
      </c>
      <c r="R649" s="5"/>
      <c r="S649" s="5">
        <v>3.99</v>
      </c>
      <c r="T649" s="5"/>
      <c r="U649" s="5"/>
      <c r="V649" s="5"/>
      <c r="W649" s="5"/>
      <c r="X649" s="5">
        <v>3.99</v>
      </c>
      <c r="Y649" s="5" t="s">
        <v>610</v>
      </c>
      <c r="Z649" s="5" t="s">
        <v>223</v>
      </c>
      <c r="AA649" s="5" t="s">
        <v>3172</v>
      </c>
      <c r="AB649" s="5" t="s">
        <v>46</v>
      </c>
      <c r="AC649" s="5"/>
      <c r="AD649" s="5" t="b">
        <v>0</v>
      </c>
      <c r="AE649" s="5"/>
      <c r="AF649" s="5"/>
      <c r="AG649" s="9">
        <f t="shared" si="10"/>
        <v>43274</v>
      </c>
    </row>
    <row r="650" s="6" customFormat="1" spans="1:33">
      <c r="A650" s="5" t="s">
        <v>3173</v>
      </c>
      <c r="B650" s="5" t="s">
        <v>3173</v>
      </c>
      <c r="C650" s="5" t="s">
        <v>3174</v>
      </c>
      <c r="D650" s="5" t="s">
        <v>3175</v>
      </c>
      <c r="E650" s="5" t="s">
        <v>614</v>
      </c>
      <c r="F650" s="5" t="s">
        <v>37</v>
      </c>
      <c r="G650" s="5" t="s">
        <v>38</v>
      </c>
      <c r="H650" s="5"/>
      <c r="I650" s="5"/>
      <c r="J650" s="5" t="s">
        <v>156</v>
      </c>
      <c r="K650" s="5" t="s">
        <v>147</v>
      </c>
      <c r="L650" s="5" t="s">
        <v>148</v>
      </c>
      <c r="M650" s="5" t="s">
        <v>149</v>
      </c>
      <c r="N650" s="5" t="s">
        <v>614</v>
      </c>
      <c r="O650" s="5">
        <v>0</v>
      </c>
      <c r="P650" s="5"/>
      <c r="Q650" s="5"/>
      <c r="R650" s="5"/>
      <c r="S650" s="5"/>
      <c r="T650" s="5"/>
      <c r="U650" s="5"/>
      <c r="V650" s="5"/>
      <c r="W650" s="5"/>
      <c r="X650" s="5"/>
      <c r="Y650" s="5" t="s">
        <v>610</v>
      </c>
      <c r="Z650" s="5" t="s">
        <v>223</v>
      </c>
      <c r="AA650" s="5" t="s">
        <v>3172</v>
      </c>
      <c r="AB650" s="5" t="s">
        <v>46</v>
      </c>
      <c r="AC650" s="5"/>
      <c r="AD650" s="5" t="b">
        <v>0</v>
      </c>
      <c r="AE650" s="5"/>
      <c r="AF650" s="5"/>
      <c r="AG650" s="9">
        <f t="shared" si="10"/>
        <v>43274</v>
      </c>
    </row>
    <row r="651" s="6" customFormat="1" spans="1:33">
      <c r="A651" s="5" t="s">
        <v>3176</v>
      </c>
      <c r="B651" s="5" t="s">
        <v>3176</v>
      </c>
      <c r="C651" s="5" t="s">
        <v>3177</v>
      </c>
      <c r="D651" s="5" t="s">
        <v>3178</v>
      </c>
      <c r="E651" s="5" t="s">
        <v>36</v>
      </c>
      <c r="F651" s="5" t="s">
        <v>37</v>
      </c>
      <c r="G651" s="5" t="s">
        <v>38</v>
      </c>
      <c r="H651" s="5"/>
      <c r="I651" s="5"/>
      <c r="J651" s="5" t="s">
        <v>39</v>
      </c>
      <c r="K651" s="5" t="s">
        <v>101</v>
      </c>
      <c r="L651" s="5" t="s">
        <v>102</v>
      </c>
      <c r="M651" s="5" t="s">
        <v>103</v>
      </c>
      <c r="N651" s="5" t="s">
        <v>36</v>
      </c>
      <c r="O651" s="5">
        <v>1</v>
      </c>
      <c r="P651" s="5" t="s">
        <v>43</v>
      </c>
      <c r="Q651" s="5">
        <v>12.99</v>
      </c>
      <c r="R651" s="5"/>
      <c r="S651" s="5"/>
      <c r="T651" s="5"/>
      <c r="U651" s="5"/>
      <c r="V651" s="5"/>
      <c r="W651" s="5"/>
      <c r="X651" s="5"/>
      <c r="Y651" s="5" t="s">
        <v>2357</v>
      </c>
      <c r="Z651" s="5" t="s">
        <v>247</v>
      </c>
      <c r="AA651" s="5" t="s">
        <v>3179</v>
      </c>
      <c r="AB651" s="5" t="s">
        <v>46</v>
      </c>
      <c r="AC651" s="5"/>
      <c r="AD651" s="5" t="b">
        <v>0</v>
      </c>
      <c r="AE651" s="5"/>
      <c r="AF651" s="5"/>
      <c r="AG651" s="9">
        <f t="shared" si="10"/>
        <v>43274</v>
      </c>
    </row>
    <row r="652" s="6" customFormat="1" spans="1:33">
      <c r="A652" s="5" t="s">
        <v>3180</v>
      </c>
      <c r="B652" s="5" t="s">
        <v>3180</v>
      </c>
      <c r="C652" s="5" t="s">
        <v>3181</v>
      </c>
      <c r="D652" s="5" t="s">
        <v>3182</v>
      </c>
      <c r="E652" s="5" t="s">
        <v>36</v>
      </c>
      <c r="F652" s="5" t="s">
        <v>37</v>
      </c>
      <c r="G652" s="5" t="s">
        <v>38</v>
      </c>
      <c r="H652" s="5"/>
      <c r="I652" s="5"/>
      <c r="J652" s="5" t="s">
        <v>39</v>
      </c>
      <c r="K652" s="5" t="s">
        <v>434</v>
      </c>
      <c r="L652" s="5" t="s">
        <v>435</v>
      </c>
      <c r="M652" s="5" t="s">
        <v>436</v>
      </c>
      <c r="N652" s="5" t="s">
        <v>36</v>
      </c>
      <c r="O652" s="5">
        <v>1</v>
      </c>
      <c r="P652" s="5" t="s">
        <v>43</v>
      </c>
      <c r="Q652" s="5">
        <v>13.99</v>
      </c>
      <c r="R652" s="5"/>
      <c r="S652" s="5"/>
      <c r="T652" s="5"/>
      <c r="U652" s="5"/>
      <c r="V652" s="5"/>
      <c r="W652" s="5"/>
      <c r="X652" s="5"/>
      <c r="Y652" s="5" t="s">
        <v>212</v>
      </c>
      <c r="Z652" s="5" t="s">
        <v>96</v>
      </c>
      <c r="AA652" s="5" t="s">
        <v>213</v>
      </c>
      <c r="AB652" s="5" t="s">
        <v>46</v>
      </c>
      <c r="AC652" s="5"/>
      <c r="AD652" s="5" t="b">
        <v>0</v>
      </c>
      <c r="AE652" s="5"/>
      <c r="AF652" s="5"/>
      <c r="AG652" s="9">
        <f t="shared" si="10"/>
        <v>43274</v>
      </c>
    </row>
    <row r="653" s="6" customFormat="1" spans="1:33">
      <c r="A653" s="5" t="s">
        <v>3183</v>
      </c>
      <c r="B653" s="5" t="s">
        <v>3183</v>
      </c>
      <c r="C653" s="5" t="s">
        <v>3184</v>
      </c>
      <c r="D653" s="5" t="s">
        <v>3185</v>
      </c>
      <c r="E653" s="5" t="s">
        <v>36</v>
      </c>
      <c r="F653" s="5" t="s">
        <v>37</v>
      </c>
      <c r="G653" s="5" t="s">
        <v>38</v>
      </c>
      <c r="H653" s="5"/>
      <c r="I653" s="5"/>
      <c r="J653" s="5" t="s">
        <v>39</v>
      </c>
      <c r="K653" s="5" t="s">
        <v>387</v>
      </c>
      <c r="L653" s="5" t="s">
        <v>388</v>
      </c>
      <c r="M653" s="5" t="s">
        <v>389</v>
      </c>
      <c r="N653" s="5" t="s">
        <v>36</v>
      </c>
      <c r="O653" s="5">
        <v>1</v>
      </c>
      <c r="P653" s="5" t="s">
        <v>43</v>
      </c>
      <c r="Q653" s="5">
        <v>18.99</v>
      </c>
      <c r="R653" s="5"/>
      <c r="S653" s="5"/>
      <c r="T653" s="5"/>
      <c r="U653" s="5"/>
      <c r="V653" s="5"/>
      <c r="W653" s="5"/>
      <c r="X653" s="5"/>
      <c r="Y653" s="5" t="s">
        <v>2865</v>
      </c>
      <c r="Z653" s="5" t="s">
        <v>87</v>
      </c>
      <c r="AA653" s="5" t="s">
        <v>3186</v>
      </c>
      <c r="AB653" s="5" t="s">
        <v>46</v>
      </c>
      <c r="AC653" s="5"/>
      <c r="AD653" s="5" t="b">
        <v>0</v>
      </c>
      <c r="AE653" s="5"/>
      <c r="AF653" s="5"/>
      <c r="AG653" s="9">
        <f t="shared" si="10"/>
        <v>43274</v>
      </c>
    </row>
    <row r="654" s="6" customFormat="1" spans="1:33">
      <c r="A654" s="5" t="s">
        <v>3187</v>
      </c>
      <c r="B654" s="5" t="s">
        <v>3187</v>
      </c>
      <c r="C654" s="5" t="s">
        <v>3188</v>
      </c>
      <c r="D654" s="5" t="s">
        <v>3189</v>
      </c>
      <c r="E654" s="5" t="s">
        <v>36</v>
      </c>
      <c r="F654" s="5" t="s">
        <v>37</v>
      </c>
      <c r="G654" s="5" t="s">
        <v>38</v>
      </c>
      <c r="H654" s="5"/>
      <c r="I654" s="5"/>
      <c r="J654" s="5" t="s">
        <v>39</v>
      </c>
      <c r="K654" s="5" t="s">
        <v>201</v>
      </c>
      <c r="L654" s="5" t="s">
        <v>202</v>
      </c>
      <c r="M654" s="5" t="s">
        <v>203</v>
      </c>
      <c r="N654" s="5" t="s">
        <v>36</v>
      </c>
      <c r="O654" s="5">
        <v>1</v>
      </c>
      <c r="P654" s="5" t="s">
        <v>43</v>
      </c>
      <c r="Q654" s="5">
        <v>18.99</v>
      </c>
      <c r="R654" s="5"/>
      <c r="S654" s="5"/>
      <c r="T654" s="5"/>
      <c r="U654" s="5"/>
      <c r="V654" s="5"/>
      <c r="W654" s="5"/>
      <c r="X654" s="5"/>
      <c r="Y654" s="5" t="s">
        <v>3190</v>
      </c>
      <c r="Z654" s="5" t="s">
        <v>105</v>
      </c>
      <c r="AA654" s="5" t="s">
        <v>3191</v>
      </c>
      <c r="AB654" s="5" t="s">
        <v>46</v>
      </c>
      <c r="AC654" s="5"/>
      <c r="AD654" s="5" t="b">
        <v>0</v>
      </c>
      <c r="AE654" s="5"/>
      <c r="AF654" s="5"/>
      <c r="AG654" s="9">
        <f t="shared" si="10"/>
        <v>43274</v>
      </c>
    </row>
    <row r="655" s="6" customFormat="1" spans="1:33">
      <c r="A655" s="5" t="s">
        <v>3192</v>
      </c>
      <c r="B655" s="5" t="s">
        <v>3192</v>
      </c>
      <c r="C655" s="5" t="s">
        <v>3193</v>
      </c>
      <c r="D655" s="5" t="s">
        <v>3194</v>
      </c>
      <c r="E655" s="5" t="s">
        <v>36</v>
      </c>
      <c r="F655" s="5" t="s">
        <v>37</v>
      </c>
      <c r="G655" s="5" t="s">
        <v>38</v>
      </c>
      <c r="H655" s="5"/>
      <c r="I655" s="5"/>
      <c r="J655" s="5" t="s">
        <v>39</v>
      </c>
      <c r="K655" s="5" t="s">
        <v>101</v>
      </c>
      <c r="L655" s="5" t="s">
        <v>102</v>
      </c>
      <c r="M655" s="5" t="s">
        <v>103</v>
      </c>
      <c r="N655" s="5" t="s">
        <v>36</v>
      </c>
      <c r="O655" s="5">
        <v>1</v>
      </c>
      <c r="P655" s="5" t="s">
        <v>43</v>
      </c>
      <c r="Q655" s="5">
        <v>12.99</v>
      </c>
      <c r="R655" s="5"/>
      <c r="S655" s="5"/>
      <c r="T655" s="5"/>
      <c r="U655" s="5"/>
      <c r="V655" s="5"/>
      <c r="W655" s="5"/>
      <c r="X655" s="5"/>
      <c r="Y655" s="5" t="s">
        <v>3195</v>
      </c>
      <c r="Z655" s="5" t="s">
        <v>54</v>
      </c>
      <c r="AA655" s="5" t="s">
        <v>3196</v>
      </c>
      <c r="AB655" s="5" t="s">
        <v>46</v>
      </c>
      <c r="AC655" s="5"/>
      <c r="AD655" s="5" t="b">
        <v>0</v>
      </c>
      <c r="AE655" s="5"/>
      <c r="AF655" s="5"/>
      <c r="AG655" s="9">
        <f t="shared" si="10"/>
        <v>43274</v>
      </c>
    </row>
    <row r="656" s="6" customFormat="1" spans="1:33">
      <c r="A656" s="5" t="s">
        <v>3197</v>
      </c>
      <c r="B656" s="5" t="s">
        <v>3197</v>
      </c>
      <c r="C656" s="5" t="s">
        <v>3198</v>
      </c>
      <c r="D656" s="5" t="s">
        <v>3199</v>
      </c>
      <c r="E656" s="5" t="s">
        <v>36</v>
      </c>
      <c r="F656" s="5" t="s">
        <v>37</v>
      </c>
      <c r="G656" s="5" t="s">
        <v>38</v>
      </c>
      <c r="H656" s="5"/>
      <c r="I656" s="5"/>
      <c r="J656" s="5" t="s">
        <v>39</v>
      </c>
      <c r="K656" s="5" t="s">
        <v>101</v>
      </c>
      <c r="L656" s="5" t="s">
        <v>102</v>
      </c>
      <c r="M656" s="5" t="s">
        <v>103</v>
      </c>
      <c r="N656" s="5" t="s">
        <v>36</v>
      </c>
      <c r="O656" s="5">
        <v>1</v>
      </c>
      <c r="P656" s="5" t="s">
        <v>43</v>
      </c>
      <c r="Q656" s="5">
        <v>12.99</v>
      </c>
      <c r="R656" s="5"/>
      <c r="S656" s="5"/>
      <c r="T656" s="5"/>
      <c r="U656" s="5"/>
      <c r="V656" s="5"/>
      <c r="W656" s="5"/>
      <c r="X656" s="5"/>
      <c r="Y656" s="5" t="s">
        <v>3200</v>
      </c>
      <c r="Z656" s="5" t="s">
        <v>2410</v>
      </c>
      <c r="AA656" s="5" t="s">
        <v>3201</v>
      </c>
      <c r="AB656" s="5" t="s">
        <v>46</v>
      </c>
      <c r="AC656" s="5"/>
      <c r="AD656" s="5" t="b">
        <v>0</v>
      </c>
      <c r="AE656" s="5"/>
      <c r="AF656" s="5"/>
      <c r="AG656" s="9">
        <f t="shared" si="10"/>
        <v>43274</v>
      </c>
    </row>
    <row r="657" s="6" customFormat="1" spans="1:33">
      <c r="A657" s="5" t="s">
        <v>3202</v>
      </c>
      <c r="B657" s="5" t="s">
        <v>3202</v>
      </c>
      <c r="C657" s="5" t="s">
        <v>3203</v>
      </c>
      <c r="D657" s="5" t="s">
        <v>3204</v>
      </c>
      <c r="E657" s="5" t="s">
        <v>36</v>
      </c>
      <c r="F657" s="5" t="s">
        <v>37</v>
      </c>
      <c r="G657" s="5" t="s">
        <v>38</v>
      </c>
      <c r="H657" s="5"/>
      <c r="I657" s="5"/>
      <c r="J657" s="5" t="s">
        <v>128</v>
      </c>
      <c r="K657" s="5" t="s">
        <v>866</v>
      </c>
      <c r="L657" s="5" t="s">
        <v>867</v>
      </c>
      <c r="M657" s="5" t="s">
        <v>868</v>
      </c>
      <c r="N657" s="5" t="s">
        <v>36</v>
      </c>
      <c r="O657" s="5">
        <v>1</v>
      </c>
      <c r="P657" s="5" t="s">
        <v>43</v>
      </c>
      <c r="Q657" s="5">
        <v>18.98</v>
      </c>
      <c r="R657" s="5"/>
      <c r="S657" s="5">
        <v>4.14</v>
      </c>
      <c r="T657" s="5"/>
      <c r="U657" s="5"/>
      <c r="V657" s="5"/>
      <c r="W657" s="5"/>
      <c r="X657" s="5"/>
      <c r="Y657" s="5" t="s">
        <v>3205</v>
      </c>
      <c r="Z657" s="5" t="s">
        <v>3206</v>
      </c>
      <c r="AA657" s="5" t="s">
        <v>3207</v>
      </c>
      <c r="AB657" s="5" t="s">
        <v>46</v>
      </c>
      <c r="AC657" s="5"/>
      <c r="AD657" s="5" t="b">
        <v>0</v>
      </c>
      <c r="AE657" s="5"/>
      <c r="AF657" s="5"/>
      <c r="AG657" s="9">
        <f t="shared" si="10"/>
        <v>43274</v>
      </c>
    </row>
    <row r="658" s="6" customFormat="1" spans="1:33">
      <c r="A658" s="5" t="s">
        <v>3208</v>
      </c>
      <c r="B658" s="5" t="s">
        <v>3208</v>
      </c>
      <c r="C658" s="5" t="s">
        <v>3209</v>
      </c>
      <c r="D658" s="5" t="s">
        <v>3210</v>
      </c>
      <c r="E658" s="5" t="s">
        <v>36</v>
      </c>
      <c r="F658" s="5" t="s">
        <v>37</v>
      </c>
      <c r="G658" s="5" t="s">
        <v>38</v>
      </c>
      <c r="H658" s="5"/>
      <c r="I658" s="5"/>
      <c r="J658" s="5" t="s">
        <v>39</v>
      </c>
      <c r="K658" s="5" t="s">
        <v>50</v>
      </c>
      <c r="L658" s="5" t="s">
        <v>51</v>
      </c>
      <c r="M658" s="5" t="s">
        <v>52</v>
      </c>
      <c r="N658" s="5" t="s">
        <v>36</v>
      </c>
      <c r="O658" s="5">
        <v>1</v>
      </c>
      <c r="P658" s="5" t="s">
        <v>43</v>
      </c>
      <c r="Q658" s="5">
        <v>18.99</v>
      </c>
      <c r="R658" s="5"/>
      <c r="S658" s="5"/>
      <c r="T658" s="5"/>
      <c r="U658" s="5"/>
      <c r="V658" s="5"/>
      <c r="W658" s="5"/>
      <c r="X658" s="5"/>
      <c r="Y658" s="5" t="s">
        <v>3211</v>
      </c>
      <c r="Z658" s="5" t="s">
        <v>151</v>
      </c>
      <c r="AA658" s="5">
        <v>14428</v>
      </c>
      <c r="AB658" s="5" t="s">
        <v>46</v>
      </c>
      <c r="AC658" s="5"/>
      <c r="AD658" s="5" t="b">
        <v>0</v>
      </c>
      <c r="AE658" s="5"/>
      <c r="AF658" s="5"/>
      <c r="AG658" s="9">
        <f t="shared" si="10"/>
        <v>43274</v>
      </c>
    </row>
    <row r="659" s="6" customFormat="1" spans="1:33">
      <c r="A659" s="5" t="s">
        <v>3212</v>
      </c>
      <c r="B659" s="5" t="s">
        <v>3212</v>
      </c>
      <c r="C659" s="5" t="s">
        <v>3213</v>
      </c>
      <c r="D659" s="5" t="s">
        <v>3214</v>
      </c>
      <c r="E659" s="5" t="s">
        <v>36</v>
      </c>
      <c r="F659" s="5" t="s">
        <v>37</v>
      </c>
      <c r="G659" s="5" t="s">
        <v>38</v>
      </c>
      <c r="H659" s="5"/>
      <c r="I659" s="5"/>
      <c r="J659" s="5" t="s">
        <v>39</v>
      </c>
      <c r="K659" s="5" t="s">
        <v>533</v>
      </c>
      <c r="L659" s="5" t="s">
        <v>1048</v>
      </c>
      <c r="M659" s="5" t="s">
        <v>535</v>
      </c>
      <c r="N659" s="5" t="s">
        <v>36</v>
      </c>
      <c r="O659" s="5">
        <v>1</v>
      </c>
      <c r="P659" s="5" t="s">
        <v>43</v>
      </c>
      <c r="Q659" s="5">
        <v>24.99</v>
      </c>
      <c r="R659" s="5"/>
      <c r="S659" s="5"/>
      <c r="T659" s="5"/>
      <c r="U659" s="5"/>
      <c r="V659" s="5"/>
      <c r="W659" s="5"/>
      <c r="X659" s="5"/>
      <c r="Y659" s="5" t="s">
        <v>3215</v>
      </c>
      <c r="Z659" s="5" t="s">
        <v>307</v>
      </c>
      <c r="AA659" s="5" t="s">
        <v>3216</v>
      </c>
      <c r="AB659" s="5" t="s">
        <v>46</v>
      </c>
      <c r="AC659" s="5"/>
      <c r="AD659" s="5" t="b">
        <v>0</v>
      </c>
      <c r="AE659" s="5"/>
      <c r="AF659" s="5"/>
      <c r="AG659" s="9">
        <f t="shared" si="10"/>
        <v>43274</v>
      </c>
    </row>
    <row r="660" s="6" customFormat="1" spans="1:33">
      <c r="A660" s="5" t="s">
        <v>3217</v>
      </c>
      <c r="B660" s="5" t="s">
        <v>3217</v>
      </c>
      <c r="C660" s="5" t="s">
        <v>3218</v>
      </c>
      <c r="D660" s="5" t="s">
        <v>3219</v>
      </c>
      <c r="E660" s="5" t="s">
        <v>36</v>
      </c>
      <c r="F660" s="5" t="s">
        <v>37</v>
      </c>
      <c r="G660" s="5" t="s">
        <v>38</v>
      </c>
      <c r="H660" s="5"/>
      <c r="I660" s="5"/>
      <c r="J660" s="5" t="s">
        <v>39</v>
      </c>
      <c r="K660" s="5" t="s">
        <v>1625</v>
      </c>
      <c r="L660" s="5" t="s">
        <v>1626</v>
      </c>
      <c r="M660" s="5" t="s">
        <v>1627</v>
      </c>
      <c r="N660" s="5" t="s">
        <v>36</v>
      </c>
      <c r="O660" s="5">
        <v>1</v>
      </c>
      <c r="P660" s="5" t="s">
        <v>43</v>
      </c>
      <c r="Q660" s="5">
        <v>17.9</v>
      </c>
      <c r="R660" s="5">
        <v>1.07</v>
      </c>
      <c r="S660" s="5"/>
      <c r="T660" s="5"/>
      <c r="U660" s="5"/>
      <c r="V660" s="5"/>
      <c r="W660" s="5"/>
      <c r="X660" s="5"/>
      <c r="Y660" s="5" t="s">
        <v>3220</v>
      </c>
      <c r="Z660" s="5" t="s">
        <v>255</v>
      </c>
      <c r="AA660" s="5" t="s">
        <v>3221</v>
      </c>
      <c r="AB660" s="5" t="s">
        <v>46</v>
      </c>
      <c r="AC660" s="5"/>
      <c r="AD660" s="5" t="b">
        <v>0</v>
      </c>
      <c r="AE660" s="5"/>
      <c r="AF660" s="5"/>
      <c r="AG660" s="9">
        <f t="shared" si="10"/>
        <v>43274</v>
      </c>
    </row>
    <row r="661" s="6" customFormat="1" spans="1:33">
      <c r="A661" s="5" t="s">
        <v>3222</v>
      </c>
      <c r="B661" s="5" t="s">
        <v>3222</v>
      </c>
      <c r="C661" s="5" t="s">
        <v>3223</v>
      </c>
      <c r="D661" s="5" t="s">
        <v>3224</v>
      </c>
      <c r="E661" s="5" t="s">
        <v>36</v>
      </c>
      <c r="F661" s="5" t="s">
        <v>37</v>
      </c>
      <c r="G661" s="5" t="s">
        <v>38</v>
      </c>
      <c r="H661" s="5"/>
      <c r="I661" s="5"/>
      <c r="J661" s="5" t="s">
        <v>39</v>
      </c>
      <c r="K661" s="5" t="s">
        <v>387</v>
      </c>
      <c r="L661" s="5" t="s">
        <v>388</v>
      </c>
      <c r="M661" s="5" t="s">
        <v>389</v>
      </c>
      <c r="N661" s="5" t="s">
        <v>36</v>
      </c>
      <c r="O661" s="5">
        <v>1</v>
      </c>
      <c r="P661" s="5" t="s">
        <v>43</v>
      </c>
      <c r="Q661" s="5">
        <v>18.99</v>
      </c>
      <c r="R661" s="5"/>
      <c r="S661" s="5"/>
      <c r="T661" s="5"/>
      <c r="U661" s="5"/>
      <c r="V661" s="5"/>
      <c r="W661" s="5"/>
      <c r="X661" s="5"/>
      <c r="Y661" s="5" t="s">
        <v>3225</v>
      </c>
      <c r="Z661" s="5" t="s">
        <v>45</v>
      </c>
      <c r="AA661" s="5" t="s">
        <v>3226</v>
      </c>
      <c r="AB661" s="5" t="s">
        <v>46</v>
      </c>
      <c r="AC661" s="5"/>
      <c r="AD661" s="5" t="b">
        <v>0</v>
      </c>
      <c r="AE661" s="5"/>
      <c r="AF661" s="5"/>
      <c r="AG661" s="9">
        <f t="shared" si="10"/>
        <v>43274</v>
      </c>
    </row>
    <row r="662" s="6" customFormat="1" spans="1:33">
      <c r="A662" s="5" t="s">
        <v>3227</v>
      </c>
      <c r="B662" s="5" t="s">
        <v>3227</v>
      </c>
      <c r="C662" s="5" t="s">
        <v>3228</v>
      </c>
      <c r="D662" s="5" t="s">
        <v>3229</v>
      </c>
      <c r="E662" s="5" t="s">
        <v>36</v>
      </c>
      <c r="F662" s="5" t="s">
        <v>37</v>
      </c>
      <c r="G662" s="5" t="s">
        <v>38</v>
      </c>
      <c r="H662" s="5"/>
      <c r="I662" s="5"/>
      <c r="J662" s="5" t="s">
        <v>39</v>
      </c>
      <c r="K662" s="5" t="s">
        <v>147</v>
      </c>
      <c r="L662" s="5" t="s">
        <v>148</v>
      </c>
      <c r="M662" s="5" t="s">
        <v>149</v>
      </c>
      <c r="N662" s="5" t="s">
        <v>36</v>
      </c>
      <c r="O662" s="5">
        <v>1</v>
      </c>
      <c r="P662" s="5" t="s">
        <v>43</v>
      </c>
      <c r="Q662" s="5">
        <v>12.98</v>
      </c>
      <c r="R662" s="5"/>
      <c r="S662" s="5"/>
      <c r="T662" s="5"/>
      <c r="U662" s="5"/>
      <c r="V662" s="5"/>
      <c r="W662" s="5"/>
      <c r="X662" s="5"/>
      <c r="Y662" s="5" t="s">
        <v>3230</v>
      </c>
      <c r="Z662" s="5" t="s">
        <v>105</v>
      </c>
      <c r="AA662" s="5" t="s">
        <v>3231</v>
      </c>
      <c r="AB662" s="5" t="s">
        <v>46</v>
      </c>
      <c r="AC662" s="5"/>
      <c r="AD662" s="5" t="b">
        <v>0</v>
      </c>
      <c r="AE662" s="5"/>
      <c r="AF662" s="5"/>
      <c r="AG662" s="9">
        <f t="shared" si="10"/>
        <v>43274</v>
      </c>
    </row>
    <row r="663" s="6" customFormat="1" spans="1:33">
      <c r="A663" s="5" t="s">
        <v>3232</v>
      </c>
      <c r="B663" s="5" t="s">
        <v>3232</v>
      </c>
      <c r="C663" s="5" t="s">
        <v>3233</v>
      </c>
      <c r="D663" s="5" t="s">
        <v>3234</v>
      </c>
      <c r="E663" s="5" t="s">
        <v>36</v>
      </c>
      <c r="F663" s="5" t="s">
        <v>37</v>
      </c>
      <c r="G663" s="5" t="s">
        <v>38</v>
      </c>
      <c r="H663" s="5"/>
      <c r="I663" s="5"/>
      <c r="J663" s="5" t="s">
        <v>287</v>
      </c>
      <c r="K663" s="5" t="s">
        <v>3235</v>
      </c>
      <c r="L663" s="5" t="s">
        <v>3236</v>
      </c>
      <c r="M663" s="5" t="s">
        <v>3237</v>
      </c>
      <c r="N663" s="5" t="s">
        <v>36</v>
      </c>
      <c r="O663" s="5">
        <v>1</v>
      </c>
      <c r="P663" s="5" t="s">
        <v>43</v>
      </c>
      <c r="Q663" s="5">
        <v>14.98</v>
      </c>
      <c r="R663" s="5"/>
      <c r="S663" s="5"/>
      <c r="T663" s="5"/>
      <c r="U663" s="5"/>
      <c r="V663" s="5"/>
      <c r="W663" s="5"/>
      <c r="X663" s="5"/>
      <c r="Y663" s="5" t="s">
        <v>1899</v>
      </c>
      <c r="Z663" s="5" t="s">
        <v>54</v>
      </c>
      <c r="AA663" s="5" t="s">
        <v>1900</v>
      </c>
      <c r="AB663" s="5" t="s">
        <v>46</v>
      </c>
      <c r="AC663" s="5"/>
      <c r="AD663" s="5" t="b">
        <v>0</v>
      </c>
      <c r="AE663" s="5"/>
      <c r="AF663" s="5"/>
      <c r="AG663" s="9">
        <f t="shared" si="10"/>
        <v>43274</v>
      </c>
    </row>
    <row r="664" s="6" customFormat="1" spans="1:33">
      <c r="A664" s="5" t="s">
        <v>3238</v>
      </c>
      <c r="B664" s="5" t="s">
        <v>3238</v>
      </c>
      <c r="C664" s="5" t="s">
        <v>3239</v>
      </c>
      <c r="D664" s="5" t="s">
        <v>3240</v>
      </c>
      <c r="E664" s="5" t="s">
        <v>36</v>
      </c>
      <c r="F664" s="5" t="s">
        <v>37</v>
      </c>
      <c r="G664" s="5" t="s">
        <v>38</v>
      </c>
      <c r="H664" s="5"/>
      <c r="I664" s="5"/>
      <c r="J664" s="5" t="s">
        <v>39</v>
      </c>
      <c r="K664" s="5" t="s">
        <v>201</v>
      </c>
      <c r="L664" s="5" t="s">
        <v>202</v>
      </c>
      <c r="M664" s="5" t="s">
        <v>203</v>
      </c>
      <c r="N664" s="5" t="s">
        <v>36</v>
      </c>
      <c r="O664" s="5">
        <v>1</v>
      </c>
      <c r="P664" s="5" t="s">
        <v>43</v>
      </c>
      <c r="Q664" s="5">
        <v>18.99</v>
      </c>
      <c r="R664" s="5">
        <v>1.08</v>
      </c>
      <c r="S664" s="5"/>
      <c r="T664" s="5"/>
      <c r="U664" s="5"/>
      <c r="V664" s="5"/>
      <c r="W664" s="5">
        <v>0.95</v>
      </c>
      <c r="X664" s="5"/>
      <c r="Y664" s="5" t="s">
        <v>3241</v>
      </c>
      <c r="Z664" s="5" t="s">
        <v>255</v>
      </c>
      <c r="AA664" s="5">
        <v>15673</v>
      </c>
      <c r="AB664" s="5" t="s">
        <v>46</v>
      </c>
      <c r="AC664" s="5" t="s">
        <v>115</v>
      </c>
      <c r="AD664" s="5" t="b">
        <v>0</v>
      </c>
      <c r="AE664" s="5"/>
      <c r="AF664" s="5"/>
      <c r="AG664" s="9">
        <f t="shared" si="10"/>
        <v>43274</v>
      </c>
    </row>
    <row r="665" s="6" customFormat="1" spans="1:33">
      <c r="A665" s="5" t="s">
        <v>3238</v>
      </c>
      <c r="B665" s="5" t="s">
        <v>3238</v>
      </c>
      <c r="C665" s="5" t="s">
        <v>3239</v>
      </c>
      <c r="D665" s="5" t="s">
        <v>3240</v>
      </c>
      <c r="E665" s="5" t="s">
        <v>36</v>
      </c>
      <c r="F665" s="5" t="s">
        <v>37</v>
      </c>
      <c r="G665" s="5" t="s">
        <v>38</v>
      </c>
      <c r="H665" s="5"/>
      <c r="I665" s="5"/>
      <c r="J665" s="5" t="s">
        <v>39</v>
      </c>
      <c r="K665" s="5" t="s">
        <v>50</v>
      </c>
      <c r="L665" s="5" t="s">
        <v>51</v>
      </c>
      <c r="M665" s="5" t="s">
        <v>52</v>
      </c>
      <c r="N665" s="5" t="s">
        <v>36</v>
      </c>
      <c r="O665" s="5">
        <v>1</v>
      </c>
      <c r="P665" s="5" t="s">
        <v>43</v>
      </c>
      <c r="Q665" s="5">
        <v>18.99</v>
      </c>
      <c r="R665" s="5">
        <v>1.08</v>
      </c>
      <c r="S665" s="5"/>
      <c r="T665" s="5"/>
      <c r="U665" s="5"/>
      <c r="V665" s="5"/>
      <c r="W665" s="5">
        <v>0.95</v>
      </c>
      <c r="X665" s="5"/>
      <c r="Y665" s="5" t="s">
        <v>3241</v>
      </c>
      <c r="Z665" s="5" t="s">
        <v>255</v>
      </c>
      <c r="AA665" s="5">
        <v>15673</v>
      </c>
      <c r="AB665" s="5" t="s">
        <v>46</v>
      </c>
      <c r="AC665" s="5" t="s">
        <v>115</v>
      </c>
      <c r="AD665" s="5" t="b">
        <v>0</v>
      </c>
      <c r="AE665" s="5"/>
      <c r="AF665" s="5"/>
      <c r="AG665" s="9">
        <f t="shared" si="10"/>
        <v>43274</v>
      </c>
    </row>
    <row r="666" s="6" customFormat="1" spans="1:33">
      <c r="A666" s="5" t="s">
        <v>3242</v>
      </c>
      <c r="B666" s="5" t="s">
        <v>3242</v>
      </c>
      <c r="C666" s="5" t="s">
        <v>3243</v>
      </c>
      <c r="D666" s="5" t="s">
        <v>3244</v>
      </c>
      <c r="E666" s="5" t="s">
        <v>36</v>
      </c>
      <c r="F666" s="5" t="s">
        <v>37</v>
      </c>
      <c r="G666" s="5" t="s">
        <v>38</v>
      </c>
      <c r="H666" s="5"/>
      <c r="I666" s="5"/>
      <c r="J666" s="5" t="s">
        <v>39</v>
      </c>
      <c r="K666" s="5" t="s">
        <v>278</v>
      </c>
      <c r="L666" s="5" t="s">
        <v>3245</v>
      </c>
      <c r="M666" s="5" t="s">
        <v>280</v>
      </c>
      <c r="N666" s="5" t="s">
        <v>36</v>
      </c>
      <c r="O666" s="5">
        <v>1</v>
      </c>
      <c r="P666" s="5" t="s">
        <v>43</v>
      </c>
      <c r="Q666" s="5">
        <v>24.99</v>
      </c>
      <c r="R666" s="5"/>
      <c r="S666" s="5"/>
      <c r="T666" s="5"/>
      <c r="U666" s="5"/>
      <c r="V666" s="5"/>
      <c r="W666" s="5"/>
      <c r="X666" s="5"/>
      <c r="Y666" s="5" t="s">
        <v>3246</v>
      </c>
      <c r="Z666" s="5" t="s">
        <v>151</v>
      </c>
      <c r="AA666" s="5" t="s">
        <v>3247</v>
      </c>
      <c r="AB666" s="5" t="s">
        <v>46</v>
      </c>
      <c r="AC666" s="5"/>
      <c r="AD666" s="5" t="b">
        <v>0</v>
      </c>
      <c r="AE666" s="5"/>
      <c r="AF666" s="5"/>
      <c r="AG666" s="9">
        <f t="shared" si="10"/>
        <v>43274</v>
      </c>
    </row>
    <row r="667" s="6" customFormat="1" spans="1:33">
      <c r="A667" s="5" t="s">
        <v>3248</v>
      </c>
      <c r="B667" s="5" t="s">
        <v>3248</v>
      </c>
      <c r="C667" s="5" t="s">
        <v>3249</v>
      </c>
      <c r="D667" s="5" t="s">
        <v>3250</v>
      </c>
      <c r="E667" s="5" t="s">
        <v>36</v>
      </c>
      <c r="F667" s="5" t="s">
        <v>37</v>
      </c>
      <c r="G667" s="5" t="s">
        <v>38</v>
      </c>
      <c r="H667" s="5"/>
      <c r="I667" s="5"/>
      <c r="J667" s="5" t="s">
        <v>39</v>
      </c>
      <c r="K667" s="5" t="s">
        <v>101</v>
      </c>
      <c r="L667" s="5" t="s">
        <v>102</v>
      </c>
      <c r="M667" s="5" t="s">
        <v>103</v>
      </c>
      <c r="N667" s="5" t="s">
        <v>36</v>
      </c>
      <c r="O667" s="5">
        <v>1</v>
      </c>
      <c r="P667" s="5" t="s">
        <v>43</v>
      </c>
      <c r="Q667" s="5">
        <v>12.99</v>
      </c>
      <c r="R667" s="5"/>
      <c r="S667" s="5"/>
      <c r="T667" s="5"/>
      <c r="U667" s="5"/>
      <c r="V667" s="5"/>
      <c r="W667" s="5"/>
      <c r="X667" s="5"/>
      <c r="Y667" s="5" t="s">
        <v>2596</v>
      </c>
      <c r="Z667" s="5" t="s">
        <v>1070</v>
      </c>
      <c r="AA667" s="5" t="s">
        <v>3251</v>
      </c>
      <c r="AB667" s="5" t="s">
        <v>46</v>
      </c>
      <c r="AC667" s="5"/>
      <c r="AD667" s="5" t="b">
        <v>0</v>
      </c>
      <c r="AE667" s="5"/>
      <c r="AF667" s="5"/>
      <c r="AG667" s="9">
        <f t="shared" si="10"/>
        <v>43274</v>
      </c>
    </row>
    <row r="668" s="6" customFormat="1" spans="1:33">
      <c r="A668" s="5" t="s">
        <v>3252</v>
      </c>
      <c r="B668" s="5" t="s">
        <v>3252</v>
      </c>
      <c r="C668" s="5" t="s">
        <v>3253</v>
      </c>
      <c r="D668" s="5" t="s">
        <v>3254</v>
      </c>
      <c r="E668" s="5" t="s">
        <v>36</v>
      </c>
      <c r="F668" s="5" t="s">
        <v>37</v>
      </c>
      <c r="G668" s="5" t="s">
        <v>38</v>
      </c>
      <c r="H668" s="5"/>
      <c r="I668" s="5"/>
      <c r="J668" s="5" t="s">
        <v>39</v>
      </c>
      <c r="K668" s="5" t="s">
        <v>641</v>
      </c>
      <c r="L668" s="5" t="s">
        <v>1286</v>
      </c>
      <c r="M668" s="5" t="s">
        <v>1287</v>
      </c>
      <c r="N668" s="5" t="s">
        <v>36</v>
      </c>
      <c r="O668" s="5">
        <v>1</v>
      </c>
      <c r="P668" s="5" t="s">
        <v>43</v>
      </c>
      <c r="Q668" s="5">
        <v>20</v>
      </c>
      <c r="R668" s="5"/>
      <c r="S668" s="5"/>
      <c r="T668" s="5"/>
      <c r="U668" s="5"/>
      <c r="V668" s="5"/>
      <c r="W668" s="5">
        <v>4</v>
      </c>
      <c r="X668" s="5"/>
      <c r="Y668" s="5" t="s">
        <v>3255</v>
      </c>
      <c r="Z668" s="5" t="s">
        <v>463</v>
      </c>
      <c r="AA668" s="5" t="s">
        <v>3256</v>
      </c>
      <c r="AB668" s="5" t="s">
        <v>46</v>
      </c>
      <c r="AC668" s="5" t="s">
        <v>172</v>
      </c>
      <c r="AD668" s="5" t="b">
        <v>0</v>
      </c>
      <c r="AE668" s="5"/>
      <c r="AF668" s="5"/>
      <c r="AG668" s="9">
        <f t="shared" si="10"/>
        <v>43274</v>
      </c>
    </row>
    <row r="669" s="6" customFormat="1" spans="1:33">
      <c r="A669" s="5" t="s">
        <v>3257</v>
      </c>
      <c r="B669" s="5" t="s">
        <v>3257</v>
      </c>
      <c r="C669" s="5" t="s">
        <v>3258</v>
      </c>
      <c r="D669" s="5" t="s">
        <v>3259</v>
      </c>
      <c r="E669" s="5" t="s">
        <v>36</v>
      </c>
      <c r="F669" s="5" t="s">
        <v>37</v>
      </c>
      <c r="G669" s="5" t="s">
        <v>38</v>
      </c>
      <c r="H669" s="5"/>
      <c r="I669" s="5"/>
      <c r="J669" s="5" t="s">
        <v>39</v>
      </c>
      <c r="K669" s="5" t="s">
        <v>2197</v>
      </c>
      <c r="L669" s="5" t="s">
        <v>2198</v>
      </c>
      <c r="M669" s="5" t="s">
        <v>2199</v>
      </c>
      <c r="N669" s="5" t="s">
        <v>36</v>
      </c>
      <c r="O669" s="5">
        <v>1</v>
      </c>
      <c r="P669" s="5" t="s">
        <v>43</v>
      </c>
      <c r="Q669" s="5">
        <v>24.99</v>
      </c>
      <c r="R669" s="5"/>
      <c r="S669" s="5"/>
      <c r="T669" s="5"/>
      <c r="U669" s="5"/>
      <c r="V669" s="5"/>
      <c r="W669" s="5"/>
      <c r="X669" s="5"/>
      <c r="Y669" s="5" t="s">
        <v>3260</v>
      </c>
      <c r="Z669" s="5" t="s">
        <v>391</v>
      </c>
      <c r="AA669" s="5" t="s">
        <v>3261</v>
      </c>
      <c r="AB669" s="5" t="s">
        <v>46</v>
      </c>
      <c r="AC669" s="5"/>
      <c r="AD669" s="5" t="b">
        <v>0</v>
      </c>
      <c r="AE669" s="5"/>
      <c r="AF669" s="5"/>
      <c r="AG669" s="9">
        <f t="shared" si="10"/>
        <v>43274</v>
      </c>
    </row>
    <row r="670" s="6" customFormat="1" spans="1:33">
      <c r="A670" s="5" t="s">
        <v>3262</v>
      </c>
      <c r="B670" s="5" t="s">
        <v>3262</v>
      </c>
      <c r="C670" s="5" t="s">
        <v>3263</v>
      </c>
      <c r="D670" s="5" t="s">
        <v>3264</v>
      </c>
      <c r="E670" s="5" t="s">
        <v>36</v>
      </c>
      <c r="F670" s="5" t="s">
        <v>37</v>
      </c>
      <c r="G670" s="5" t="s">
        <v>38</v>
      </c>
      <c r="H670" s="5"/>
      <c r="I670" s="5"/>
      <c r="J670" s="5" t="s">
        <v>39</v>
      </c>
      <c r="K670" s="5" t="s">
        <v>101</v>
      </c>
      <c r="L670" s="5" t="s">
        <v>102</v>
      </c>
      <c r="M670" s="5" t="s">
        <v>103</v>
      </c>
      <c r="N670" s="5" t="s">
        <v>36</v>
      </c>
      <c r="O670" s="5">
        <v>1</v>
      </c>
      <c r="P670" s="5" t="s">
        <v>43</v>
      </c>
      <c r="Q670" s="5">
        <v>12.99</v>
      </c>
      <c r="R670" s="5"/>
      <c r="S670" s="5"/>
      <c r="T670" s="5"/>
      <c r="U670" s="5"/>
      <c r="V670" s="5"/>
      <c r="W670" s="5"/>
      <c r="X670" s="5"/>
      <c r="Y670" s="5" t="s">
        <v>3265</v>
      </c>
      <c r="Z670" s="5" t="s">
        <v>1212</v>
      </c>
      <c r="AA670" s="5" t="s">
        <v>3266</v>
      </c>
      <c r="AB670" s="5" t="s">
        <v>46</v>
      </c>
      <c r="AC670" s="5"/>
      <c r="AD670" s="5" t="b">
        <v>0</v>
      </c>
      <c r="AE670" s="5"/>
      <c r="AF670" s="5"/>
      <c r="AG670" s="9">
        <f t="shared" si="10"/>
        <v>43274</v>
      </c>
    </row>
    <row r="671" s="6" customFormat="1" spans="1:33">
      <c r="A671" s="5" t="s">
        <v>3267</v>
      </c>
      <c r="B671" s="5" t="s">
        <v>3267</v>
      </c>
      <c r="C671" s="5" t="s">
        <v>3268</v>
      </c>
      <c r="D671" s="5" t="s">
        <v>3269</v>
      </c>
      <c r="E671" s="5" t="s">
        <v>36</v>
      </c>
      <c r="F671" s="5" t="s">
        <v>37</v>
      </c>
      <c r="G671" s="5" t="s">
        <v>38</v>
      </c>
      <c r="H671" s="5"/>
      <c r="I671" s="5"/>
      <c r="J671" s="5" t="s">
        <v>287</v>
      </c>
      <c r="K671" s="5" t="s">
        <v>101</v>
      </c>
      <c r="L671" s="5" t="s">
        <v>102</v>
      </c>
      <c r="M671" s="5" t="s">
        <v>103</v>
      </c>
      <c r="N671" s="5" t="s">
        <v>36</v>
      </c>
      <c r="O671" s="5">
        <v>1</v>
      </c>
      <c r="P671" s="5" t="s">
        <v>43</v>
      </c>
      <c r="Q671" s="5">
        <v>12.99</v>
      </c>
      <c r="R671" s="5"/>
      <c r="S671" s="5">
        <v>14.41</v>
      </c>
      <c r="T671" s="5"/>
      <c r="U671" s="5"/>
      <c r="V671" s="5"/>
      <c r="W671" s="5"/>
      <c r="X671" s="5"/>
      <c r="Y671" s="5" t="s">
        <v>3270</v>
      </c>
      <c r="Z671" s="5"/>
      <c r="AA671" s="5">
        <v>1108</v>
      </c>
      <c r="AB671" s="5" t="s">
        <v>3271</v>
      </c>
      <c r="AC671" s="5"/>
      <c r="AD671" s="5" t="b">
        <v>0</v>
      </c>
      <c r="AE671" s="5"/>
      <c r="AF671" s="5"/>
      <c r="AG671" s="9">
        <f t="shared" si="10"/>
        <v>43274</v>
      </c>
    </row>
    <row r="672" s="6" customFormat="1" spans="1:33">
      <c r="A672" s="5" t="s">
        <v>3272</v>
      </c>
      <c r="B672" s="5" t="s">
        <v>3272</v>
      </c>
      <c r="C672" s="5" t="s">
        <v>3273</v>
      </c>
      <c r="D672" s="5" t="s">
        <v>3274</v>
      </c>
      <c r="E672" s="5" t="s">
        <v>36</v>
      </c>
      <c r="F672" s="5" t="s">
        <v>37</v>
      </c>
      <c r="G672" s="5" t="s">
        <v>38</v>
      </c>
      <c r="H672" s="5"/>
      <c r="I672" s="5"/>
      <c r="J672" s="5" t="s">
        <v>128</v>
      </c>
      <c r="K672" s="5" t="s">
        <v>243</v>
      </c>
      <c r="L672" s="5" t="s">
        <v>244</v>
      </c>
      <c r="M672" s="5" t="s">
        <v>245</v>
      </c>
      <c r="N672" s="5" t="s">
        <v>36</v>
      </c>
      <c r="O672" s="5">
        <v>1</v>
      </c>
      <c r="P672" s="5" t="s">
        <v>43</v>
      </c>
      <c r="Q672" s="5">
        <v>18.99</v>
      </c>
      <c r="R672" s="5"/>
      <c r="S672" s="5">
        <v>3.09</v>
      </c>
      <c r="T672" s="5"/>
      <c r="U672" s="5"/>
      <c r="V672" s="5"/>
      <c r="W672" s="5"/>
      <c r="X672" s="5">
        <v>3.09</v>
      </c>
      <c r="Y672" s="5" t="s">
        <v>3275</v>
      </c>
      <c r="Z672" s="5" t="s">
        <v>105</v>
      </c>
      <c r="AA672" s="5" t="s">
        <v>3276</v>
      </c>
      <c r="AB672" s="5" t="s">
        <v>46</v>
      </c>
      <c r="AC672" s="5" t="s">
        <v>225</v>
      </c>
      <c r="AD672" s="5" t="b">
        <v>0</v>
      </c>
      <c r="AE672" s="5"/>
      <c r="AF672" s="5"/>
      <c r="AG672" s="9">
        <f t="shared" si="10"/>
        <v>43274</v>
      </c>
    </row>
    <row r="673" s="6" customFormat="1" spans="1:33">
      <c r="A673" s="5" t="s">
        <v>3277</v>
      </c>
      <c r="B673" s="5" t="s">
        <v>3277</v>
      </c>
      <c r="C673" s="5" t="s">
        <v>3278</v>
      </c>
      <c r="D673" s="5" t="s">
        <v>3279</v>
      </c>
      <c r="E673" s="5" t="s">
        <v>36</v>
      </c>
      <c r="F673" s="5" t="s">
        <v>37</v>
      </c>
      <c r="G673" s="5" t="s">
        <v>38</v>
      </c>
      <c r="H673" s="5"/>
      <c r="I673" s="5"/>
      <c r="J673" s="5" t="s">
        <v>39</v>
      </c>
      <c r="K673" s="5" t="s">
        <v>278</v>
      </c>
      <c r="L673" s="5" t="s">
        <v>279</v>
      </c>
      <c r="M673" s="5" t="s">
        <v>280</v>
      </c>
      <c r="N673" s="5" t="s">
        <v>36</v>
      </c>
      <c r="O673" s="5">
        <v>1</v>
      </c>
      <c r="P673" s="5" t="s">
        <v>43</v>
      </c>
      <c r="Q673" s="5">
        <v>24.99</v>
      </c>
      <c r="R673" s="5"/>
      <c r="S673" s="5"/>
      <c r="T673" s="5"/>
      <c r="U673" s="5"/>
      <c r="V673" s="5"/>
      <c r="W673" s="5"/>
      <c r="X673" s="5"/>
      <c r="Y673" s="5" t="s">
        <v>1886</v>
      </c>
      <c r="Z673" s="5" t="s">
        <v>606</v>
      </c>
      <c r="AA673" s="5" t="s">
        <v>1887</v>
      </c>
      <c r="AB673" s="5" t="s">
        <v>46</v>
      </c>
      <c r="AC673" s="5"/>
      <c r="AD673" s="5" t="b">
        <v>0</v>
      </c>
      <c r="AE673" s="5"/>
      <c r="AF673" s="5"/>
      <c r="AG673" s="9">
        <f t="shared" si="10"/>
        <v>43274</v>
      </c>
    </row>
    <row r="674" s="6" customFormat="1" spans="1:33">
      <c r="A674" s="5" t="s">
        <v>3280</v>
      </c>
      <c r="B674" s="5" t="s">
        <v>3280</v>
      </c>
      <c r="C674" s="5" t="s">
        <v>3281</v>
      </c>
      <c r="D674" s="5" t="s">
        <v>3282</v>
      </c>
      <c r="E674" s="5" t="s">
        <v>36</v>
      </c>
      <c r="F674" s="5" t="s">
        <v>37</v>
      </c>
      <c r="G674" s="5" t="s">
        <v>38</v>
      </c>
      <c r="H674" s="5"/>
      <c r="I674" s="5"/>
      <c r="J674" s="5" t="s">
        <v>39</v>
      </c>
      <c r="K674" s="5" t="s">
        <v>50</v>
      </c>
      <c r="L674" s="5" t="s">
        <v>51</v>
      </c>
      <c r="M674" s="5" t="s">
        <v>52</v>
      </c>
      <c r="N674" s="5" t="s">
        <v>36</v>
      </c>
      <c r="O674" s="5">
        <v>1</v>
      </c>
      <c r="P674" s="5" t="s">
        <v>43</v>
      </c>
      <c r="Q674" s="5">
        <v>18.99</v>
      </c>
      <c r="R674" s="5"/>
      <c r="S674" s="5"/>
      <c r="T674" s="5"/>
      <c r="U674" s="5"/>
      <c r="V674" s="5"/>
      <c r="W674" s="5"/>
      <c r="X674" s="5"/>
      <c r="Y674" s="5" t="s">
        <v>796</v>
      </c>
      <c r="Z674" s="5" t="s">
        <v>54</v>
      </c>
      <c r="AA674" s="5" t="s">
        <v>3283</v>
      </c>
      <c r="AB674" s="5" t="s">
        <v>46</v>
      </c>
      <c r="AC674" s="5"/>
      <c r="AD674" s="5" t="b">
        <v>0</v>
      </c>
      <c r="AE674" s="5"/>
      <c r="AF674" s="5"/>
      <c r="AG674" s="9">
        <f t="shared" si="10"/>
        <v>43274</v>
      </c>
    </row>
    <row r="675" s="6" customFormat="1" spans="1:33">
      <c r="A675" s="5" t="s">
        <v>3284</v>
      </c>
      <c r="B675" s="5" t="s">
        <v>3284</v>
      </c>
      <c r="C675" s="5" t="s">
        <v>3285</v>
      </c>
      <c r="D675" s="5" t="s">
        <v>3286</v>
      </c>
      <c r="E675" s="5" t="s">
        <v>36</v>
      </c>
      <c r="F675" s="5" t="s">
        <v>37</v>
      </c>
      <c r="G675" s="5" t="s">
        <v>38</v>
      </c>
      <c r="H675" s="5"/>
      <c r="I675" s="5"/>
      <c r="J675" s="5" t="s">
        <v>39</v>
      </c>
      <c r="K675" s="5" t="s">
        <v>3287</v>
      </c>
      <c r="L675" s="5" t="s">
        <v>3288</v>
      </c>
      <c r="M675" s="5" t="s">
        <v>3289</v>
      </c>
      <c r="N675" s="5" t="s">
        <v>36</v>
      </c>
      <c r="O675" s="5">
        <v>1</v>
      </c>
      <c r="P675" s="5" t="s">
        <v>43</v>
      </c>
      <c r="Q675" s="5">
        <v>15.98</v>
      </c>
      <c r="R675" s="5"/>
      <c r="S675" s="5"/>
      <c r="T675" s="5"/>
      <c r="U675" s="5"/>
      <c r="V675" s="5"/>
      <c r="W675" s="5"/>
      <c r="X675" s="5"/>
      <c r="Y675" s="5" t="s">
        <v>3290</v>
      </c>
      <c r="Z675" s="5" t="s">
        <v>87</v>
      </c>
      <c r="AA675" s="5" t="s">
        <v>3291</v>
      </c>
      <c r="AB675" s="5" t="s">
        <v>46</v>
      </c>
      <c r="AC675" s="5"/>
      <c r="AD675" s="5" t="b">
        <v>0</v>
      </c>
      <c r="AE675" s="5"/>
      <c r="AF675" s="5"/>
      <c r="AG675" s="9">
        <f t="shared" si="10"/>
        <v>43274</v>
      </c>
    </row>
    <row r="676" s="6" customFormat="1" spans="1:33">
      <c r="A676" s="5" t="s">
        <v>3292</v>
      </c>
      <c r="B676" s="5" t="s">
        <v>3292</v>
      </c>
      <c r="C676" s="5" t="s">
        <v>3293</v>
      </c>
      <c r="D676" s="5" t="s">
        <v>3294</v>
      </c>
      <c r="E676" s="5" t="s">
        <v>36</v>
      </c>
      <c r="F676" s="5" t="s">
        <v>37</v>
      </c>
      <c r="G676" s="5" t="s">
        <v>38</v>
      </c>
      <c r="H676" s="5"/>
      <c r="I676" s="5"/>
      <c r="J676" s="5" t="s">
        <v>287</v>
      </c>
      <c r="K676" s="5" t="s">
        <v>50</v>
      </c>
      <c r="L676" s="5" t="s">
        <v>51</v>
      </c>
      <c r="M676" s="5" t="s">
        <v>52</v>
      </c>
      <c r="N676" s="5" t="s">
        <v>36</v>
      </c>
      <c r="O676" s="5">
        <v>1</v>
      </c>
      <c r="P676" s="5" t="s">
        <v>43</v>
      </c>
      <c r="Q676" s="5">
        <v>18.99</v>
      </c>
      <c r="R676" s="5"/>
      <c r="S676" s="5">
        <v>1.5</v>
      </c>
      <c r="T676" s="5"/>
      <c r="U676" s="5"/>
      <c r="V676" s="5"/>
      <c r="W676" s="5"/>
      <c r="X676" s="5">
        <v>1.5</v>
      </c>
      <c r="Y676" s="5" t="s">
        <v>3295</v>
      </c>
      <c r="Z676" s="5" t="s">
        <v>142</v>
      </c>
      <c r="AA676" s="5" t="s">
        <v>3296</v>
      </c>
      <c r="AB676" s="5" t="s">
        <v>46</v>
      </c>
      <c r="AC676" s="5"/>
      <c r="AD676" s="5" t="b">
        <v>0</v>
      </c>
      <c r="AE676" s="5"/>
      <c r="AF676" s="5"/>
      <c r="AG676" s="9">
        <f t="shared" si="10"/>
        <v>43274</v>
      </c>
    </row>
    <row r="677" s="6" customFormat="1" spans="1:33">
      <c r="A677" s="5" t="s">
        <v>3297</v>
      </c>
      <c r="B677" s="5" t="s">
        <v>3297</v>
      </c>
      <c r="C677" s="5" t="s">
        <v>3298</v>
      </c>
      <c r="D677" s="5" t="s">
        <v>3299</v>
      </c>
      <c r="E677" s="5" t="s">
        <v>36</v>
      </c>
      <c r="F677" s="5" t="s">
        <v>37</v>
      </c>
      <c r="G677" s="5" t="s">
        <v>38</v>
      </c>
      <c r="H677" s="5"/>
      <c r="I677" s="5"/>
      <c r="J677" s="5" t="s">
        <v>39</v>
      </c>
      <c r="K677" s="5" t="s">
        <v>147</v>
      </c>
      <c r="L677" s="5" t="s">
        <v>148</v>
      </c>
      <c r="M677" s="5" t="s">
        <v>149</v>
      </c>
      <c r="N677" s="5" t="s">
        <v>36</v>
      </c>
      <c r="O677" s="5">
        <v>1</v>
      </c>
      <c r="P677" s="5" t="s">
        <v>43</v>
      </c>
      <c r="Q677" s="5">
        <v>12.98</v>
      </c>
      <c r="R677" s="5"/>
      <c r="S677" s="5"/>
      <c r="T677" s="5"/>
      <c r="U677" s="5"/>
      <c r="V677" s="5"/>
      <c r="W677" s="5"/>
      <c r="X677" s="5"/>
      <c r="Y677" s="5" t="s">
        <v>1656</v>
      </c>
      <c r="Z677" s="5" t="s">
        <v>247</v>
      </c>
      <c r="AA677" s="5" t="s">
        <v>3300</v>
      </c>
      <c r="AB677" s="5" t="s">
        <v>46</v>
      </c>
      <c r="AC677" s="5"/>
      <c r="AD677" s="5" t="b">
        <v>0</v>
      </c>
      <c r="AE677" s="5"/>
      <c r="AF677" s="5"/>
      <c r="AG677" s="9">
        <f t="shared" si="10"/>
        <v>43274</v>
      </c>
    </row>
    <row r="678" s="6" customFormat="1" spans="1:33">
      <c r="A678" s="5" t="s">
        <v>3301</v>
      </c>
      <c r="B678" s="5" t="s">
        <v>3301</v>
      </c>
      <c r="C678" s="5" t="s">
        <v>3302</v>
      </c>
      <c r="D678" s="5" t="s">
        <v>3303</v>
      </c>
      <c r="E678" s="5" t="s">
        <v>36</v>
      </c>
      <c r="F678" s="5" t="s">
        <v>37</v>
      </c>
      <c r="G678" s="5" t="s">
        <v>38</v>
      </c>
      <c r="H678" s="5"/>
      <c r="I678" s="5"/>
      <c r="J678" s="5" t="s">
        <v>39</v>
      </c>
      <c r="K678" s="5" t="s">
        <v>147</v>
      </c>
      <c r="L678" s="5" t="s">
        <v>148</v>
      </c>
      <c r="M678" s="5" t="s">
        <v>149</v>
      </c>
      <c r="N678" s="5" t="s">
        <v>36</v>
      </c>
      <c r="O678" s="5">
        <v>1</v>
      </c>
      <c r="P678" s="5" t="s">
        <v>43</v>
      </c>
      <c r="Q678" s="5">
        <v>12.98</v>
      </c>
      <c r="R678" s="5"/>
      <c r="S678" s="5"/>
      <c r="T678" s="5"/>
      <c r="U678" s="5"/>
      <c r="V678" s="5"/>
      <c r="W678" s="5"/>
      <c r="X678" s="5"/>
      <c r="Y678" s="5" t="s">
        <v>1571</v>
      </c>
      <c r="Z678" s="5" t="s">
        <v>500</v>
      </c>
      <c r="AA678" s="5">
        <v>85301</v>
      </c>
      <c r="AB678" s="5" t="s">
        <v>46</v>
      </c>
      <c r="AC678" s="5"/>
      <c r="AD678" s="5" t="b">
        <v>0</v>
      </c>
      <c r="AE678" s="5"/>
      <c r="AF678" s="5"/>
      <c r="AG678" s="9">
        <f t="shared" si="10"/>
        <v>43274</v>
      </c>
    </row>
    <row r="679" s="6" customFormat="1" spans="1:33">
      <c r="A679" s="5" t="s">
        <v>3304</v>
      </c>
      <c r="B679" s="5" t="s">
        <v>3304</v>
      </c>
      <c r="C679" s="5" t="s">
        <v>3305</v>
      </c>
      <c r="D679" s="5" t="s">
        <v>3306</v>
      </c>
      <c r="E679" s="5" t="s">
        <v>36</v>
      </c>
      <c r="F679" s="5" t="s">
        <v>37</v>
      </c>
      <c r="G679" s="5" t="s">
        <v>38</v>
      </c>
      <c r="H679" s="5"/>
      <c r="I679" s="5"/>
      <c r="J679" s="5" t="s">
        <v>39</v>
      </c>
      <c r="K679" s="5" t="s">
        <v>75</v>
      </c>
      <c r="L679" s="5" t="s">
        <v>76</v>
      </c>
      <c r="M679" s="5" t="s">
        <v>77</v>
      </c>
      <c r="N679" s="5" t="s">
        <v>36</v>
      </c>
      <c r="O679" s="5">
        <v>1</v>
      </c>
      <c r="P679" s="5" t="s">
        <v>43</v>
      </c>
      <c r="Q679" s="5">
        <v>12.99</v>
      </c>
      <c r="R679" s="5"/>
      <c r="S679" s="5"/>
      <c r="T679" s="5"/>
      <c r="U679" s="5"/>
      <c r="V679" s="5"/>
      <c r="W679" s="5"/>
      <c r="X679" s="5"/>
      <c r="Y679" s="5" t="s">
        <v>1351</v>
      </c>
      <c r="Z679" s="5" t="s">
        <v>142</v>
      </c>
      <c r="AA679" s="5" t="s">
        <v>3307</v>
      </c>
      <c r="AB679" s="5" t="s">
        <v>46</v>
      </c>
      <c r="AC679" s="5"/>
      <c r="AD679" s="5" t="b">
        <v>0</v>
      </c>
      <c r="AE679" s="5"/>
      <c r="AF679" s="5"/>
      <c r="AG679" s="9">
        <f t="shared" si="10"/>
        <v>43274</v>
      </c>
    </row>
    <row r="680" s="6" customFormat="1" spans="1:33">
      <c r="A680" s="5" t="s">
        <v>3308</v>
      </c>
      <c r="B680" s="5" t="s">
        <v>3308</v>
      </c>
      <c r="C680" s="5" t="s">
        <v>3309</v>
      </c>
      <c r="D680" s="5" t="s">
        <v>3310</v>
      </c>
      <c r="E680" s="5" t="s">
        <v>614</v>
      </c>
      <c r="F680" s="5" t="s">
        <v>37</v>
      </c>
      <c r="G680" s="5" t="s">
        <v>38</v>
      </c>
      <c r="H680" s="5"/>
      <c r="I680" s="5"/>
      <c r="J680" s="5" t="s">
        <v>39</v>
      </c>
      <c r="K680" s="5" t="s">
        <v>101</v>
      </c>
      <c r="L680" s="5" t="s">
        <v>102</v>
      </c>
      <c r="M680" s="5" t="s">
        <v>103</v>
      </c>
      <c r="N680" s="5" t="s">
        <v>614</v>
      </c>
      <c r="O680" s="5">
        <v>0</v>
      </c>
      <c r="P680" s="5"/>
      <c r="Q680" s="5"/>
      <c r="R680" s="5"/>
      <c r="S680" s="5"/>
      <c r="T680" s="5"/>
      <c r="U680" s="5"/>
      <c r="V680" s="5"/>
      <c r="W680" s="5"/>
      <c r="X680" s="5"/>
      <c r="Y680" s="5" t="s">
        <v>3311</v>
      </c>
      <c r="Z680" s="5" t="s">
        <v>843</v>
      </c>
      <c r="AA680" s="5" t="s">
        <v>3312</v>
      </c>
      <c r="AB680" s="5" t="s">
        <v>46</v>
      </c>
      <c r="AC680" s="5"/>
      <c r="AD680" s="5" t="b">
        <v>0</v>
      </c>
      <c r="AE680" s="5"/>
      <c r="AF680" s="5"/>
      <c r="AG680" s="9">
        <f t="shared" si="10"/>
        <v>43274</v>
      </c>
    </row>
    <row r="681" s="6" customFormat="1" spans="1:33">
      <c r="A681" s="5" t="s">
        <v>3313</v>
      </c>
      <c r="B681" s="5" t="s">
        <v>3313</v>
      </c>
      <c r="C681" s="5" t="s">
        <v>3314</v>
      </c>
      <c r="D681" s="5" t="s">
        <v>3315</v>
      </c>
      <c r="E681" s="5" t="s">
        <v>36</v>
      </c>
      <c r="F681" s="5" t="s">
        <v>37</v>
      </c>
      <c r="G681" s="5" t="s">
        <v>38</v>
      </c>
      <c r="H681" s="5"/>
      <c r="I681" s="5"/>
      <c r="J681" s="5" t="s">
        <v>39</v>
      </c>
      <c r="K681" s="5" t="s">
        <v>75</v>
      </c>
      <c r="L681" s="5" t="s">
        <v>76</v>
      </c>
      <c r="M681" s="5" t="s">
        <v>77</v>
      </c>
      <c r="N681" s="5" t="s">
        <v>36</v>
      </c>
      <c r="O681" s="5">
        <v>1</v>
      </c>
      <c r="P681" s="5" t="s">
        <v>43</v>
      </c>
      <c r="Q681" s="5">
        <v>12.99</v>
      </c>
      <c r="R681" s="5"/>
      <c r="S681" s="5"/>
      <c r="T681" s="5"/>
      <c r="U681" s="5"/>
      <c r="V681" s="5"/>
      <c r="W681" s="5"/>
      <c r="X681" s="5"/>
      <c r="Y681" s="5" t="s">
        <v>3316</v>
      </c>
      <c r="Z681" s="5" t="s">
        <v>377</v>
      </c>
      <c r="AA681" s="5" t="s">
        <v>3317</v>
      </c>
      <c r="AB681" s="5" t="s">
        <v>46</v>
      </c>
      <c r="AC681" s="5"/>
      <c r="AD681" s="5" t="b">
        <v>0</v>
      </c>
      <c r="AE681" s="5"/>
      <c r="AF681" s="5"/>
      <c r="AG681" s="9">
        <f t="shared" si="10"/>
        <v>43274</v>
      </c>
    </row>
    <row r="682" s="6" customFormat="1" spans="1:33">
      <c r="A682" s="5" t="s">
        <v>3318</v>
      </c>
      <c r="B682" s="5" t="s">
        <v>3318</v>
      </c>
      <c r="C682" s="5" t="s">
        <v>3319</v>
      </c>
      <c r="D682" s="5" t="s">
        <v>3320</v>
      </c>
      <c r="E682" s="5" t="s">
        <v>36</v>
      </c>
      <c r="F682" s="5" t="s">
        <v>37</v>
      </c>
      <c r="G682" s="5" t="s">
        <v>38</v>
      </c>
      <c r="H682" s="5"/>
      <c r="I682" s="5"/>
      <c r="J682" s="5" t="s">
        <v>39</v>
      </c>
      <c r="K682" s="5" t="s">
        <v>147</v>
      </c>
      <c r="L682" s="5" t="s">
        <v>148</v>
      </c>
      <c r="M682" s="5" t="s">
        <v>149</v>
      </c>
      <c r="N682" s="5" t="s">
        <v>36</v>
      </c>
      <c r="O682" s="5">
        <v>1</v>
      </c>
      <c r="P682" s="5" t="s">
        <v>43</v>
      </c>
      <c r="Q682" s="5">
        <v>12.98</v>
      </c>
      <c r="R682" s="5"/>
      <c r="S682" s="5"/>
      <c r="T682" s="5"/>
      <c r="U682" s="5"/>
      <c r="V682" s="5"/>
      <c r="W682" s="5"/>
      <c r="X682" s="5"/>
      <c r="Y682" s="5" t="s">
        <v>3321</v>
      </c>
      <c r="Z682" s="5" t="s">
        <v>732</v>
      </c>
      <c r="AA682" s="5" t="s">
        <v>3322</v>
      </c>
      <c r="AB682" s="5" t="s">
        <v>46</v>
      </c>
      <c r="AC682" s="5"/>
      <c r="AD682" s="5" t="b">
        <v>0</v>
      </c>
      <c r="AE682" s="5"/>
      <c r="AF682" s="5"/>
      <c r="AG682" s="9">
        <f t="shared" si="10"/>
        <v>43275</v>
      </c>
    </row>
    <row r="683" s="6" customFormat="1" spans="1:33">
      <c r="A683" s="5" t="s">
        <v>3323</v>
      </c>
      <c r="B683" s="5" t="s">
        <v>3323</v>
      </c>
      <c r="C683" s="5" t="s">
        <v>3324</v>
      </c>
      <c r="D683" s="5" t="s">
        <v>3325</v>
      </c>
      <c r="E683" s="5" t="s">
        <v>36</v>
      </c>
      <c r="F683" s="5" t="s">
        <v>37</v>
      </c>
      <c r="G683" s="5" t="s">
        <v>38</v>
      </c>
      <c r="H683" s="5"/>
      <c r="I683" s="5"/>
      <c r="J683" s="5" t="s">
        <v>39</v>
      </c>
      <c r="K683" s="5" t="s">
        <v>58</v>
      </c>
      <c r="L683" s="5" t="s">
        <v>59</v>
      </c>
      <c r="M683" s="5" t="s">
        <v>60</v>
      </c>
      <c r="N683" s="5" t="s">
        <v>36</v>
      </c>
      <c r="O683" s="5">
        <v>1</v>
      </c>
      <c r="P683" s="5" t="s">
        <v>43</v>
      </c>
      <c r="Q683" s="5">
        <v>13.99</v>
      </c>
      <c r="R683" s="5"/>
      <c r="S683" s="5"/>
      <c r="T683" s="5"/>
      <c r="U683" s="5"/>
      <c r="V683" s="5"/>
      <c r="W683" s="5"/>
      <c r="X683" s="5"/>
      <c r="Y683" s="5" t="s">
        <v>3326</v>
      </c>
      <c r="Z683" s="5" t="s">
        <v>130</v>
      </c>
      <c r="AA683" s="5" t="s">
        <v>3327</v>
      </c>
      <c r="AB683" s="5" t="s">
        <v>46</v>
      </c>
      <c r="AC683" s="5"/>
      <c r="AD683" s="5" t="b">
        <v>0</v>
      </c>
      <c r="AE683" s="5"/>
      <c r="AF683" s="5"/>
      <c r="AG683" s="9">
        <f t="shared" si="10"/>
        <v>43275</v>
      </c>
    </row>
    <row r="684" s="6" customFormat="1" spans="1:33">
      <c r="A684" s="5" t="s">
        <v>3328</v>
      </c>
      <c r="B684" s="5" t="s">
        <v>3328</v>
      </c>
      <c r="C684" s="5" t="s">
        <v>3329</v>
      </c>
      <c r="D684" s="5" t="s">
        <v>3330</v>
      </c>
      <c r="E684" s="5" t="s">
        <v>36</v>
      </c>
      <c r="F684" s="5" t="s">
        <v>37</v>
      </c>
      <c r="G684" s="5" t="s">
        <v>38</v>
      </c>
      <c r="H684" s="5"/>
      <c r="I684" s="5"/>
      <c r="J684" s="5" t="s">
        <v>39</v>
      </c>
      <c r="K684" s="5" t="s">
        <v>50</v>
      </c>
      <c r="L684" s="5" t="s">
        <v>51</v>
      </c>
      <c r="M684" s="5" t="s">
        <v>52</v>
      </c>
      <c r="N684" s="5" t="s">
        <v>36</v>
      </c>
      <c r="O684" s="5">
        <v>1</v>
      </c>
      <c r="P684" s="5" t="s">
        <v>43</v>
      </c>
      <c r="Q684" s="5">
        <v>18.99</v>
      </c>
      <c r="R684" s="5"/>
      <c r="S684" s="5"/>
      <c r="T684" s="5"/>
      <c r="U684" s="5"/>
      <c r="V684" s="5"/>
      <c r="W684" s="5"/>
      <c r="X684" s="5"/>
      <c r="Y684" s="5" t="s">
        <v>3331</v>
      </c>
      <c r="Z684" s="5" t="s">
        <v>923</v>
      </c>
      <c r="AA684" s="5" t="s">
        <v>3332</v>
      </c>
      <c r="AB684" s="5" t="s">
        <v>46</v>
      </c>
      <c r="AC684" s="5"/>
      <c r="AD684" s="5" t="b">
        <v>0</v>
      </c>
      <c r="AE684" s="5"/>
      <c r="AF684" s="5"/>
      <c r="AG684" s="9">
        <f t="shared" si="10"/>
        <v>43275</v>
      </c>
    </row>
    <row r="685" s="6" customFormat="1" spans="1:33">
      <c r="A685" s="5" t="s">
        <v>3333</v>
      </c>
      <c r="B685" s="5" t="s">
        <v>3333</v>
      </c>
      <c r="C685" s="5" t="s">
        <v>3334</v>
      </c>
      <c r="D685" s="5" t="s">
        <v>3335</v>
      </c>
      <c r="E685" s="5" t="s">
        <v>36</v>
      </c>
      <c r="F685" s="5" t="s">
        <v>37</v>
      </c>
      <c r="G685" s="5" t="s">
        <v>38</v>
      </c>
      <c r="H685" s="5"/>
      <c r="I685" s="5"/>
      <c r="J685" s="5" t="s">
        <v>39</v>
      </c>
      <c r="K685" s="5" t="s">
        <v>243</v>
      </c>
      <c r="L685" s="5" t="s">
        <v>244</v>
      </c>
      <c r="M685" s="5" t="s">
        <v>245</v>
      </c>
      <c r="N685" s="5" t="s">
        <v>36</v>
      </c>
      <c r="O685" s="5">
        <v>1</v>
      </c>
      <c r="P685" s="5" t="s">
        <v>43</v>
      </c>
      <c r="Q685" s="5">
        <v>18.99</v>
      </c>
      <c r="R685" s="5"/>
      <c r="S685" s="5"/>
      <c r="T685" s="5"/>
      <c r="U685" s="5"/>
      <c r="V685" s="5"/>
      <c r="W685" s="5"/>
      <c r="X685" s="5"/>
      <c r="Y685" s="5" t="s">
        <v>3336</v>
      </c>
      <c r="Z685" s="5" t="s">
        <v>54</v>
      </c>
      <c r="AA685" s="5" t="s">
        <v>3337</v>
      </c>
      <c r="AB685" s="5" t="s">
        <v>46</v>
      </c>
      <c r="AC685" s="5"/>
      <c r="AD685" s="5" t="b">
        <v>0</v>
      </c>
      <c r="AE685" s="5"/>
      <c r="AF685" s="5"/>
      <c r="AG685" s="9">
        <f t="shared" si="10"/>
        <v>43275</v>
      </c>
    </row>
    <row r="686" s="6" customFormat="1" spans="1:33">
      <c r="A686" s="5" t="s">
        <v>3338</v>
      </c>
      <c r="B686" s="5" t="s">
        <v>3338</v>
      </c>
      <c r="C686" s="5" t="s">
        <v>3339</v>
      </c>
      <c r="D686" s="5" t="s">
        <v>3340</v>
      </c>
      <c r="E686" s="5" t="s">
        <v>36</v>
      </c>
      <c r="F686" s="5" t="s">
        <v>37</v>
      </c>
      <c r="G686" s="5" t="s">
        <v>38</v>
      </c>
      <c r="H686" s="5"/>
      <c r="I686" s="5"/>
      <c r="J686" s="5" t="s">
        <v>39</v>
      </c>
      <c r="K686" s="5" t="s">
        <v>570</v>
      </c>
      <c r="L686" s="5" t="s">
        <v>578</v>
      </c>
      <c r="M686" s="5" t="s">
        <v>572</v>
      </c>
      <c r="N686" s="5" t="s">
        <v>36</v>
      </c>
      <c r="O686" s="5">
        <v>1</v>
      </c>
      <c r="P686" s="5" t="s">
        <v>43</v>
      </c>
      <c r="Q686" s="5">
        <v>24.99</v>
      </c>
      <c r="R686" s="5"/>
      <c r="S686" s="5"/>
      <c r="T686" s="5"/>
      <c r="U686" s="5"/>
      <c r="V686" s="5"/>
      <c r="W686" s="5"/>
      <c r="X686" s="5"/>
      <c r="Y686" s="5" t="s">
        <v>3341</v>
      </c>
      <c r="Z686" s="5" t="s">
        <v>87</v>
      </c>
      <c r="AA686" s="5">
        <v>23322</v>
      </c>
      <c r="AB686" s="5" t="s">
        <v>46</v>
      </c>
      <c r="AC686" s="5"/>
      <c r="AD686" s="5" t="b">
        <v>0</v>
      </c>
      <c r="AE686" s="5"/>
      <c r="AF686" s="5"/>
      <c r="AG686" s="9">
        <f t="shared" si="10"/>
        <v>43275</v>
      </c>
    </row>
    <row r="687" s="6" customFormat="1" spans="1:33">
      <c r="A687" s="5" t="s">
        <v>3342</v>
      </c>
      <c r="B687" s="5" t="s">
        <v>3342</v>
      </c>
      <c r="C687" s="5" t="s">
        <v>3343</v>
      </c>
      <c r="D687" s="5" t="s">
        <v>3344</v>
      </c>
      <c r="E687" s="5" t="s">
        <v>36</v>
      </c>
      <c r="F687" s="5" t="s">
        <v>37</v>
      </c>
      <c r="G687" s="5" t="s">
        <v>38</v>
      </c>
      <c r="H687" s="5"/>
      <c r="I687" s="5"/>
      <c r="J687" s="5" t="s">
        <v>39</v>
      </c>
      <c r="K687" s="5" t="s">
        <v>83</v>
      </c>
      <c r="L687" s="5" t="s">
        <v>84</v>
      </c>
      <c r="M687" s="5" t="s">
        <v>85</v>
      </c>
      <c r="N687" s="5" t="s">
        <v>36</v>
      </c>
      <c r="O687" s="5">
        <v>1</v>
      </c>
      <c r="P687" s="5" t="s">
        <v>43</v>
      </c>
      <c r="Q687" s="5">
        <v>12.99</v>
      </c>
      <c r="R687" s="5"/>
      <c r="S687" s="5"/>
      <c r="T687" s="5"/>
      <c r="U687" s="5"/>
      <c r="V687" s="5"/>
      <c r="W687" s="5"/>
      <c r="X687" s="5"/>
      <c r="Y687" s="5" t="s">
        <v>3345</v>
      </c>
      <c r="Z687" s="5" t="s">
        <v>238</v>
      </c>
      <c r="AA687" s="5" t="s">
        <v>3346</v>
      </c>
      <c r="AB687" s="5" t="s">
        <v>46</v>
      </c>
      <c r="AC687" s="5"/>
      <c r="AD687" s="5" t="b">
        <v>0</v>
      </c>
      <c r="AE687" s="5"/>
      <c r="AF687" s="5"/>
      <c r="AG687" s="9">
        <f t="shared" si="10"/>
        <v>43275</v>
      </c>
    </row>
    <row r="688" s="6" customFormat="1" spans="1:33">
      <c r="A688" s="5" t="s">
        <v>3347</v>
      </c>
      <c r="B688" s="5" t="s">
        <v>3347</v>
      </c>
      <c r="C688" s="5" t="s">
        <v>3348</v>
      </c>
      <c r="D688" s="5" t="s">
        <v>3349</v>
      </c>
      <c r="E688" s="5" t="s">
        <v>614</v>
      </c>
      <c r="F688" s="5" t="s">
        <v>37</v>
      </c>
      <c r="G688" s="5" t="s">
        <v>38</v>
      </c>
      <c r="H688" s="5"/>
      <c r="I688" s="5"/>
      <c r="J688" s="5" t="s">
        <v>39</v>
      </c>
      <c r="K688" s="5" t="s">
        <v>1291</v>
      </c>
      <c r="L688" s="5" t="s">
        <v>1292</v>
      </c>
      <c r="M688" s="5" t="s">
        <v>1293</v>
      </c>
      <c r="N688" s="5" t="s">
        <v>614</v>
      </c>
      <c r="O688" s="5">
        <v>0</v>
      </c>
      <c r="P688" s="5"/>
      <c r="Q688" s="5"/>
      <c r="R688" s="5"/>
      <c r="S688" s="5"/>
      <c r="T688" s="5"/>
      <c r="U688" s="5"/>
      <c r="V688" s="5"/>
      <c r="W688" s="5"/>
      <c r="X688" s="5"/>
      <c r="Y688" s="5" t="s">
        <v>3345</v>
      </c>
      <c r="Z688" s="5" t="s">
        <v>238</v>
      </c>
      <c r="AA688" s="5" t="s">
        <v>3346</v>
      </c>
      <c r="AB688" s="5" t="s">
        <v>46</v>
      </c>
      <c r="AC688" s="5"/>
      <c r="AD688" s="5" t="b">
        <v>0</v>
      </c>
      <c r="AE688" s="5"/>
      <c r="AF688" s="5"/>
      <c r="AG688" s="9">
        <f t="shared" si="10"/>
        <v>43275</v>
      </c>
    </row>
    <row r="689" s="6" customFormat="1" spans="1:33">
      <c r="A689" s="5" t="s">
        <v>3350</v>
      </c>
      <c r="B689" s="5" t="s">
        <v>3350</v>
      </c>
      <c r="C689" s="5" t="s">
        <v>3351</v>
      </c>
      <c r="D689" s="5" t="s">
        <v>3352</v>
      </c>
      <c r="E689" s="5" t="s">
        <v>36</v>
      </c>
      <c r="F689" s="5" t="s">
        <v>37</v>
      </c>
      <c r="G689" s="5" t="s">
        <v>38</v>
      </c>
      <c r="H689" s="5"/>
      <c r="I689" s="5"/>
      <c r="J689" s="5" t="s">
        <v>39</v>
      </c>
      <c r="K689" s="5" t="s">
        <v>58</v>
      </c>
      <c r="L689" s="5" t="s">
        <v>59</v>
      </c>
      <c r="M689" s="5" t="s">
        <v>60</v>
      </c>
      <c r="N689" s="5" t="s">
        <v>36</v>
      </c>
      <c r="O689" s="5">
        <v>1</v>
      </c>
      <c r="P689" s="5" t="s">
        <v>43</v>
      </c>
      <c r="Q689" s="5">
        <v>13.99</v>
      </c>
      <c r="R689" s="5"/>
      <c r="S689" s="5"/>
      <c r="T689" s="5"/>
      <c r="U689" s="5"/>
      <c r="V689" s="5"/>
      <c r="W689" s="5"/>
      <c r="X689" s="5"/>
      <c r="Y689" s="5" t="s">
        <v>3353</v>
      </c>
      <c r="Z689" s="5" t="s">
        <v>732</v>
      </c>
      <c r="AA689" s="5" t="s">
        <v>3354</v>
      </c>
      <c r="AB689" s="5" t="s">
        <v>46</v>
      </c>
      <c r="AC689" s="5"/>
      <c r="AD689" s="5" t="b">
        <v>0</v>
      </c>
      <c r="AE689" s="5"/>
      <c r="AF689" s="5"/>
      <c r="AG689" s="9">
        <f t="shared" si="10"/>
        <v>43275</v>
      </c>
    </row>
    <row r="690" s="6" customFormat="1" spans="1:33">
      <c r="A690" s="5" t="s">
        <v>3355</v>
      </c>
      <c r="B690" s="5" t="s">
        <v>3355</v>
      </c>
      <c r="C690" s="5" t="s">
        <v>3356</v>
      </c>
      <c r="D690" s="5" t="s">
        <v>3357</v>
      </c>
      <c r="E690" s="5" t="s">
        <v>36</v>
      </c>
      <c r="F690" s="5" t="s">
        <v>37</v>
      </c>
      <c r="G690" s="5" t="s">
        <v>38</v>
      </c>
      <c r="H690" s="5"/>
      <c r="I690" s="5"/>
      <c r="J690" s="5" t="s">
        <v>39</v>
      </c>
      <c r="K690" s="5" t="s">
        <v>260</v>
      </c>
      <c r="L690" s="5" t="s">
        <v>261</v>
      </c>
      <c r="M690" s="5" t="s">
        <v>262</v>
      </c>
      <c r="N690" s="5" t="s">
        <v>36</v>
      </c>
      <c r="O690" s="5">
        <v>1</v>
      </c>
      <c r="P690" s="5" t="s">
        <v>43</v>
      </c>
      <c r="Q690" s="5">
        <v>18.99</v>
      </c>
      <c r="R690" s="5"/>
      <c r="S690" s="5"/>
      <c r="T690" s="5"/>
      <c r="U690" s="5"/>
      <c r="V690" s="5"/>
      <c r="W690" s="5"/>
      <c r="X690" s="5"/>
      <c r="Y690" s="5" t="s">
        <v>2347</v>
      </c>
      <c r="Z690" s="5" t="s">
        <v>96</v>
      </c>
      <c r="AA690" s="5" t="s">
        <v>2348</v>
      </c>
      <c r="AB690" s="5" t="s">
        <v>46</v>
      </c>
      <c r="AC690" s="5"/>
      <c r="AD690" s="5" t="b">
        <v>0</v>
      </c>
      <c r="AE690" s="5"/>
      <c r="AF690" s="5"/>
      <c r="AG690" s="9">
        <f t="shared" si="10"/>
        <v>43275</v>
      </c>
    </row>
    <row r="691" s="6" customFormat="1" spans="1:33">
      <c r="A691" s="5" t="s">
        <v>3358</v>
      </c>
      <c r="B691" s="5" t="s">
        <v>3358</v>
      </c>
      <c r="C691" s="5" t="s">
        <v>3359</v>
      </c>
      <c r="D691" s="5" t="s">
        <v>3360</v>
      </c>
      <c r="E691" s="5" t="s">
        <v>36</v>
      </c>
      <c r="F691" s="5" t="s">
        <v>37</v>
      </c>
      <c r="G691" s="5" t="s">
        <v>38</v>
      </c>
      <c r="H691" s="5"/>
      <c r="I691" s="5"/>
      <c r="J691" s="5" t="s">
        <v>39</v>
      </c>
      <c r="K691" s="5" t="s">
        <v>387</v>
      </c>
      <c r="L691" s="5" t="s">
        <v>388</v>
      </c>
      <c r="M691" s="5" t="s">
        <v>389</v>
      </c>
      <c r="N691" s="5" t="s">
        <v>36</v>
      </c>
      <c r="O691" s="5">
        <v>1</v>
      </c>
      <c r="P691" s="5" t="s">
        <v>43</v>
      </c>
      <c r="Q691" s="5">
        <v>18.99</v>
      </c>
      <c r="R691" s="5">
        <v>1.14</v>
      </c>
      <c r="S691" s="5"/>
      <c r="T691" s="5"/>
      <c r="U691" s="5"/>
      <c r="V691" s="5"/>
      <c r="W691" s="5"/>
      <c r="X691" s="5"/>
      <c r="Y691" s="5" t="s">
        <v>3361</v>
      </c>
      <c r="Z691" s="5" t="s">
        <v>255</v>
      </c>
      <c r="AA691" s="5" t="s">
        <v>3362</v>
      </c>
      <c r="AB691" s="5" t="s">
        <v>46</v>
      </c>
      <c r="AC691" s="5"/>
      <c r="AD691" s="5" t="b">
        <v>0</v>
      </c>
      <c r="AE691" s="5"/>
      <c r="AF691" s="5"/>
      <c r="AG691" s="9">
        <f t="shared" si="10"/>
        <v>43275</v>
      </c>
    </row>
    <row r="692" s="6" customFormat="1" spans="1:33">
      <c r="A692" s="5" t="s">
        <v>3363</v>
      </c>
      <c r="B692" s="5" t="s">
        <v>3363</v>
      </c>
      <c r="C692" s="5" t="s">
        <v>3364</v>
      </c>
      <c r="D692" s="5" t="s">
        <v>3365</v>
      </c>
      <c r="E692" s="5" t="s">
        <v>36</v>
      </c>
      <c r="F692" s="5" t="s">
        <v>37</v>
      </c>
      <c r="G692" s="5" t="s">
        <v>38</v>
      </c>
      <c r="H692" s="5"/>
      <c r="I692" s="5"/>
      <c r="J692" s="5" t="s">
        <v>39</v>
      </c>
      <c r="K692" s="5" t="s">
        <v>409</v>
      </c>
      <c r="L692" s="5" t="s">
        <v>452</v>
      </c>
      <c r="M692" s="5" t="s">
        <v>453</v>
      </c>
      <c r="N692" s="5" t="s">
        <v>36</v>
      </c>
      <c r="O692" s="5">
        <v>1</v>
      </c>
      <c r="P692" s="5" t="s">
        <v>43</v>
      </c>
      <c r="Q692" s="5">
        <v>9.9</v>
      </c>
      <c r="R692" s="5"/>
      <c r="S692" s="5"/>
      <c r="T692" s="5"/>
      <c r="U692" s="5"/>
      <c r="V692" s="5"/>
      <c r="W692" s="5"/>
      <c r="X692" s="5"/>
      <c r="Y692" s="5" t="s">
        <v>3366</v>
      </c>
      <c r="Z692" s="5" t="s">
        <v>3367</v>
      </c>
      <c r="AA692" s="5">
        <v>49637</v>
      </c>
      <c r="AB692" s="5" t="s">
        <v>46</v>
      </c>
      <c r="AC692" s="5"/>
      <c r="AD692" s="5" t="b">
        <v>0</v>
      </c>
      <c r="AE692" s="5"/>
      <c r="AF692" s="5"/>
      <c r="AG692" s="9">
        <f t="shared" si="10"/>
        <v>43275</v>
      </c>
    </row>
    <row r="693" s="6" customFormat="1" spans="1:33">
      <c r="A693" s="5" t="s">
        <v>3368</v>
      </c>
      <c r="B693" s="5" t="s">
        <v>3368</v>
      </c>
      <c r="C693" s="5" t="s">
        <v>3369</v>
      </c>
      <c r="D693" s="5" t="s">
        <v>3370</v>
      </c>
      <c r="E693" s="5" t="s">
        <v>36</v>
      </c>
      <c r="F693" s="5" t="s">
        <v>37</v>
      </c>
      <c r="G693" s="5" t="s">
        <v>38</v>
      </c>
      <c r="H693" s="5"/>
      <c r="I693" s="5"/>
      <c r="J693" s="5" t="s">
        <v>39</v>
      </c>
      <c r="K693" s="5" t="s">
        <v>201</v>
      </c>
      <c r="L693" s="5" t="s">
        <v>202</v>
      </c>
      <c r="M693" s="5" t="s">
        <v>203</v>
      </c>
      <c r="N693" s="5" t="s">
        <v>36</v>
      </c>
      <c r="O693" s="5">
        <v>1</v>
      </c>
      <c r="P693" s="5" t="s">
        <v>43</v>
      </c>
      <c r="Q693" s="5">
        <v>18.99</v>
      </c>
      <c r="R693" s="5"/>
      <c r="S693" s="5"/>
      <c r="T693" s="5"/>
      <c r="U693" s="5"/>
      <c r="V693" s="5"/>
      <c r="W693" s="5"/>
      <c r="X693" s="5"/>
      <c r="Y693" s="5" t="s">
        <v>3371</v>
      </c>
      <c r="Z693" s="5" t="s">
        <v>307</v>
      </c>
      <c r="AA693" s="5" t="s">
        <v>3372</v>
      </c>
      <c r="AB693" s="5" t="s">
        <v>46</v>
      </c>
      <c r="AC693" s="5"/>
      <c r="AD693" s="5" t="b">
        <v>0</v>
      </c>
      <c r="AE693" s="5"/>
      <c r="AF693" s="5"/>
      <c r="AG693" s="9">
        <f t="shared" si="10"/>
        <v>43275</v>
      </c>
    </row>
    <row r="694" s="6" customFormat="1" spans="1:33">
      <c r="A694" s="5" t="s">
        <v>3373</v>
      </c>
      <c r="B694" s="5" t="s">
        <v>3373</v>
      </c>
      <c r="C694" s="5" t="s">
        <v>3374</v>
      </c>
      <c r="D694" s="5" t="s">
        <v>3375</v>
      </c>
      <c r="E694" s="5" t="s">
        <v>36</v>
      </c>
      <c r="F694" s="5" t="s">
        <v>37</v>
      </c>
      <c r="G694" s="5" t="s">
        <v>38</v>
      </c>
      <c r="H694" s="5"/>
      <c r="I694" s="5"/>
      <c r="J694" s="5" t="s">
        <v>39</v>
      </c>
      <c r="K694" s="5" t="s">
        <v>1550</v>
      </c>
      <c r="L694" s="5" t="s">
        <v>3376</v>
      </c>
      <c r="M694" s="5" t="s">
        <v>3377</v>
      </c>
      <c r="N694" s="5" t="s">
        <v>36</v>
      </c>
      <c r="O694" s="5">
        <v>1</v>
      </c>
      <c r="P694" s="5" t="s">
        <v>43</v>
      </c>
      <c r="Q694" s="5">
        <v>25.99</v>
      </c>
      <c r="R694" s="5"/>
      <c r="S694" s="5"/>
      <c r="T694" s="5"/>
      <c r="U694" s="5"/>
      <c r="V694" s="5"/>
      <c r="W694" s="5"/>
      <c r="X694" s="5"/>
      <c r="Y694" s="5" t="s">
        <v>3378</v>
      </c>
      <c r="Z694" s="5" t="s">
        <v>596</v>
      </c>
      <c r="AA694" s="5" t="s">
        <v>3379</v>
      </c>
      <c r="AB694" s="5" t="s">
        <v>46</v>
      </c>
      <c r="AC694" s="5"/>
      <c r="AD694" s="5" t="b">
        <v>0</v>
      </c>
      <c r="AE694" s="5"/>
      <c r="AF694" s="5"/>
      <c r="AG694" s="9">
        <f t="shared" si="10"/>
        <v>43275</v>
      </c>
    </row>
    <row r="695" s="6" customFormat="1" spans="1:33">
      <c r="A695" s="5" t="s">
        <v>3380</v>
      </c>
      <c r="B695" s="5" t="s">
        <v>3380</v>
      </c>
      <c r="C695" s="5" t="s">
        <v>3381</v>
      </c>
      <c r="D695" s="5" t="s">
        <v>3382</v>
      </c>
      <c r="E695" s="5" t="s">
        <v>36</v>
      </c>
      <c r="F695" s="5" t="s">
        <v>37</v>
      </c>
      <c r="G695" s="5" t="s">
        <v>38</v>
      </c>
      <c r="H695" s="5"/>
      <c r="I695" s="5"/>
      <c r="J695" s="5" t="s">
        <v>39</v>
      </c>
      <c r="K695" s="5" t="s">
        <v>50</v>
      </c>
      <c r="L695" s="5" t="s">
        <v>3383</v>
      </c>
      <c r="M695" s="5" t="s">
        <v>52</v>
      </c>
      <c r="N695" s="5" t="s">
        <v>36</v>
      </c>
      <c r="O695" s="5">
        <v>1</v>
      </c>
      <c r="P695" s="5" t="s">
        <v>43</v>
      </c>
      <c r="Q695" s="5">
        <v>18.99</v>
      </c>
      <c r="R695" s="5"/>
      <c r="S695" s="5"/>
      <c r="T695" s="5"/>
      <c r="U695" s="5"/>
      <c r="V695" s="5"/>
      <c r="W695" s="5"/>
      <c r="X695" s="5"/>
      <c r="Y695" s="5" t="s">
        <v>3384</v>
      </c>
      <c r="Z695" s="5" t="s">
        <v>96</v>
      </c>
      <c r="AA695" s="5">
        <v>62895</v>
      </c>
      <c r="AB695" s="5" t="s">
        <v>46</v>
      </c>
      <c r="AC695" s="5"/>
      <c r="AD695" s="5" t="b">
        <v>0</v>
      </c>
      <c r="AE695" s="5"/>
      <c r="AF695" s="5"/>
      <c r="AG695" s="9">
        <f t="shared" si="10"/>
        <v>43275</v>
      </c>
    </row>
    <row r="696" s="6" customFormat="1" spans="1:33">
      <c r="A696" s="5" t="s">
        <v>3385</v>
      </c>
      <c r="B696" s="5" t="s">
        <v>3385</v>
      </c>
      <c r="C696" s="5" t="s">
        <v>3386</v>
      </c>
      <c r="D696" s="5" t="s">
        <v>3387</v>
      </c>
      <c r="E696" s="5" t="s">
        <v>36</v>
      </c>
      <c r="F696" s="5" t="s">
        <v>37</v>
      </c>
      <c r="G696" s="5" t="s">
        <v>38</v>
      </c>
      <c r="H696" s="5"/>
      <c r="I696" s="5"/>
      <c r="J696" s="5" t="s">
        <v>39</v>
      </c>
      <c r="K696" s="5" t="s">
        <v>147</v>
      </c>
      <c r="L696" s="5" t="s">
        <v>148</v>
      </c>
      <c r="M696" s="5" t="s">
        <v>149</v>
      </c>
      <c r="N696" s="5" t="s">
        <v>36</v>
      </c>
      <c r="O696" s="5">
        <v>1</v>
      </c>
      <c r="P696" s="5" t="s">
        <v>43</v>
      </c>
      <c r="Q696" s="5">
        <v>12.98</v>
      </c>
      <c r="R696" s="5">
        <v>1.1</v>
      </c>
      <c r="S696" s="5"/>
      <c r="T696" s="5"/>
      <c r="U696" s="5"/>
      <c r="V696" s="5"/>
      <c r="W696" s="5"/>
      <c r="X696" s="5"/>
      <c r="Y696" s="5" t="s">
        <v>3388</v>
      </c>
      <c r="Z696" s="5" t="s">
        <v>474</v>
      </c>
      <c r="AA696" s="5">
        <v>98221</v>
      </c>
      <c r="AB696" s="5" t="s">
        <v>46</v>
      </c>
      <c r="AC696" s="5"/>
      <c r="AD696" s="5" t="b">
        <v>0</v>
      </c>
      <c r="AE696" s="5"/>
      <c r="AF696" s="5"/>
      <c r="AG696" s="9">
        <f t="shared" si="10"/>
        <v>43275</v>
      </c>
    </row>
    <row r="697" s="6" customFormat="1" spans="1:33">
      <c r="A697" s="5" t="s">
        <v>3389</v>
      </c>
      <c r="B697" s="5" t="s">
        <v>3389</v>
      </c>
      <c r="C697" s="5" t="s">
        <v>3390</v>
      </c>
      <c r="D697" s="5" t="s">
        <v>3391</v>
      </c>
      <c r="E697" s="5" t="s">
        <v>36</v>
      </c>
      <c r="F697" s="5" t="s">
        <v>37</v>
      </c>
      <c r="G697" s="5" t="s">
        <v>38</v>
      </c>
      <c r="H697" s="5"/>
      <c r="I697" s="5"/>
      <c r="J697" s="5" t="s">
        <v>39</v>
      </c>
      <c r="K697" s="5" t="s">
        <v>2197</v>
      </c>
      <c r="L697" s="5" t="s">
        <v>2198</v>
      </c>
      <c r="M697" s="5" t="s">
        <v>2199</v>
      </c>
      <c r="N697" s="5" t="s">
        <v>36</v>
      </c>
      <c r="O697" s="5">
        <v>1</v>
      </c>
      <c r="P697" s="5" t="s">
        <v>43</v>
      </c>
      <c r="Q697" s="5">
        <v>24.99</v>
      </c>
      <c r="R697" s="5"/>
      <c r="S697" s="5"/>
      <c r="T697" s="5"/>
      <c r="U697" s="5"/>
      <c r="V697" s="5"/>
      <c r="W697" s="5"/>
      <c r="X697" s="5"/>
      <c r="Y697" s="5" t="s">
        <v>3392</v>
      </c>
      <c r="Z697" s="5" t="s">
        <v>54</v>
      </c>
      <c r="AA697" s="5" t="s">
        <v>3393</v>
      </c>
      <c r="AB697" s="5" t="s">
        <v>46</v>
      </c>
      <c r="AC697" s="5"/>
      <c r="AD697" s="5" t="b">
        <v>0</v>
      </c>
      <c r="AE697" s="5"/>
      <c r="AF697" s="5"/>
      <c r="AG697" s="9">
        <f t="shared" si="10"/>
        <v>43275</v>
      </c>
    </row>
    <row r="698" s="6" customFormat="1" spans="1:33">
      <c r="A698" s="5" t="s">
        <v>3394</v>
      </c>
      <c r="B698" s="5" t="s">
        <v>3394</v>
      </c>
      <c r="C698" s="5" t="s">
        <v>3395</v>
      </c>
      <c r="D698" s="5" t="s">
        <v>3396</v>
      </c>
      <c r="E698" s="5" t="s">
        <v>36</v>
      </c>
      <c r="F698" s="5" t="s">
        <v>37</v>
      </c>
      <c r="G698" s="5" t="s">
        <v>38</v>
      </c>
      <c r="H698" s="5"/>
      <c r="I698" s="5"/>
      <c r="J698" s="5" t="s">
        <v>39</v>
      </c>
      <c r="K698" s="5" t="s">
        <v>711</v>
      </c>
      <c r="L698" s="5" t="s">
        <v>712</v>
      </c>
      <c r="M698" s="5" t="s">
        <v>713</v>
      </c>
      <c r="N698" s="5" t="s">
        <v>36</v>
      </c>
      <c r="O698" s="5">
        <v>1</v>
      </c>
      <c r="P698" s="5" t="s">
        <v>43</v>
      </c>
      <c r="Q698" s="5">
        <v>16.98</v>
      </c>
      <c r="R698" s="5"/>
      <c r="S698" s="5"/>
      <c r="T698" s="5"/>
      <c r="U698" s="5"/>
      <c r="V698" s="5"/>
      <c r="W698" s="5"/>
      <c r="X698" s="5"/>
      <c r="Y698" s="5" t="s">
        <v>3397</v>
      </c>
      <c r="Z698" s="5" t="s">
        <v>151</v>
      </c>
      <c r="AA698" s="5" t="s">
        <v>3398</v>
      </c>
      <c r="AB698" s="5" t="s">
        <v>46</v>
      </c>
      <c r="AC698" s="5"/>
      <c r="AD698" s="5" t="b">
        <v>0</v>
      </c>
      <c r="AE698" s="5"/>
      <c r="AF698" s="5"/>
      <c r="AG698" s="9">
        <f t="shared" si="10"/>
        <v>43275</v>
      </c>
    </row>
    <row r="699" s="6" customFormat="1" spans="1:33">
      <c r="A699" s="5" t="s">
        <v>3399</v>
      </c>
      <c r="B699" s="5" t="s">
        <v>3399</v>
      </c>
      <c r="C699" s="5" t="s">
        <v>3400</v>
      </c>
      <c r="D699" s="5" t="s">
        <v>3401</v>
      </c>
      <c r="E699" s="5" t="s">
        <v>36</v>
      </c>
      <c r="F699" s="5" t="s">
        <v>37</v>
      </c>
      <c r="G699" s="5" t="s">
        <v>38</v>
      </c>
      <c r="H699" s="5"/>
      <c r="I699" s="5"/>
      <c r="J699" s="5" t="s">
        <v>39</v>
      </c>
      <c r="K699" s="5" t="s">
        <v>147</v>
      </c>
      <c r="L699" s="5" t="s">
        <v>148</v>
      </c>
      <c r="M699" s="5" t="s">
        <v>149</v>
      </c>
      <c r="N699" s="5" t="s">
        <v>36</v>
      </c>
      <c r="O699" s="5">
        <v>1</v>
      </c>
      <c r="P699" s="5" t="s">
        <v>43</v>
      </c>
      <c r="Q699" s="5">
        <v>12.98</v>
      </c>
      <c r="R699" s="5"/>
      <c r="S699" s="5"/>
      <c r="T699" s="5"/>
      <c r="U699" s="5"/>
      <c r="V699" s="5"/>
      <c r="W699" s="5"/>
      <c r="X699" s="5"/>
      <c r="Y699" s="5" t="s">
        <v>2438</v>
      </c>
      <c r="Z699" s="5" t="s">
        <v>218</v>
      </c>
      <c r="AA699" s="5" t="s">
        <v>3402</v>
      </c>
      <c r="AB699" s="5" t="s">
        <v>46</v>
      </c>
      <c r="AC699" s="5"/>
      <c r="AD699" s="5" t="b">
        <v>0</v>
      </c>
      <c r="AE699" s="5"/>
      <c r="AF699" s="5"/>
      <c r="AG699" s="9">
        <f t="shared" si="10"/>
        <v>43275</v>
      </c>
    </row>
    <row r="700" s="6" customFormat="1" spans="1:33">
      <c r="A700" s="5" t="s">
        <v>3403</v>
      </c>
      <c r="B700" s="5" t="s">
        <v>3403</v>
      </c>
      <c r="C700" s="5" t="s">
        <v>3404</v>
      </c>
      <c r="D700" s="5" t="s">
        <v>3405</v>
      </c>
      <c r="E700" s="5" t="s">
        <v>36</v>
      </c>
      <c r="F700" s="5" t="s">
        <v>37</v>
      </c>
      <c r="G700" s="5" t="s">
        <v>38</v>
      </c>
      <c r="H700" s="5"/>
      <c r="I700" s="5"/>
      <c r="J700" s="5" t="s">
        <v>39</v>
      </c>
      <c r="K700" s="5" t="s">
        <v>50</v>
      </c>
      <c r="L700" s="5" t="s">
        <v>51</v>
      </c>
      <c r="M700" s="5" t="s">
        <v>52</v>
      </c>
      <c r="N700" s="5" t="s">
        <v>36</v>
      </c>
      <c r="O700" s="5">
        <v>1</v>
      </c>
      <c r="P700" s="5" t="s">
        <v>43</v>
      </c>
      <c r="Q700" s="5">
        <v>18.99</v>
      </c>
      <c r="R700" s="5"/>
      <c r="S700" s="5"/>
      <c r="T700" s="5"/>
      <c r="U700" s="5"/>
      <c r="V700" s="5"/>
      <c r="W700" s="5"/>
      <c r="X700" s="5"/>
      <c r="Y700" s="5" t="s">
        <v>3406</v>
      </c>
      <c r="Z700" s="5" t="s">
        <v>223</v>
      </c>
      <c r="AA700" s="5" t="s">
        <v>3407</v>
      </c>
      <c r="AB700" s="5" t="s">
        <v>46</v>
      </c>
      <c r="AC700" s="5"/>
      <c r="AD700" s="5" t="b">
        <v>0</v>
      </c>
      <c r="AE700" s="5"/>
      <c r="AF700" s="5"/>
      <c r="AG700" s="9">
        <f t="shared" si="10"/>
        <v>43275</v>
      </c>
    </row>
    <row r="701" s="6" customFormat="1" spans="1:33">
      <c r="A701" s="5" t="s">
        <v>3408</v>
      </c>
      <c r="B701" s="5" t="s">
        <v>3408</v>
      </c>
      <c r="C701" s="5" t="s">
        <v>3409</v>
      </c>
      <c r="D701" s="5" t="s">
        <v>3410</v>
      </c>
      <c r="E701" s="5" t="s">
        <v>36</v>
      </c>
      <c r="F701" s="5" t="s">
        <v>37</v>
      </c>
      <c r="G701" s="5" t="s">
        <v>38</v>
      </c>
      <c r="H701" s="5"/>
      <c r="I701" s="5"/>
      <c r="J701" s="5" t="s">
        <v>39</v>
      </c>
      <c r="K701" s="5" t="s">
        <v>409</v>
      </c>
      <c r="L701" s="5" t="s">
        <v>423</v>
      </c>
      <c r="M701" s="5" t="s">
        <v>424</v>
      </c>
      <c r="N701" s="5" t="s">
        <v>36</v>
      </c>
      <c r="O701" s="5">
        <v>1</v>
      </c>
      <c r="P701" s="5" t="s">
        <v>43</v>
      </c>
      <c r="Q701" s="5">
        <v>9.9</v>
      </c>
      <c r="R701" s="5"/>
      <c r="S701" s="5"/>
      <c r="T701" s="5"/>
      <c r="U701" s="5"/>
      <c r="V701" s="5"/>
      <c r="W701" s="5"/>
      <c r="X701" s="5"/>
      <c r="Y701" s="5" t="s">
        <v>737</v>
      </c>
      <c r="Z701" s="5" t="s">
        <v>54</v>
      </c>
      <c r="AA701" s="5">
        <v>94525</v>
      </c>
      <c r="AB701" s="5" t="s">
        <v>46</v>
      </c>
      <c r="AC701" s="5"/>
      <c r="AD701" s="5" t="b">
        <v>0</v>
      </c>
      <c r="AE701" s="5"/>
      <c r="AF701" s="5"/>
      <c r="AG701" s="9">
        <f t="shared" si="10"/>
        <v>43275</v>
      </c>
    </row>
    <row r="702" s="6" customFormat="1" spans="1:33">
      <c r="A702" s="5" t="s">
        <v>3411</v>
      </c>
      <c r="B702" s="5" t="s">
        <v>3411</v>
      </c>
      <c r="C702" s="5" t="s">
        <v>3412</v>
      </c>
      <c r="D702" s="5" t="s">
        <v>3413</v>
      </c>
      <c r="E702" s="5" t="s">
        <v>36</v>
      </c>
      <c r="F702" s="5" t="s">
        <v>37</v>
      </c>
      <c r="G702" s="5" t="s">
        <v>38</v>
      </c>
      <c r="H702" s="5"/>
      <c r="I702" s="5"/>
      <c r="J702" s="5" t="s">
        <v>128</v>
      </c>
      <c r="K702" s="5" t="s">
        <v>3414</v>
      </c>
      <c r="L702" s="5" t="s">
        <v>3415</v>
      </c>
      <c r="M702" s="5" t="s">
        <v>3416</v>
      </c>
      <c r="N702" s="5" t="s">
        <v>36</v>
      </c>
      <c r="O702" s="5">
        <v>1</v>
      </c>
      <c r="P702" s="5" t="s">
        <v>43</v>
      </c>
      <c r="Q702" s="5">
        <v>20.99</v>
      </c>
      <c r="R702" s="5"/>
      <c r="S702" s="5">
        <v>0.96</v>
      </c>
      <c r="T702" s="5"/>
      <c r="U702" s="5"/>
      <c r="V702" s="5"/>
      <c r="W702" s="5"/>
      <c r="X702" s="5"/>
      <c r="Y702" s="5" t="s">
        <v>3417</v>
      </c>
      <c r="Z702" s="5" t="s">
        <v>183</v>
      </c>
      <c r="AA702" s="5">
        <v>28712</v>
      </c>
      <c r="AB702" s="5" t="s">
        <v>46</v>
      </c>
      <c r="AC702" s="5"/>
      <c r="AD702" s="5" t="b">
        <v>0</v>
      </c>
      <c r="AE702" s="5"/>
      <c r="AF702" s="5"/>
      <c r="AG702" s="9">
        <f t="shared" si="10"/>
        <v>43275</v>
      </c>
    </row>
    <row r="703" s="6" customFormat="1" spans="1:33">
      <c r="A703" s="5" t="s">
        <v>3418</v>
      </c>
      <c r="B703" s="5" t="s">
        <v>3418</v>
      </c>
      <c r="C703" s="5" t="s">
        <v>3419</v>
      </c>
      <c r="D703" s="5" t="s">
        <v>3420</v>
      </c>
      <c r="E703" s="5" t="s">
        <v>36</v>
      </c>
      <c r="F703" s="5" t="s">
        <v>37</v>
      </c>
      <c r="G703" s="5" t="s">
        <v>38</v>
      </c>
      <c r="H703" s="5"/>
      <c r="I703" s="5"/>
      <c r="J703" s="5" t="s">
        <v>39</v>
      </c>
      <c r="K703" s="5" t="s">
        <v>67</v>
      </c>
      <c r="L703" s="5" t="s">
        <v>68</v>
      </c>
      <c r="M703" s="5" t="s">
        <v>69</v>
      </c>
      <c r="N703" s="5" t="s">
        <v>36</v>
      </c>
      <c r="O703" s="5">
        <v>1</v>
      </c>
      <c r="P703" s="5" t="s">
        <v>43</v>
      </c>
      <c r="Q703" s="5">
        <v>24.99</v>
      </c>
      <c r="R703" s="5"/>
      <c r="S703" s="5"/>
      <c r="T703" s="5"/>
      <c r="U703" s="5"/>
      <c r="V703" s="5"/>
      <c r="W703" s="5"/>
      <c r="X703" s="5"/>
      <c r="Y703" s="5" t="s">
        <v>3421</v>
      </c>
      <c r="Z703" s="5" t="s">
        <v>87</v>
      </c>
      <c r="AA703" s="5" t="s">
        <v>3422</v>
      </c>
      <c r="AB703" s="5" t="s">
        <v>46</v>
      </c>
      <c r="AC703" s="5"/>
      <c r="AD703" s="5" t="b">
        <v>0</v>
      </c>
      <c r="AE703" s="5"/>
      <c r="AF703" s="5"/>
      <c r="AG703" s="9">
        <f t="shared" si="10"/>
        <v>43275</v>
      </c>
    </row>
    <row r="704" s="6" customFormat="1" spans="1:33">
      <c r="A704" s="5" t="s">
        <v>3423</v>
      </c>
      <c r="B704" s="5" t="s">
        <v>3423</v>
      </c>
      <c r="C704" s="5" t="s">
        <v>3424</v>
      </c>
      <c r="D704" s="5" t="s">
        <v>3425</v>
      </c>
      <c r="E704" s="5" t="s">
        <v>36</v>
      </c>
      <c r="F704" s="5" t="s">
        <v>37</v>
      </c>
      <c r="G704" s="5" t="s">
        <v>38</v>
      </c>
      <c r="H704" s="5"/>
      <c r="I704" s="5"/>
      <c r="J704" s="5" t="s">
        <v>39</v>
      </c>
      <c r="K704" s="5" t="s">
        <v>119</v>
      </c>
      <c r="L704" s="5" t="s">
        <v>2099</v>
      </c>
      <c r="M704" s="5" t="s">
        <v>121</v>
      </c>
      <c r="N704" s="5" t="s">
        <v>36</v>
      </c>
      <c r="O704" s="5">
        <v>1</v>
      </c>
      <c r="P704" s="5" t="s">
        <v>43</v>
      </c>
      <c r="Q704" s="5">
        <v>24.99</v>
      </c>
      <c r="R704" s="5"/>
      <c r="S704" s="5"/>
      <c r="T704" s="5"/>
      <c r="U704" s="5"/>
      <c r="V704" s="5"/>
      <c r="W704" s="5"/>
      <c r="X704" s="5"/>
      <c r="Y704" s="5" t="s">
        <v>3426</v>
      </c>
      <c r="Z704" s="5" t="s">
        <v>1300</v>
      </c>
      <c r="AA704" s="5" t="s">
        <v>3427</v>
      </c>
      <c r="AB704" s="5" t="s">
        <v>46</v>
      </c>
      <c r="AC704" s="5"/>
      <c r="AD704" s="5" t="b">
        <v>0</v>
      </c>
      <c r="AE704" s="5"/>
      <c r="AF704" s="5"/>
      <c r="AG704" s="9">
        <f t="shared" si="10"/>
        <v>43275</v>
      </c>
    </row>
    <row r="705" s="6" customFormat="1" spans="1:33">
      <c r="A705" s="5" t="s">
        <v>3428</v>
      </c>
      <c r="B705" s="5" t="s">
        <v>3428</v>
      </c>
      <c r="C705" s="5" t="s">
        <v>3429</v>
      </c>
      <c r="D705" s="5" t="s">
        <v>3430</v>
      </c>
      <c r="E705" s="5" t="s">
        <v>36</v>
      </c>
      <c r="F705" s="5" t="s">
        <v>37</v>
      </c>
      <c r="G705" s="5" t="s">
        <v>38</v>
      </c>
      <c r="H705" s="5"/>
      <c r="I705" s="5"/>
      <c r="J705" s="5" t="s">
        <v>128</v>
      </c>
      <c r="K705" s="5" t="s">
        <v>119</v>
      </c>
      <c r="L705" s="5" t="s">
        <v>2099</v>
      </c>
      <c r="M705" s="5" t="s">
        <v>121</v>
      </c>
      <c r="N705" s="5" t="s">
        <v>36</v>
      </c>
      <c r="O705" s="5">
        <v>1</v>
      </c>
      <c r="P705" s="5" t="s">
        <v>43</v>
      </c>
      <c r="Q705" s="5">
        <v>24.99</v>
      </c>
      <c r="R705" s="5"/>
      <c r="S705" s="5">
        <v>0.79</v>
      </c>
      <c r="T705" s="5"/>
      <c r="U705" s="5"/>
      <c r="V705" s="5"/>
      <c r="W705" s="5"/>
      <c r="X705" s="5">
        <v>0.79</v>
      </c>
      <c r="Y705" s="5" t="s">
        <v>3431</v>
      </c>
      <c r="Z705" s="5" t="s">
        <v>105</v>
      </c>
      <c r="AA705" s="5" t="s">
        <v>3432</v>
      </c>
      <c r="AB705" s="5" t="s">
        <v>46</v>
      </c>
      <c r="AC705" s="5" t="s">
        <v>225</v>
      </c>
      <c r="AD705" s="5" t="b">
        <v>0</v>
      </c>
      <c r="AE705" s="5"/>
      <c r="AF705" s="5"/>
      <c r="AG705" s="9">
        <f t="shared" si="10"/>
        <v>43275</v>
      </c>
    </row>
    <row r="706" s="6" customFormat="1" spans="1:33">
      <c r="A706" s="5" t="s">
        <v>3433</v>
      </c>
      <c r="B706" s="5" t="s">
        <v>3433</v>
      </c>
      <c r="C706" s="5" t="s">
        <v>3434</v>
      </c>
      <c r="D706" s="5" t="s">
        <v>3435</v>
      </c>
      <c r="E706" s="5" t="s">
        <v>36</v>
      </c>
      <c r="F706" s="5" t="s">
        <v>37</v>
      </c>
      <c r="G706" s="5" t="s">
        <v>38</v>
      </c>
      <c r="H706" s="5"/>
      <c r="I706" s="5"/>
      <c r="J706" s="5" t="s">
        <v>128</v>
      </c>
      <c r="K706" s="5" t="s">
        <v>67</v>
      </c>
      <c r="L706" s="5" t="s">
        <v>68</v>
      </c>
      <c r="M706" s="5" t="s">
        <v>69</v>
      </c>
      <c r="N706" s="5" t="s">
        <v>36</v>
      </c>
      <c r="O706" s="5">
        <v>1</v>
      </c>
      <c r="P706" s="5" t="s">
        <v>43</v>
      </c>
      <c r="Q706" s="5">
        <v>24.99</v>
      </c>
      <c r="R706" s="5"/>
      <c r="S706" s="5"/>
      <c r="T706" s="5"/>
      <c r="U706" s="5"/>
      <c r="V706" s="5"/>
      <c r="W706" s="5"/>
      <c r="X706" s="5"/>
      <c r="Y706" s="5" t="s">
        <v>3436</v>
      </c>
      <c r="Z706" s="5" t="s">
        <v>3437</v>
      </c>
      <c r="AA706" s="5" t="s">
        <v>3438</v>
      </c>
      <c r="AB706" s="5" t="s">
        <v>46</v>
      </c>
      <c r="AC706" s="5"/>
      <c r="AD706" s="5" t="b">
        <v>0</v>
      </c>
      <c r="AE706" s="5"/>
      <c r="AF706" s="5"/>
      <c r="AG706" s="9">
        <f t="shared" ref="AG706:AG769" si="11">DATEVALUE(LEFT(C706,10))</f>
        <v>43275</v>
      </c>
    </row>
    <row r="707" s="6" customFormat="1" spans="1:33">
      <c r="A707" s="5" t="s">
        <v>3439</v>
      </c>
      <c r="B707" s="5" t="s">
        <v>3439</v>
      </c>
      <c r="C707" s="5" t="s">
        <v>3440</v>
      </c>
      <c r="D707" s="5" t="s">
        <v>3441</v>
      </c>
      <c r="E707" s="5" t="s">
        <v>36</v>
      </c>
      <c r="F707" s="5" t="s">
        <v>37</v>
      </c>
      <c r="G707" s="5" t="s">
        <v>38</v>
      </c>
      <c r="H707" s="5"/>
      <c r="I707" s="5"/>
      <c r="J707" s="5" t="s">
        <v>39</v>
      </c>
      <c r="K707" s="5" t="s">
        <v>3442</v>
      </c>
      <c r="L707" s="5" t="s">
        <v>3443</v>
      </c>
      <c r="M707" s="5" t="s">
        <v>3444</v>
      </c>
      <c r="N707" s="5" t="s">
        <v>36</v>
      </c>
      <c r="O707" s="5">
        <v>1</v>
      </c>
      <c r="P707" s="5" t="s">
        <v>43</v>
      </c>
      <c r="Q707" s="5">
        <v>14.98</v>
      </c>
      <c r="R707" s="5"/>
      <c r="S707" s="5"/>
      <c r="T707" s="5"/>
      <c r="U707" s="5"/>
      <c r="V707" s="5"/>
      <c r="W707" s="5"/>
      <c r="X707" s="5"/>
      <c r="Y707" s="5" t="s">
        <v>3445</v>
      </c>
      <c r="Z707" s="5" t="s">
        <v>105</v>
      </c>
      <c r="AA707" s="5" t="s">
        <v>3446</v>
      </c>
      <c r="AB707" s="5" t="s">
        <v>46</v>
      </c>
      <c r="AC707" s="5"/>
      <c r="AD707" s="5" t="b">
        <v>0</v>
      </c>
      <c r="AE707" s="5"/>
      <c r="AF707" s="5"/>
      <c r="AG707" s="9">
        <f t="shared" si="11"/>
        <v>43275</v>
      </c>
    </row>
    <row r="708" s="6" customFormat="1" spans="1:33">
      <c r="A708" s="5" t="s">
        <v>3439</v>
      </c>
      <c r="B708" s="5" t="s">
        <v>3439</v>
      </c>
      <c r="C708" s="5" t="s">
        <v>3440</v>
      </c>
      <c r="D708" s="5" t="s">
        <v>3441</v>
      </c>
      <c r="E708" s="5" t="s">
        <v>36</v>
      </c>
      <c r="F708" s="5" t="s">
        <v>37</v>
      </c>
      <c r="G708" s="5" t="s">
        <v>38</v>
      </c>
      <c r="H708" s="5"/>
      <c r="I708" s="5"/>
      <c r="J708" s="5" t="s">
        <v>39</v>
      </c>
      <c r="K708" s="5" t="s">
        <v>3447</v>
      </c>
      <c r="L708" s="5" t="s">
        <v>3448</v>
      </c>
      <c r="M708" s="5" t="s">
        <v>3449</v>
      </c>
      <c r="N708" s="5" t="s">
        <v>36</v>
      </c>
      <c r="O708" s="5">
        <v>1</v>
      </c>
      <c r="P708" s="5" t="s">
        <v>43</v>
      </c>
      <c r="Q708" s="5">
        <v>14.98</v>
      </c>
      <c r="R708" s="5"/>
      <c r="S708" s="5"/>
      <c r="T708" s="5"/>
      <c r="U708" s="5"/>
      <c r="V708" s="5"/>
      <c r="W708" s="5"/>
      <c r="X708" s="5"/>
      <c r="Y708" s="5" t="s">
        <v>3445</v>
      </c>
      <c r="Z708" s="5" t="s">
        <v>105</v>
      </c>
      <c r="AA708" s="5" t="s">
        <v>3446</v>
      </c>
      <c r="AB708" s="5" t="s">
        <v>46</v>
      </c>
      <c r="AC708" s="5"/>
      <c r="AD708" s="5" t="b">
        <v>0</v>
      </c>
      <c r="AE708" s="5"/>
      <c r="AF708" s="5"/>
      <c r="AG708" s="9">
        <f t="shared" si="11"/>
        <v>43275</v>
      </c>
    </row>
    <row r="709" s="6" customFormat="1" spans="1:33">
      <c r="A709" s="5" t="s">
        <v>3439</v>
      </c>
      <c r="B709" s="5" t="s">
        <v>3439</v>
      </c>
      <c r="C709" s="5" t="s">
        <v>3440</v>
      </c>
      <c r="D709" s="5" t="s">
        <v>3441</v>
      </c>
      <c r="E709" s="5" t="s">
        <v>36</v>
      </c>
      <c r="F709" s="5" t="s">
        <v>37</v>
      </c>
      <c r="G709" s="5" t="s">
        <v>38</v>
      </c>
      <c r="H709" s="5"/>
      <c r="I709" s="5"/>
      <c r="J709" s="5" t="s">
        <v>39</v>
      </c>
      <c r="K709" s="5" t="s">
        <v>1918</v>
      </c>
      <c r="L709" s="5" t="s">
        <v>1919</v>
      </c>
      <c r="M709" s="5" t="s">
        <v>1920</v>
      </c>
      <c r="N709" s="5" t="s">
        <v>36</v>
      </c>
      <c r="O709" s="5">
        <v>1</v>
      </c>
      <c r="P709" s="5" t="s">
        <v>43</v>
      </c>
      <c r="Q709" s="5">
        <v>14.98</v>
      </c>
      <c r="R709" s="5"/>
      <c r="S709" s="5"/>
      <c r="T709" s="5"/>
      <c r="U709" s="5"/>
      <c r="V709" s="5"/>
      <c r="W709" s="5"/>
      <c r="X709" s="5"/>
      <c r="Y709" s="5" t="s">
        <v>3445</v>
      </c>
      <c r="Z709" s="5" t="s">
        <v>105</v>
      </c>
      <c r="AA709" s="5" t="s">
        <v>3446</v>
      </c>
      <c r="AB709" s="5" t="s">
        <v>46</v>
      </c>
      <c r="AC709" s="5"/>
      <c r="AD709" s="5" t="b">
        <v>0</v>
      </c>
      <c r="AE709" s="5"/>
      <c r="AF709" s="5"/>
      <c r="AG709" s="9">
        <f t="shared" si="11"/>
        <v>43275</v>
      </c>
    </row>
    <row r="710" s="6" customFormat="1" spans="1:33">
      <c r="A710" s="5" t="s">
        <v>3450</v>
      </c>
      <c r="B710" s="5" t="s">
        <v>3450</v>
      </c>
      <c r="C710" s="5" t="s">
        <v>3451</v>
      </c>
      <c r="D710" s="5" t="s">
        <v>3452</v>
      </c>
      <c r="E710" s="5" t="s">
        <v>36</v>
      </c>
      <c r="F710" s="5" t="s">
        <v>37</v>
      </c>
      <c r="G710" s="5" t="s">
        <v>38</v>
      </c>
      <c r="H710" s="5"/>
      <c r="I710" s="5"/>
      <c r="J710" s="5" t="s">
        <v>39</v>
      </c>
      <c r="K710" s="5" t="s">
        <v>434</v>
      </c>
      <c r="L710" s="5" t="s">
        <v>435</v>
      </c>
      <c r="M710" s="5" t="s">
        <v>436</v>
      </c>
      <c r="N710" s="5" t="s">
        <v>36</v>
      </c>
      <c r="O710" s="5">
        <v>1</v>
      </c>
      <c r="P710" s="5" t="s">
        <v>43</v>
      </c>
      <c r="Q710" s="5">
        <v>13.99</v>
      </c>
      <c r="R710" s="5"/>
      <c r="S710" s="5"/>
      <c r="T710" s="5"/>
      <c r="U710" s="5"/>
      <c r="V710" s="5"/>
      <c r="W710" s="5"/>
      <c r="X710" s="5"/>
      <c r="Y710" s="5" t="s">
        <v>3453</v>
      </c>
      <c r="Z710" s="5" t="s">
        <v>54</v>
      </c>
      <c r="AA710" s="5" t="s">
        <v>3454</v>
      </c>
      <c r="AB710" s="5" t="s">
        <v>46</v>
      </c>
      <c r="AC710" s="5"/>
      <c r="AD710" s="5" t="b">
        <v>0</v>
      </c>
      <c r="AE710" s="5"/>
      <c r="AF710" s="5"/>
      <c r="AG710" s="9">
        <f t="shared" si="11"/>
        <v>43275</v>
      </c>
    </row>
    <row r="711" s="6" customFormat="1" spans="1:33">
      <c r="A711" s="5" t="s">
        <v>3455</v>
      </c>
      <c r="B711" s="5" t="s">
        <v>3455</v>
      </c>
      <c r="C711" s="5" t="s">
        <v>3456</v>
      </c>
      <c r="D711" s="5" t="s">
        <v>3457</v>
      </c>
      <c r="E711" s="5" t="s">
        <v>36</v>
      </c>
      <c r="F711" s="5" t="s">
        <v>37</v>
      </c>
      <c r="G711" s="5" t="s">
        <v>38</v>
      </c>
      <c r="H711" s="5"/>
      <c r="I711" s="5"/>
      <c r="J711" s="5" t="s">
        <v>39</v>
      </c>
      <c r="K711" s="5" t="s">
        <v>1291</v>
      </c>
      <c r="L711" s="5" t="s">
        <v>1292</v>
      </c>
      <c r="M711" s="5" t="s">
        <v>1293</v>
      </c>
      <c r="N711" s="5" t="s">
        <v>36</v>
      </c>
      <c r="O711" s="5">
        <v>1</v>
      </c>
      <c r="P711" s="5" t="s">
        <v>43</v>
      </c>
      <c r="Q711" s="5">
        <v>12.99</v>
      </c>
      <c r="R711" s="5"/>
      <c r="S711" s="5"/>
      <c r="T711" s="5"/>
      <c r="U711" s="5"/>
      <c r="V711" s="5"/>
      <c r="W711" s="5"/>
      <c r="X711" s="5"/>
      <c r="Y711" s="5" t="s">
        <v>3458</v>
      </c>
      <c r="Z711" s="5" t="s">
        <v>307</v>
      </c>
      <c r="AA711" s="5" t="s">
        <v>3459</v>
      </c>
      <c r="AB711" s="5" t="s">
        <v>46</v>
      </c>
      <c r="AC711" s="5"/>
      <c r="AD711" s="5" t="b">
        <v>0</v>
      </c>
      <c r="AE711" s="5"/>
      <c r="AF711" s="5"/>
      <c r="AG711" s="9">
        <f t="shared" si="11"/>
        <v>43275</v>
      </c>
    </row>
    <row r="712" s="6" customFormat="1" spans="1:33">
      <c r="A712" s="5" t="s">
        <v>3460</v>
      </c>
      <c r="B712" s="5" t="s">
        <v>3460</v>
      </c>
      <c r="C712" s="5" t="s">
        <v>3461</v>
      </c>
      <c r="D712" s="5" t="s">
        <v>3462</v>
      </c>
      <c r="E712" s="5" t="s">
        <v>36</v>
      </c>
      <c r="F712" s="5" t="s">
        <v>37</v>
      </c>
      <c r="G712" s="5" t="s">
        <v>38</v>
      </c>
      <c r="H712" s="5"/>
      <c r="I712" s="5"/>
      <c r="J712" s="5" t="s">
        <v>39</v>
      </c>
      <c r="K712" s="5" t="s">
        <v>533</v>
      </c>
      <c r="L712" s="5" t="s">
        <v>1048</v>
      </c>
      <c r="M712" s="5" t="s">
        <v>535</v>
      </c>
      <c r="N712" s="5" t="s">
        <v>36</v>
      </c>
      <c r="O712" s="5">
        <v>1</v>
      </c>
      <c r="P712" s="5" t="s">
        <v>43</v>
      </c>
      <c r="Q712" s="5">
        <v>24.99</v>
      </c>
      <c r="R712" s="5"/>
      <c r="S712" s="5"/>
      <c r="T712" s="5"/>
      <c r="U712" s="5"/>
      <c r="V712" s="5"/>
      <c r="W712" s="5"/>
      <c r="X712" s="5"/>
      <c r="Y712" s="5" t="s">
        <v>3463</v>
      </c>
      <c r="Z712" s="5" t="s">
        <v>1039</v>
      </c>
      <c r="AA712" s="5" t="s">
        <v>3464</v>
      </c>
      <c r="AB712" s="5" t="s">
        <v>46</v>
      </c>
      <c r="AC712" s="5"/>
      <c r="AD712" s="5" t="b">
        <v>0</v>
      </c>
      <c r="AE712" s="5"/>
      <c r="AF712" s="5"/>
      <c r="AG712" s="9">
        <f t="shared" si="11"/>
        <v>43275</v>
      </c>
    </row>
    <row r="713" s="6" customFormat="1" spans="1:33">
      <c r="A713" s="5" t="s">
        <v>3465</v>
      </c>
      <c r="B713" s="5" t="s">
        <v>3465</v>
      </c>
      <c r="C713" s="5" t="s">
        <v>3466</v>
      </c>
      <c r="D713" s="5" t="s">
        <v>3467</v>
      </c>
      <c r="E713" s="5" t="s">
        <v>36</v>
      </c>
      <c r="F713" s="5" t="s">
        <v>37</v>
      </c>
      <c r="G713" s="5" t="s">
        <v>38</v>
      </c>
      <c r="H713" s="5"/>
      <c r="I713" s="5"/>
      <c r="J713" s="5" t="s">
        <v>39</v>
      </c>
      <c r="K713" s="5" t="s">
        <v>278</v>
      </c>
      <c r="L713" s="5" t="s">
        <v>3245</v>
      </c>
      <c r="M713" s="5" t="s">
        <v>280</v>
      </c>
      <c r="N713" s="5" t="s">
        <v>36</v>
      </c>
      <c r="O713" s="5">
        <v>1</v>
      </c>
      <c r="P713" s="5" t="s">
        <v>43</v>
      </c>
      <c r="Q713" s="5">
        <v>24.99</v>
      </c>
      <c r="R713" s="5"/>
      <c r="S713" s="5"/>
      <c r="T713" s="5"/>
      <c r="U713" s="5"/>
      <c r="V713" s="5"/>
      <c r="W713" s="5"/>
      <c r="X713" s="5"/>
      <c r="Y713" s="5" t="s">
        <v>3468</v>
      </c>
      <c r="Z713" s="5" t="s">
        <v>54</v>
      </c>
      <c r="AA713" s="5" t="s">
        <v>3469</v>
      </c>
      <c r="AB713" s="5" t="s">
        <v>46</v>
      </c>
      <c r="AC713" s="5"/>
      <c r="AD713" s="5" t="b">
        <v>0</v>
      </c>
      <c r="AE713" s="5"/>
      <c r="AF713" s="5"/>
      <c r="AG713" s="9">
        <f t="shared" si="11"/>
        <v>43275</v>
      </c>
    </row>
    <row r="714" s="6" customFormat="1" spans="1:33">
      <c r="A714" s="5" t="s">
        <v>3470</v>
      </c>
      <c r="B714" s="5" t="s">
        <v>3470</v>
      </c>
      <c r="C714" s="5" t="s">
        <v>3471</v>
      </c>
      <c r="D714" s="5" t="s">
        <v>3472</v>
      </c>
      <c r="E714" s="5" t="s">
        <v>36</v>
      </c>
      <c r="F714" s="5" t="s">
        <v>37</v>
      </c>
      <c r="G714" s="5" t="s">
        <v>38</v>
      </c>
      <c r="H714" s="5"/>
      <c r="I714" s="5"/>
      <c r="J714" s="5" t="s">
        <v>39</v>
      </c>
      <c r="K714" s="5" t="s">
        <v>587</v>
      </c>
      <c r="L714" s="5" t="s">
        <v>588</v>
      </c>
      <c r="M714" s="5" t="s">
        <v>589</v>
      </c>
      <c r="N714" s="5" t="s">
        <v>36</v>
      </c>
      <c r="O714" s="5">
        <v>1</v>
      </c>
      <c r="P714" s="5" t="s">
        <v>43</v>
      </c>
      <c r="Q714" s="5">
        <v>18.99</v>
      </c>
      <c r="R714" s="5"/>
      <c r="S714" s="5"/>
      <c r="T714" s="5"/>
      <c r="U714" s="5"/>
      <c r="V714" s="5"/>
      <c r="W714" s="5"/>
      <c r="X714" s="5"/>
      <c r="Y714" s="5" t="s">
        <v>3473</v>
      </c>
      <c r="Z714" s="5" t="s">
        <v>170</v>
      </c>
      <c r="AA714" s="5" t="s">
        <v>3474</v>
      </c>
      <c r="AB714" s="5" t="s">
        <v>46</v>
      </c>
      <c r="AC714" s="5"/>
      <c r="AD714" s="5" t="b">
        <v>0</v>
      </c>
      <c r="AE714" s="5"/>
      <c r="AF714" s="5"/>
      <c r="AG714" s="9">
        <f t="shared" si="11"/>
        <v>43275</v>
      </c>
    </row>
    <row r="715" s="6" customFormat="1" spans="1:33">
      <c r="A715" s="5" t="s">
        <v>3475</v>
      </c>
      <c r="B715" s="5" t="s">
        <v>3475</v>
      </c>
      <c r="C715" s="5" t="s">
        <v>3476</v>
      </c>
      <c r="D715" s="5" t="s">
        <v>3477</v>
      </c>
      <c r="E715" s="5" t="s">
        <v>36</v>
      </c>
      <c r="F715" s="5" t="s">
        <v>37</v>
      </c>
      <c r="G715" s="5" t="s">
        <v>38</v>
      </c>
      <c r="H715" s="5"/>
      <c r="I715" s="5"/>
      <c r="J715" s="5" t="s">
        <v>39</v>
      </c>
      <c r="K715" s="5" t="s">
        <v>2344</v>
      </c>
      <c r="L715" s="5" t="s">
        <v>2345</v>
      </c>
      <c r="M715" s="5" t="s">
        <v>2346</v>
      </c>
      <c r="N715" s="5" t="s">
        <v>36</v>
      </c>
      <c r="O715" s="5">
        <v>1</v>
      </c>
      <c r="P715" s="5" t="s">
        <v>43</v>
      </c>
      <c r="Q715" s="5">
        <v>13.99</v>
      </c>
      <c r="R715" s="5"/>
      <c r="S715" s="5"/>
      <c r="T715" s="5"/>
      <c r="U715" s="5"/>
      <c r="V715" s="5"/>
      <c r="W715" s="5"/>
      <c r="X715" s="5"/>
      <c r="Y715" s="5" t="s">
        <v>3478</v>
      </c>
      <c r="Z715" s="5" t="s">
        <v>183</v>
      </c>
      <c r="AA715" s="5" t="s">
        <v>3479</v>
      </c>
      <c r="AB715" s="5" t="s">
        <v>46</v>
      </c>
      <c r="AC715" s="5"/>
      <c r="AD715" s="5" t="b">
        <v>0</v>
      </c>
      <c r="AE715" s="5"/>
      <c r="AF715" s="5"/>
      <c r="AG715" s="9">
        <f t="shared" si="11"/>
        <v>43275</v>
      </c>
    </row>
    <row r="716" s="6" customFormat="1" spans="1:33">
      <c r="A716" s="5" t="s">
        <v>3480</v>
      </c>
      <c r="B716" s="5" t="s">
        <v>3480</v>
      </c>
      <c r="C716" s="5" t="s">
        <v>3481</v>
      </c>
      <c r="D716" s="5" t="s">
        <v>3482</v>
      </c>
      <c r="E716" s="5" t="s">
        <v>36</v>
      </c>
      <c r="F716" s="5" t="s">
        <v>37</v>
      </c>
      <c r="G716" s="5" t="s">
        <v>38</v>
      </c>
      <c r="H716" s="5"/>
      <c r="I716" s="5"/>
      <c r="J716" s="5" t="s">
        <v>39</v>
      </c>
      <c r="K716" s="5" t="s">
        <v>3483</v>
      </c>
      <c r="L716" s="5" t="s">
        <v>3484</v>
      </c>
      <c r="M716" s="5" t="s">
        <v>3485</v>
      </c>
      <c r="N716" s="5" t="s">
        <v>36</v>
      </c>
      <c r="O716" s="5">
        <v>1</v>
      </c>
      <c r="P716" s="5" t="s">
        <v>43</v>
      </c>
      <c r="Q716" s="5">
        <v>29.99</v>
      </c>
      <c r="R716" s="5"/>
      <c r="S716" s="5"/>
      <c r="T716" s="5"/>
      <c r="U716" s="5"/>
      <c r="V716" s="5"/>
      <c r="W716" s="5"/>
      <c r="X716" s="5"/>
      <c r="Y716" s="5" t="s">
        <v>3486</v>
      </c>
      <c r="Z716" s="5" t="s">
        <v>807</v>
      </c>
      <c r="AA716" s="5" t="s">
        <v>3487</v>
      </c>
      <c r="AB716" s="5" t="s">
        <v>46</v>
      </c>
      <c r="AC716" s="5"/>
      <c r="AD716" s="5" t="b">
        <v>0</v>
      </c>
      <c r="AE716" s="5"/>
      <c r="AF716" s="5"/>
      <c r="AG716" s="9">
        <f t="shared" si="11"/>
        <v>43275</v>
      </c>
    </row>
    <row r="717" s="6" customFormat="1" spans="1:33">
      <c r="A717" s="5" t="s">
        <v>3488</v>
      </c>
      <c r="B717" s="5" t="s">
        <v>3488</v>
      </c>
      <c r="C717" s="5" t="s">
        <v>3489</v>
      </c>
      <c r="D717" s="5" t="s">
        <v>3490</v>
      </c>
      <c r="E717" s="5" t="s">
        <v>36</v>
      </c>
      <c r="F717" s="5" t="s">
        <v>37</v>
      </c>
      <c r="G717" s="5" t="s">
        <v>38</v>
      </c>
      <c r="H717" s="5"/>
      <c r="I717" s="5"/>
      <c r="J717" s="5" t="s">
        <v>39</v>
      </c>
      <c r="K717" s="5" t="s">
        <v>50</v>
      </c>
      <c r="L717" s="5" t="s">
        <v>51</v>
      </c>
      <c r="M717" s="5" t="s">
        <v>52</v>
      </c>
      <c r="N717" s="5" t="s">
        <v>36</v>
      </c>
      <c r="O717" s="5">
        <v>1</v>
      </c>
      <c r="P717" s="5" t="s">
        <v>43</v>
      </c>
      <c r="Q717" s="5">
        <v>18.99</v>
      </c>
      <c r="R717" s="5">
        <v>1.56</v>
      </c>
      <c r="S717" s="5"/>
      <c r="T717" s="5"/>
      <c r="U717" s="5"/>
      <c r="V717" s="5"/>
      <c r="W717" s="5"/>
      <c r="X717" s="5"/>
      <c r="Y717" s="5" t="s">
        <v>3491</v>
      </c>
      <c r="Z717" s="5" t="s">
        <v>474</v>
      </c>
      <c r="AA717" s="5" t="s">
        <v>3492</v>
      </c>
      <c r="AB717" s="5" t="s">
        <v>46</v>
      </c>
      <c r="AC717" s="5"/>
      <c r="AD717" s="5" t="b">
        <v>0</v>
      </c>
      <c r="AE717" s="5"/>
      <c r="AF717" s="5"/>
      <c r="AG717" s="9">
        <f t="shared" si="11"/>
        <v>43275</v>
      </c>
    </row>
    <row r="718" s="6" customFormat="1" spans="1:33">
      <c r="A718" s="5" t="s">
        <v>3493</v>
      </c>
      <c r="B718" s="5" t="s">
        <v>3493</v>
      </c>
      <c r="C718" s="5" t="s">
        <v>3494</v>
      </c>
      <c r="D718" s="5" t="s">
        <v>3495</v>
      </c>
      <c r="E718" s="5" t="s">
        <v>36</v>
      </c>
      <c r="F718" s="5" t="s">
        <v>37</v>
      </c>
      <c r="G718" s="5" t="s">
        <v>38</v>
      </c>
      <c r="H718" s="5"/>
      <c r="I718" s="5"/>
      <c r="J718" s="5" t="s">
        <v>128</v>
      </c>
      <c r="K718" s="5" t="s">
        <v>459</v>
      </c>
      <c r="L718" s="5" t="s">
        <v>460</v>
      </c>
      <c r="M718" s="5" t="s">
        <v>461</v>
      </c>
      <c r="N718" s="5" t="s">
        <v>36</v>
      </c>
      <c r="O718" s="5">
        <v>1</v>
      </c>
      <c r="P718" s="5" t="s">
        <v>43</v>
      </c>
      <c r="Q718" s="5">
        <v>15.98</v>
      </c>
      <c r="R718" s="5"/>
      <c r="S718" s="5"/>
      <c r="T718" s="5"/>
      <c r="U718" s="5"/>
      <c r="V718" s="5"/>
      <c r="W718" s="5"/>
      <c r="X718" s="5"/>
      <c r="Y718" s="5" t="s">
        <v>1899</v>
      </c>
      <c r="Z718" s="5" t="s">
        <v>54</v>
      </c>
      <c r="AA718" s="5">
        <v>95138</v>
      </c>
      <c r="AB718" s="5" t="s">
        <v>46</v>
      </c>
      <c r="AC718" s="5"/>
      <c r="AD718" s="5" t="b">
        <v>0</v>
      </c>
      <c r="AE718" s="5"/>
      <c r="AF718" s="5"/>
      <c r="AG718" s="9">
        <f t="shared" si="11"/>
        <v>43275</v>
      </c>
    </row>
    <row r="719" s="6" customFormat="1" spans="1:33">
      <c r="A719" s="5" t="s">
        <v>3496</v>
      </c>
      <c r="B719" s="5" t="s">
        <v>3496</v>
      </c>
      <c r="C719" s="5" t="s">
        <v>3497</v>
      </c>
      <c r="D719" s="5" t="s">
        <v>3498</v>
      </c>
      <c r="E719" s="5" t="s">
        <v>36</v>
      </c>
      <c r="F719" s="5" t="s">
        <v>37</v>
      </c>
      <c r="G719" s="5" t="s">
        <v>38</v>
      </c>
      <c r="H719" s="5"/>
      <c r="I719" s="5"/>
      <c r="J719" s="5" t="s">
        <v>39</v>
      </c>
      <c r="K719" s="5" t="s">
        <v>243</v>
      </c>
      <c r="L719" s="5" t="s">
        <v>244</v>
      </c>
      <c r="M719" s="5" t="s">
        <v>245</v>
      </c>
      <c r="N719" s="5" t="s">
        <v>36</v>
      </c>
      <c r="O719" s="5">
        <v>1</v>
      </c>
      <c r="P719" s="5" t="s">
        <v>43</v>
      </c>
      <c r="Q719" s="5">
        <v>18.99</v>
      </c>
      <c r="R719" s="5"/>
      <c r="S719" s="5"/>
      <c r="T719" s="5"/>
      <c r="U719" s="5"/>
      <c r="V719" s="5"/>
      <c r="W719" s="5"/>
      <c r="X719" s="5"/>
      <c r="Y719" s="5" t="s">
        <v>3499</v>
      </c>
      <c r="Z719" s="5" t="s">
        <v>377</v>
      </c>
      <c r="AA719" s="5" t="s">
        <v>3500</v>
      </c>
      <c r="AB719" s="5" t="s">
        <v>46</v>
      </c>
      <c r="AC719" s="5"/>
      <c r="AD719" s="5" t="b">
        <v>0</v>
      </c>
      <c r="AE719" s="5"/>
      <c r="AF719" s="5"/>
      <c r="AG719" s="9">
        <f t="shared" si="11"/>
        <v>43275</v>
      </c>
    </row>
    <row r="720" s="6" customFormat="1" spans="1:33">
      <c r="A720" s="5" t="s">
        <v>3501</v>
      </c>
      <c r="B720" s="5" t="s">
        <v>3501</v>
      </c>
      <c r="C720" s="5" t="s">
        <v>3502</v>
      </c>
      <c r="D720" s="5" t="s">
        <v>3503</v>
      </c>
      <c r="E720" s="5" t="s">
        <v>36</v>
      </c>
      <c r="F720" s="5" t="s">
        <v>37</v>
      </c>
      <c r="G720" s="5" t="s">
        <v>38</v>
      </c>
      <c r="H720" s="5"/>
      <c r="I720" s="5"/>
      <c r="J720" s="5" t="s">
        <v>39</v>
      </c>
      <c r="K720" s="5" t="s">
        <v>50</v>
      </c>
      <c r="L720" s="5" t="s">
        <v>51</v>
      </c>
      <c r="M720" s="5" t="s">
        <v>52</v>
      </c>
      <c r="N720" s="5" t="s">
        <v>36</v>
      </c>
      <c r="O720" s="5">
        <v>1</v>
      </c>
      <c r="P720" s="5" t="s">
        <v>43</v>
      </c>
      <c r="Q720" s="5">
        <v>18.99</v>
      </c>
      <c r="R720" s="5"/>
      <c r="S720" s="5"/>
      <c r="T720" s="5"/>
      <c r="U720" s="5"/>
      <c r="V720" s="5"/>
      <c r="W720" s="5">
        <v>0.95</v>
      </c>
      <c r="X720" s="5"/>
      <c r="Y720" s="5" t="s">
        <v>861</v>
      </c>
      <c r="Z720" s="5" t="s">
        <v>54</v>
      </c>
      <c r="AA720" s="5" t="s">
        <v>3504</v>
      </c>
      <c r="AB720" s="5" t="s">
        <v>46</v>
      </c>
      <c r="AC720" s="5" t="s">
        <v>115</v>
      </c>
      <c r="AD720" s="5" t="b">
        <v>0</v>
      </c>
      <c r="AE720" s="5"/>
      <c r="AF720" s="5"/>
      <c r="AG720" s="9">
        <f t="shared" si="11"/>
        <v>43276</v>
      </c>
    </row>
    <row r="721" s="6" customFormat="1" spans="1:33">
      <c r="A721" s="5" t="s">
        <v>3501</v>
      </c>
      <c r="B721" s="5" t="s">
        <v>3501</v>
      </c>
      <c r="C721" s="5" t="s">
        <v>3502</v>
      </c>
      <c r="D721" s="5" t="s">
        <v>3503</v>
      </c>
      <c r="E721" s="5" t="s">
        <v>36</v>
      </c>
      <c r="F721" s="5" t="s">
        <v>37</v>
      </c>
      <c r="G721" s="5" t="s">
        <v>38</v>
      </c>
      <c r="H721" s="5"/>
      <c r="I721" s="5"/>
      <c r="J721" s="5" t="s">
        <v>39</v>
      </c>
      <c r="K721" s="5" t="s">
        <v>50</v>
      </c>
      <c r="L721" s="5" t="s">
        <v>51</v>
      </c>
      <c r="M721" s="5" t="s">
        <v>52</v>
      </c>
      <c r="N721" s="5" t="s">
        <v>36</v>
      </c>
      <c r="O721" s="5">
        <v>1</v>
      </c>
      <c r="P721" s="5" t="s">
        <v>43</v>
      </c>
      <c r="Q721" s="5">
        <v>18.99</v>
      </c>
      <c r="R721" s="5"/>
      <c r="S721" s="5"/>
      <c r="T721" s="5"/>
      <c r="U721" s="5"/>
      <c r="V721" s="5"/>
      <c r="W721" s="5">
        <v>0.95</v>
      </c>
      <c r="X721" s="5"/>
      <c r="Y721" s="5" t="s">
        <v>861</v>
      </c>
      <c r="Z721" s="5" t="s">
        <v>54</v>
      </c>
      <c r="AA721" s="5" t="s">
        <v>3504</v>
      </c>
      <c r="AB721" s="5" t="s">
        <v>46</v>
      </c>
      <c r="AC721" s="5" t="s">
        <v>115</v>
      </c>
      <c r="AD721" s="5" t="b">
        <v>0</v>
      </c>
      <c r="AE721" s="5"/>
      <c r="AF721" s="5"/>
      <c r="AG721" s="9">
        <f t="shared" si="11"/>
        <v>43276</v>
      </c>
    </row>
    <row r="722" s="6" customFormat="1" spans="1:33">
      <c r="A722" s="5" t="s">
        <v>3505</v>
      </c>
      <c r="B722" s="5" t="s">
        <v>3505</v>
      </c>
      <c r="C722" s="5" t="s">
        <v>3506</v>
      </c>
      <c r="D722" s="5" t="s">
        <v>3507</v>
      </c>
      <c r="E722" s="5" t="s">
        <v>36</v>
      </c>
      <c r="F722" s="5" t="s">
        <v>37</v>
      </c>
      <c r="G722" s="5" t="s">
        <v>38</v>
      </c>
      <c r="H722" s="5"/>
      <c r="I722" s="5"/>
      <c r="J722" s="5" t="s">
        <v>39</v>
      </c>
      <c r="K722" s="5" t="s">
        <v>409</v>
      </c>
      <c r="L722" s="5" t="s">
        <v>410</v>
      </c>
      <c r="M722" s="5" t="s">
        <v>411</v>
      </c>
      <c r="N722" s="5" t="s">
        <v>36</v>
      </c>
      <c r="O722" s="5">
        <v>1</v>
      </c>
      <c r="P722" s="5" t="s">
        <v>43</v>
      </c>
      <c r="Q722" s="5">
        <v>9.9</v>
      </c>
      <c r="R722" s="5"/>
      <c r="S722" s="5"/>
      <c r="T722" s="5"/>
      <c r="U722" s="5"/>
      <c r="V722" s="5"/>
      <c r="W722" s="5"/>
      <c r="X722" s="5"/>
      <c r="Y722" s="5" t="s">
        <v>3508</v>
      </c>
      <c r="Z722" s="5" t="s">
        <v>1680</v>
      </c>
      <c r="AA722" s="5">
        <v>37122</v>
      </c>
      <c r="AB722" s="5" t="s">
        <v>46</v>
      </c>
      <c r="AC722" s="5"/>
      <c r="AD722" s="5" t="b">
        <v>0</v>
      </c>
      <c r="AE722" s="5"/>
      <c r="AF722" s="5"/>
      <c r="AG722" s="9">
        <f t="shared" si="11"/>
        <v>43276</v>
      </c>
    </row>
    <row r="723" s="6" customFormat="1" spans="1:33">
      <c r="A723" s="5" t="s">
        <v>3509</v>
      </c>
      <c r="B723" s="5" t="s">
        <v>3509</v>
      </c>
      <c r="C723" s="5" t="s">
        <v>3510</v>
      </c>
      <c r="D723" s="5" t="s">
        <v>3511</v>
      </c>
      <c r="E723" s="5" t="s">
        <v>36</v>
      </c>
      <c r="F723" s="5" t="s">
        <v>37</v>
      </c>
      <c r="G723" s="5" t="s">
        <v>38</v>
      </c>
      <c r="H723" s="5"/>
      <c r="I723" s="5"/>
      <c r="J723" s="5" t="s">
        <v>39</v>
      </c>
      <c r="K723" s="5" t="s">
        <v>3287</v>
      </c>
      <c r="L723" s="5" t="s">
        <v>3288</v>
      </c>
      <c r="M723" s="5" t="s">
        <v>3289</v>
      </c>
      <c r="N723" s="5" t="s">
        <v>36</v>
      </c>
      <c r="O723" s="5">
        <v>1</v>
      </c>
      <c r="P723" s="5" t="s">
        <v>43</v>
      </c>
      <c r="Q723" s="5">
        <v>15.98</v>
      </c>
      <c r="R723" s="5"/>
      <c r="S723" s="5"/>
      <c r="T723" s="5"/>
      <c r="U723" s="5"/>
      <c r="V723" s="5"/>
      <c r="W723" s="5"/>
      <c r="X723" s="5"/>
      <c r="Y723" s="5" t="s">
        <v>3512</v>
      </c>
      <c r="Z723" s="5" t="s">
        <v>1785</v>
      </c>
      <c r="AA723" s="5">
        <v>8833</v>
      </c>
      <c r="AB723" s="5" t="s">
        <v>46</v>
      </c>
      <c r="AC723" s="5"/>
      <c r="AD723" s="5" t="b">
        <v>0</v>
      </c>
      <c r="AE723" s="5"/>
      <c r="AF723" s="5"/>
      <c r="AG723" s="9">
        <f t="shared" si="11"/>
        <v>43276</v>
      </c>
    </row>
    <row r="724" s="6" customFormat="1" spans="1:33">
      <c r="A724" s="5" t="s">
        <v>3513</v>
      </c>
      <c r="B724" s="5" t="s">
        <v>3513</v>
      </c>
      <c r="C724" s="5" t="s">
        <v>3514</v>
      </c>
      <c r="D724" s="5" t="s">
        <v>3515</v>
      </c>
      <c r="E724" s="5" t="s">
        <v>36</v>
      </c>
      <c r="F724" s="5" t="s">
        <v>37</v>
      </c>
      <c r="G724" s="5" t="s">
        <v>38</v>
      </c>
      <c r="H724" s="5"/>
      <c r="I724" s="5"/>
      <c r="J724" s="5" t="s">
        <v>39</v>
      </c>
      <c r="K724" s="5" t="s">
        <v>269</v>
      </c>
      <c r="L724" s="5" t="s">
        <v>1958</v>
      </c>
      <c r="M724" s="5" t="s">
        <v>271</v>
      </c>
      <c r="N724" s="5" t="s">
        <v>36</v>
      </c>
      <c r="O724" s="5">
        <v>1</v>
      </c>
      <c r="P724" s="5" t="s">
        <v>43</v>
      </c>
      <c r="Q724" s="5">
        <v>24.99</v>
      </c>
      <c r="R724" s="5"/>
      <c r="S724" s="5"/>
      <c r="T724" s="5"/>
      <c r="U724" s="5"/>
      <c r="V724" s="5"/>
      <c r="W724" s="5"/>
      <c r="X724" s="5"/>
      <c r="Y724" s="5" t="s">
        <v>946</v>
      </c>
      <c r="Z724" s="5" t="s">
        <v>247</v>
      </c>
      <c r="AA724" s="5" t="s">
        <v>3516</v>
      </c>
      <c r="AB724" s="5" t="s">
        <v>46</v>
      </c>
      <c r="AC724" s="5"/>
      <c r="AD724" s="5" t="b">
        <v>0</v>
      </c>
      <c r="AE724" s="5"/>
      <c r="AF724" s="5"/>
      <c r="AG724" s="9">
        <f t="shared" si="11"/>
        <v>43276</v>
      </c>
    </row>
    <row r="725" s="6" customFormat="1" spans="1:33">
      <c r="A725" s="5" t="s">
        <v>3517</v>
      </c>
      <c r="B725" s="5" t="s">
        <v>3517</v>
      </c>
      <c r="C725" s="5" t="s">
        <v>3518</v>
      </c>
      <c r="D725" s="5" t="s">
        <v>3519</v>
      </c>
      <c r="E725" s="5" t="s">
        <v>614</v>
      </c>
      <c r="F725" s="5" t="s">
        <v>37</v>
      </c>
      <c r="G725" s="5" t="s">
        <v>38</v>
      </c>
      <c r="H725" s="5"/>
      <c r="I725" s="5"/>
      <c r="J725" s="5" t="s">
        <v>39</v>
      </c>
      <c r="K725" s="5" t="s">
        <v>243</v>
      </c>
      <c r="L725" s="5" t="s">
        <v>244</v>
      </c>
      <c r="M725" s="5" t="s">
        <v>245</v>
      </c>
      <c r="N725" s="5" t="s">
        <v>614</v>
      </c>
      <c r="O725" s="5">
        <v>0</v>
      </c>
      <c r="P725" s="5"/>
      <c r="Q725" s="5"/>
      <c r="R725" s="5"/>
      <c r="S725" s="5"/>
      <c r="T725" s="5"/>
      <c r="U725" s="5"/>
      <c r="V725" s="5"/>
      <c r="W725" s="5"/>
      <c r="X725" s="5"/>
      <c r="Y725" s="5" t="s">
        <v>3520</v>
      </c>
      <c r="Z725" s="5" t="s">
        <v>151</v>
      </c>
      <c r="AA725" s="5" t="s">
        <v>3521</v>
      </c>
      <c r="AB725" s="5" t="s">
        <v>46</v>
      </c>
      <c r="AC725" s="5"/>
      <c r="AD725" s="5" t="b">
        <v>0</v>
      </c>
      <c r="AE725" s="5"/>
      <c r="AF725" s="5"/>
      <c r="AG725" s="9">
        <f t="shared" si="11"/>
        <v>43276</v>
      </c>
    </row>
    <row r="726" s="6" customFormat="1" spans="1:33">
      <c r="A726" s="5" t="s">
        <v>3522</v>
      </c>
      <c r="B726" s="5" t="s">
        <v>3522</v>
      </c>
      <c r="C726" s="5" t="s">
        <v>3523</v>
      </c>
      <c r="D726" s="5" t="s">
        <v>3524</v>
      </c>
      <c r="E726" s="5" t="s">
        <v>36</v>
      </c>
      <c r="F726" s="5" t="s">
        <v>37</v>
      </c>
      <c r="G726" s="5" t="s">
        <v>38</v>
      </c>
      <c r="H726" s="5"/>
      <c r="I726" s="5"/>
      <c r="J726" s="5" t="s">
        <v>39</v>
      </c>
      <c r="K726" s="5" t="s">
        <v>1999</v>
      </c>
      <c r="L726" s="5" t="s">
        <v>2000</v>
      </c>
      <c r="M726" s="5" t="s">
        <v>2001</v>
      </c>
      <c r="N726" s="5" t="s">
        <v>36</v>
      </c>
      <c r="O726" s="5">
        <v>1</v>
      </c>
      <c r="P726" s="5" t="s">
        <v>43</v>
      </c>
      <c r="Q726" s="5">
        <v>18.99</v>
      </c>
      <c r="R726" s="5"/>
      <c r="S726" s="5"/>
      <c r="T726" s="5"/>
      <c r="U726" s="5"/>
      <c r="V726" s="5"/>
      <c r="W726" s="5"/>
      <c r="X726" s="5"/>
      <c r="Y726" s="5" t="s">
        <v>3525</v>
      </c>
      <c r="Z726" s="5" t="s">
        <v>606</v>
      </c>
      <c r="AA726" s="5" t="s">
        <v>3526</v>
      </c>
      <c r="AB726" s="5" t="s">
        <v>46</v>
      </c>
      <c r="AC726" s="5"/>
      <c r="AD726" s="5" t="b">
        <v>0</v>
      </c>
      <c r="AE726" s="5"/>
      <c r="AF726" s="5"/>
      <c r="AG726" s="9">
        <f t="shared" si="11"/>
        <v>43276</v>
      </c>
    </row>
    <row r="727" s="6" customFormat="1" spans="1:33">
      <c r="A727" s="5" t="s">
        <v>3527</v>
      </c>
      <c r="B727" s="5" t="s">
        <v>3527</v>
      </c>
      <c r="C727" s="5" t="s">
        <v>3528</v>
      </c>
      <c r="D727" s="5" t="s">
        <v>3529</v>
      </c>
      <c r="E727" s="5" t="s">
        <v>36</v>
      </c>
      <c r="F727" s="5" t="s">
        <v>37</v>
      </c>
      <c r="G727" s="5" t="s">
        <v>38</v>
      </c>
      <c r="H727" s="5"/>
      <c r="I727" s="5"/>
      <c r="J727" s="5" t="s">
        <v>128</v>
      </c>
      <c r="K727" s="5" t="s">
        <v>387</v>
      </c>
      <c r="L727" s="5" t="s">
        <v>388</v>
      </c>
      <c r="M727" s="5" t="s">
        <v>389</v>
      </c>
      <c r="N727" s="5" t="s">
        <v>36</v>
      </c>
      <c r="O727" s="5">
        <v>1</v>
      </c>
      <c r="P727" s="5" t="s">
        <v>43</v>
      </c>
      <c r="Q727" s="5">
        <v>18.99</v>
      </c>
      <c r="R727" s="5"/>
      <c r="S727" s="5">
        <v>5.99</v>
      </c>
      <c r="T727" s="5"/>
      <c r="U727" s="5"/>
      <c r="V727" s="5"/>
      <c r="W727" s="5"/>
      <c r="X727" s="5"/>
      <c r="Y727" s="5" t="s">
        <v>3530</v>
      </c>
      <c r="Z727" s="5" t="s">
        <v>377</v>
      </c>
      <c r="AA727" s="5" t="s">
        <v>3531</v>
      </c>
      <c r="AB727" s="5" t="s">
        <v>46</v>
      </c>
      <c r="AC727" s="5"/>
      <c r="AD727" s="5" t="b">
        <v>0</v>
      </c>
      <c r="AE727" s="5"/>
      <c r="AF727" s="5"/>
      <c r="AG727" s="9">
        <f t="shared" si="11"/>
        <v>43276</v>
      </c>
    </row>
    <row r="728" s="6" customFormat="1" spans="1:33">
      <c r="A728" s="5" t="s">
        <v>3532</v>
      </c>
      <c r="B728" s="5" t="s">
        <v>3532</v>
      </c>
      <c r="C728" s="5" t="s">
        <v>3533</v>
      </c>
      <c r="D728" s="5" t="s">
        <v>3534</v>
      </c>
      <c r="E728" s="5" t="s">
        <v>36</v>
      </c>
      <c r="F728" s="5" t="s">
        <v>37</v>
      </c>
      <c r="G728" s="5" t="s">
        <v>38</v>
      </c>
      <c r="H728" s="5"/>
      <c r="I728" s="5"/>
      <c r="J728" s="5" t="s">
        <v>39</v>
      </c>
      <c r="K728" s="5" t="s">
        <v>387</v>
      </c>
      <c r="L728" s="5" t="s">
        <v>388</v>
      </c>
      <c r="M728" s="5" t="s">
        <v>389</v>
      </c>
      <c r="N728" s="5" t="s">
        <v>36</v>
      </c>
      <c r="O728" s="5">
        <v>1</v>
      </c>
      <c r="P728" s="5" t="s">
        <v>43</v>
      </c>
      <c r="Q728" s="5">
        <v>18.99</v>
      </c>
      <c r="R728" s="5"/>
      <c r="S728" s="5"/>
      <c r="T728" s="5"/>
      <c r="U728" s="5"/>
      <c r="V728" s="5"/>
      <c r="W728" s="5"/>
      <c r="X728" s="5"/>
      <c r="Y728" s="5" t="s">
        <v>437</v>
      </c>
      <c r="Z728" s="5" t="s">
        <v>151</v>
      </c>
      <c r="AA728" s="5" t="s">
        <v>3535</v>
      </c>
      <c r="AB728" s="5" t="s">
        <v>46</v>
      </c>
      <c r="AC728" s="5"/>
      <c r="AD728" s="5" t="b">
        <v>0</v>
      </c>
      <c r="AE728" s="5"/>
      <c r="AF728" s="5"/>
      <c r="AG728" s="9">
        <f t="shared" si="11"/>
        <v>43276</v>
      </c>
    </row>
    <row r="729" s="6" customFormat="1" spans="1:33">
      <c r="A729" s="5" t="s">
        <v>3536</v>
      </c>
      <c r="B729" s="5" t="s">
        <v>3536</v>
      </c>
      <c r="C729" s="5" t="s">
        <v>3537</v>
      </c>
      <c r="D729" s="5" t="s">
        <v>3538</v>
      </c>
      <c r="E729" s="5" t="s">
        <v>36</v>
      </c>
      <c r="F729" s="5" t="s">
        <v>37</v>
      </c>
      <c r="G729" s="5" t="s">
        <v>38</v>
      </c>
      <c r="H729" s="5"/>
      <c r="I729" s="5"/>
      <c r="J729" s="5" t="s">
        <v>39</v>
      </c>
      <c r="K729" s="5" t="s">
        <v>147</v>
      </c>
      <c r="L729" s="5" t="s">
        <v>148</v>
      </c>
      <c r="M729" s="5" t="s">
        <v>149</v>
      </c>
      <c r="N729" s="5" t="s">
        <v>36</v>
      </c>
      <c r="O729" s="5">
        <v>1</v>
      </c>
      <c r="P729" s="5" t="s">
        <v>43</v>
      </c>
      <c r="Q729" s="5">
        <v>12.98</v>
      </c>
      <c r="R729" s="5"/>
      <c r="S729" s="5"/>
      <c r="T729" s="5"/>
      <c r="U729" s="5"/>
      <c r="V729" s="5"/>
      <c r="W729" s="5"/>
      <c r="X729" s="5"/>
      <c r="Y729" s="5" t="s">
        <v>3539</v>
      </c>
      <c r="Z729" s="5" t="s">
        <v>87</v>
      </c>
      <c r="AA729" s="5" t="s">
        <v>3540</v>
      </c>
      <c r="AB729" s="5" t="s">
        <v>46</v>
      </c>
      <c r="AC729" s="5"/>
      <c r="AD729" s="5" t="b">
        <v>0</v>
      </c>
      <c r="AE729" s="5"/>
      <c r="AF729" s="5"/>
      <c r="AG729" s="9">
        <f t="shared" si="11"/>
        <v>43276</v>
      </c>
    </row>
    <row r="730" s="6" customFormat="1" spans="1:33">
      <c r="A730" s="5" t="s">
        <v>3541</v>
      </c>
      <c r="B730" s="5" t="s">
        <v>3541</v>
      </c>
      <c r="C730" s="5" t="s">
        <v>3542</v>
      </c>
      <c r="D730" s="5" t="s">
        <v>3543</v>
      </c>
      <c r="E730" s="5" t="s">
        <v>36</v>
      </c>
      <c r="F730" s="5" t="s">
        <v>37</v>
      </c>
      <c r="G730" s="5" t="s">
        <v>38</v>
      </c>
      <c r="H730" s="5"/>
      <c r="I730" s="5"/>
      <c r="J730" s="5" t="s">
        <v>39</v>
      </c>
      <c r="K730" s="5" t="s">
        <v>587</v>
      </c>
      <c r="L730" s="5" t="s">
        <v>588</v>
      </c>
      <c r="M730" s="5" t="s">
        <v>589</v>
      </c>
      <c r="N730" s="5" t="s">
        <v>36</v>
      </c>
      <c r="O730" s="5">
        <v>1</v>
      </c>
      <c r="P730" s="5" t="s">
        <v>43</v>
      </c>
      <c r="Q730" s="5">
        <v>18.99</v>
      </c>
      <c r="R730" s="5"/>
      <c r="S730" s="5"/>
      <c r="T730" s="5"/>
      <c r="U730" s="5"/>
      <c r="V730" s="5"/>
      <c r="W730" s="5"/>
      <c r="X730" s="5"/>
      <c r="Y730" s="5" t="s">
        <v>2381</v>
      </c>
      <c r="Z730" s="5" t="s">
        <v>307</v>
      </c>
      <c r="AA730" s="5" t="s">
        <v>3544</v>
      </c>
      <c r="AB730" s="5" t="s">
        <v>46</v>
      </c>
      <c r="AC730" s="5"/>
      <c r="AD730" s="5" t="b">
        <v>0</v>
      </c>
      <c r="AE730" s="5"/>
      <c r="AF730" s="5"/>
      <c r="AG730" s="9">
        <f t="shared" si="11"/>
        <v>43276</v>
      </c>
    </row>
    <row r="731" s="6" customFormat="1" spans="1:33">
      <c r="A731" s="5" t="s">
        <v>3545</v>
      </c>
      <c r="B731" s="5" t="s">
        <v>3545</v>
      </c>
      <c r="C731" s="5" t="s">
        <v>3546</v>
      </c>
      <c r="D731" s="5" t="s">
        <v>3547</v>
      </c>
      <c r="E731" s="5" t="s">
        <v>36</v>
      </c>
      <c r="F731" s="5" t="s">
        <v>37</v>
      </c>
      <c r="G731" s="5" t="s">
        <v>38</v>
      </c>
      <c r="H731" s="5"/>
      <c r="I731" s="5"/>
      <c r="J731" s="5" t="s">
        <v>39</v>
      </c>
      <c r="K731" s="5" t="s">
        <v>1291</v>
      </c>
      <c r="L731" s="5" t="s">
        <v>1292</v>
      </c>
      <c r="M731" s="5" t="s">
        <v>1293</v>
      </c>
      <c r="N731" s="5" t="s">
        <v>36</v>
      </c>
      <c r="O731" s="5">
        <v>1</v>
      </c>
      <c r="P731" s="5" t="s">
        <v>43</v>
      </c>
      <c r="Q731" s="5">
        <v>12.99</v>
      </c>
      <c r="R731" s="5">
        <v>0.78</v>
      </c>
      <c r="S731" s="5"/>
      <c r="T731" s="5"/>
      <c r="U731" s="5"/>
      <c r="V731" s="5"/>
      <c r="W731" s="5"/>
      <c r="X731" s="5"/>
      <c r="Y731" s="5" t="s">
        <v>3548</v>
      </c>
      <c r="Z731" s="5" t="s">
        <v>255</v>
      </c>
      <c r="AA731" s="5" t="s">
        <v>3549</v>
      </c>
      <c r="AB731" s="5" t="s">
        <v>46</v>
      </c>
      <c r="AC731" s="5"/>
      <c r="AD731" s="5" t="b">
        <v>0</v>
      </c>
      <c r="AE731" s="5"/>
      <c r="AF731" s="5"/>
      <c r="AG731" s="9">
        <f t="shared" si="11"/>
        <v>43276</v>
      </c>
    </row>
    <row r="732" s="6" customFormat="1" spans="1:33">
      <c r="A732" s="5" t="s">
        <v>3550</v>
      </c>
      <c r="B732" s="5" t="s">
        <v>3550</v>
      </c>
      <c r="C732" s="5" t="s">
        <v>3551</v>
      </c>
      <c r="D732" s="5" t="s">
        <v>3552</v>
      </c>
      <c r="E732" s="5" t="s">
        <v>36</v>
      </c>
      <c r="F732" s="5" t="s">
        <v>37</v>
      </c>
      <c r="G732" s="5" t="s">
        <v>38</v>
      </c>
      <c r="H732" s="5"/>
      <c r="I732" s="5"/>
      <c r="J732" s="5" t="s">
        <v>39</v>
      </c>
      <c r="K732" s="5" t="s">
        <v>243</v>
      </c>
      <c r="L732" s="5" t="s">
        <v>244</v>
      </c>
      <c r="M732" s="5" t="s">
        <v>245</v>
      </c>
      <c r="N732" s="5" t="s">
        <v>36</v>
      </c>
      <c r="O732" s="5">
        <v>1</v>
      </c>
      <c r="P732" s="5" t="s">
        <v>43</v>
      </c>
      <c r="Q732" s="5">
        <v>18.99</v>
      </c>
      <c r="R732" s="5"/>
      <c r="S732" s="5"/>
      <c r="T732" s="5"/>
      <c r="U732" s="5"/>
      <c r="V732" s="5"/>
      <c r="W732" s="5"/>
      <c r="X732" s="5"/>
      <c r="Y732" s="5" t="s">
        <v>3553</v>
      </c>
      <c r="Z732" s="5" t="s">
        <v>247</v>
      </c>
      <c r="AA732" s="5" t="s">
        <v>3554</v>
      </c>
      <c r="AB732" s="5" t="s">
        <v>46</v>
      </c>
      <c r="AC732" s="5"/>
      <c r="AD732" s="5" t="b">
        <v>0</v>
      </c>
      <c r="AE732" s="5"/>
      <c r="AF732" s="5"/>
      <c r="AG732" s="9">
        <f t="shared" si="11"/>
        <v>43276</v>
      </c>
    </row>
    <row r="733" s="6" customFormat="1" spans="1:33">
      <c r="A733" s="5" t="s">
        <v>3555</v>
      </c>
      <c r="B733" s="5" t="s">
        <v>3555</v>
      </c>
      <c r="C733" s="5" t="s">
        <v>3556</v>
      </c>
      <c r="D733" s="5" t="s">
        <v>3557</v>
      </c>
      <c r="E733" s="5" t="s">
        <v>36</v>
      </c>
      <c r="F733" s="5" t="s">
        <v>37</v>
      </c>
      <c r="G733" s="5" t="s">
        <v>38</v>
      </c>
      <c r="H733" s="5"/>
      <c r="I733" s="5"/>
      <c r="J733" s="5" t="s">
        <v>39</v>
      </c>
      <c r="K733" s="5" t="s">
        <v>147</v>
      </c>
      <c r="L733" s="5" t="s">
        <v>148</v>
      </c>
      <c r="M733" s="5" t="s">
        <v>149</v>
      </c>
      <c r="N733" s="5" t="s">
        <v>36</v>
      </c>
      <c r="O733" s="5">
        <v>1</v>
      </c>
      <c r="P733" s="5" t="s">
        <v>43</v>
      </c>
      <c r="Q733" s="5">
        <v>12.98</v>
      </c>
      <c r="R733" s="5"/>
      <c r="S733" s="5"/>
      <c r="T733" s="5"/>
      <c r="U733" s="5"/>
      <c r="V733" s="5"/>
      <c r="W733" s="5"/>
      <c r="X733" s="5"/>
      <c r="Y733" s="5" t="s">
        <v>3558</v>
      </c>
      <c r="Z733" s="5" t="s">
        <v>1050</v>
      </c>
      <c r="AA733" s="5" t="s">
        <v>3559</v>
      </c>
      <c r="AB733" s="5" t="s">
        <v>46</v>
      </c>
      <c r="AC733" s="5"/>
      <c r="AD733" s="5" t="b">
        <v>0</v>
      </c>
      <c r="AE733" s="5"/>
      <c r="AF733" s="5"/>
      <c r="AG733" s="9">
        <f t="shared" si="11"/>
        <v>43276</v>
      </c>
    </row>
    <row r="734" s="6" customFormat="1" spans="1:33">
      <c r="A734" s="5" t="s">
        <v>3560</v>
      </c>
      <c r="B734" s="5" t="s">
        <v>3560</v>
      </c>
      <c r="C734" s="5" t="s">
        <v>3561</v>
      </c>
      <c r="D734" s="5" t="s">
        <v>3562</v>
      </c>
      <c r="E734" s="5" t="s">
        <v>36</v>
      </c>
      <c r="F734" s="5" t="s">
        <v>37</v>
      </c>
      <c r="G734" s="5" t="s">
        <v>38</v>
      </c>
      <c r="H734" s="5"/>
      <c r="I734" s="5"/>
      <c r="J734" s="5" t="s">
        <v>39</v>
      </c>
      <c r="K734" s="5" t="s">
        <v>243</v>
      </c>
      <c r="L734" s="5" t="s">
        <v>244</v>
      </c>
      <c r="M734" s="5" t="s">
        <v>245</v>
      </c>
      <c r="N734" s="5" t="s">
        <v>36</v>
      </c>
      <c r="O734" s="5">
        <v>1</v>
      </c>
      <c r="P734" s="5" t="s">
        <v>43</v>
      </c>
      <c r="Q734" s="5">
        <v>18.99</v>
      </c>
      <c r="R734" s="5"/>
      <c r="S734" s="5"/>
      <c r="T734" s="5"/>
      <c r="U734" s="5"/>
      <c r="V734" s="5"/>
      <c r="W734" s="5"/>
      <c r="X734" s="5"/>
      <c r="Y734" s="5" t="s">
        <v>1316</v>
      </c>
      <c r="Z734" s="5" t="s">
        <v>54</v>
      </c>
      <c r="AA734" s="5" t="s">
        <v>3563</v>
      </c>
      <c r="AB734" s="5" t="s">
        <v>46</v>
      </c>
      <c r="AC734" s="5"/>
      <c r="AD734" s="5" t="b">
        <v>0</v>
      </c>
      <c r="AE734" s="5"/>
      <c r="AF734" s="5"/>
      <c r="AG734" s="9">
        <f t="shared" si="11"/>
        <v>43276</v>
      </c>
    </row>
    <row r="735" s="6" customFormat="1" spans="1:33">
      <c r="A735" s="5" t="s">
        <v>3564</v>
      </c>
      <c r="B735" s="5" t="s">
        <v>3564</v>
      </c>
      <c r="C735" s="5" t="s">
        <v>3565</v>
      </c>
      <c r="D735" s="5" t="s">
        <v>3566</v>
      </c>
      <c r="E735" s="5" t="s">
        <v>614</v>
      </c>
      <c r="F735" s="5" t="s">
        <v>37</v>
      </c>
      <c r="G735" s="5" t="s">
        <v>38</v>
      </c>
      <c r="H735" s="5"/>
      <c r="I735" s="5"/>
      <c r="J735" s="5" t="s">
        <v>128</v>
      </c>
      <c r="K735" s="5" t="s">
        <v>2197</v>
      </c>
      <c r="L735" s="5" t="s">
        <v>2198</v>
      </c>
      <c r="M735" s="5" t="s">
        <v>2199</v>
      </c>
      <c r="N735" s="5" t="s">
        <v>833</v>
      </c>
      <c r="O735" s="5">
        <v>1</v>
      </c>
      <c r="P735" s="5" t="s">
        <v>43</v>
      </c>
      <c r="Q735" s="5">
        <v>24.99</v>
      </c>
      <c r="R735" s="5"/>
      <c r="S735" s="5"/>
      <c r="T735" s="5"/>
      <c r="U735" s="5"/>
      <c r="V735" s="5"/>
      <c r="W735" s="5"/>
      <c r="X735" s="5"/>
      <c r="Y735" s="5" t="s">
        <v>3567</v>
      </c>
      <c r="Z735" s="5" t="s">
        <v>1300</v>
      </c>
      <c r="AA735" s="5" t="s">
        <v>3568</v>
      </c>
      <c r="AB735" s="5" t="s">
        <v>46</v>
      </c>
      <c r="AC735" s="5"/>
      <c r="AD735" s="5" t="b">
        <v>0</v>
      </c>
      <c r="AE735" s="5"/>
      <c r="AF735" s="5"/>
      <c r="AG735" s="9">
        <f t="shared" si="11"/>
        <v>43276</v>
      </c>
    </row>
    <row r="736" s="6" customFormat="1" spans="1:33">
      <c r="A736" s="5" t="s">
        <v>3569</v>
      </c>
      <c r="B736" s="5" t="s">
        <v>3569</v>
      </c>
      <c r="C736" s="5" t="s">
        <v>3570</v>
      </c>
      <c r="D736" s="5" t="s">
        <v>3571</v>
      </c>
      <c r="E736" s="5" t="s">
        <v>36</v>
      </c>
      <c r="F736" s="5" t="s">
        <v>37</v>
      </c>
      <c r="G736" s="5" t="s">
        <v>38</v>
      </c>
      <c r="H736" s="5"/>
      <c r="I736" s="5"/>
      <c r="J736" s="5" t="s">
        <v>39</v>
      </c>
      <c r="K736" s="5" t="s">
        <v>3572</v>
      </c>
      <c r="L736" s="5" t="s">
        <v>3573</v>
      </c>
      <c r="M736" s="5" t="s">
        <v>3574</v>
      </c>
      <c r="N736" s="5" t="s">
        <v>36</v>
      </c>
      <c r="O736" s="5">
        <v>1</v>
      </c>
      <c r="P736" s="5" t="s">
        <v>43</v>
      </c>
      <c r="Q736" s="5">
        <v>10</v>
      </c>
      <c r="R736" s="5"/>
      <c r="S736" s="5"/>
      <c r="T736" s="5"/>
      <c r="U736" s="5"/>
      <c r="V736" s="5"/>
      <c r="W736" s="5">
        <v>1</v>
      </c>
      <c r="X736" s="5"/>
      <c r="Y736" s="5" t="s">
        <v>536</v>
      </c>
      <c r="Z736" s="5" t="s">
        <v>247</v>
      </c>
      <c r="AA736" s="5" t="s">
        <v>3575</v>
      </c>
      <c r="AB736" s="5" t="s">
        <v>46</v>
      </c>
      <c r="AC736" s="5" t="s">
        <v>553</v>
      </c>
      <c r="AD736" s="5" t="b">
        <v>0</v>
      </c>
      <c r="AE736" s="5"/>
      <c r="AF736" s="5"/>
      <c r="AG736" s="9">
        <f t="shared" si="11"/>
        <v>43276</v>
      </c>
    </row>
    <row r="737" s="6" customFormat="1" spans="1:33">
      <c r="A737" s="5" t="s">
        <v>3569</v>
      </c>
      <c r="B737" s="5" t="s">
        <v>3569</v>
      </c>
      <c r="C737" s="5" t="s">
        <v>3570</v>
      </c>
      <c r="D737" s="5" t="s">
        <v>3571</v>
      </c>
      <c r="E737" s="5" t="s">
        <v>36</v>
      </c>
      <c r="F737" s="5" t="s">
        <v>37</v>
      </c>
      <c r="G737" s="5" t="s">
        <v>38</v>
      </c>
      <c r="H737" s="5"/>
      <c r="I737" s="5"/>
      <c r="J737" s="5" t="s">
        <v>39</v>
      </c>
      <c r="K737" s="5" t="s">
        <v>760</v>
      </c>
      <c r="L737" s="5" t="s">
        <v>761</v>
      </c>
      <c r="M737" s="5" t="s">
        <v>762</v>
      </c>
      <c r="N737" s="5" t="s">
        <v>36</v>
      </c>
      <c r="O737" s="5">
        <v>1</v>
      </c>
      <c r="P737" s="5" t="s">
        <v>43</v>
      </c>
      <c r="Q737" s="5">
        <v>10</v>
      </c>
      <c r="R737" s="5"/>
      <c r="S737" s="5"/>
      <c r="T737" s="5"/>
      <c r="U737" s="5"/>
      <c r="V737" s="5"/>
      <c r="W737" s="5">
        <v>1</v>
      </c>
      <c r="X737" s="5"/>
      <c r="Y737" s="5" t="s">
        <v>536</v>
      </c>
      <c r="Z737" s="5" t="s">
        <v>247</v>
      </c>
      <c r="AA737" s="5" t="s">
        <v>3575</v>
      </c>
      <c r="AB737" s="5" t="s">
        <v>46</v>
      </c>
      <c r="AC737" s="5" t="s">
        <v>553</v>
      </c>
      <c r="AD737" s="5" t="b">
        <v>0</v>
      </c>
      <c r="AE737" s="5"/>
      <c r="AF737" s="5"/>
      <c r="AG737" s="9">
        <f t="shared" si="11"/>
        <v>43276</v>
      </c>
    </row>
    <row r="738" s="6" customFormat="1" spans="1:33">
      <c r="A738" s="5" t="s">
        <v>3576</v>
      </c>
      <c r="B738" s="5" t="s">
        <v>3576</v>
      </c>
      <c r="C738" s="5" t="s">
        <v>3577</v>
      </c>
      <c r="D738" s="5" t="s">
        <v>3578</v>
      </c>
      <c r="E738" s="5" t="s">
        <v>36</v>
      </c>
      <c r="F738" s="5" t="s">
        <v>37</v>
      </c>
      <c r="G738" s="5" t="s">
        <v>38</v>
      </c>
      <c r="H738" s="5"/>
      <c r="I738" s="5"/>
      <c r="J738" s="5" t="s">
        <v>39</v>
      </c>
      <c r="K738" s="5" t="s">
        <v>260</v>
      </c>
      <c r="L738" s="5" t="s">
        <v>1227</v>
      </c>
      <c r="M738" s="5" t="s">
        <v>262</v>
      </c>
      <c r="N738" s="5" t="s">
        <v>36</v>
      </c>
      <c r="O738" s="5">
        <v>1</v>
      </c>
      <c r="P738" s="5" t="s">
        <v>43</v>
      </c>
      <c r="Q738" s="5">
        <v>18.99</v>
      </c>
      <c r="R738" s="5"/>
      <c r="S738" s="5"/>
      <c r="T738" s="5"/>
      <c r="U738" s="5"/>
      <c r="V738" s="5"/>
      <c r="W738" s="5"/>
      <c r="X738" s="5"/>
      <c r="Y738" s="5" t="s">
        <v>3579</v>
      </c>
      <c r="Z738" s="5" t="s">
        <v>54</v>
      </c>
      <c r="AA738" s="5" t="s">
        <v>3580</v>
      </c>
      <c r="AB738" s="5" t="s">
        <v>46</v>
      </c>
      <c r="AC738" s="5"/>
      <c r="AD738" s="5" t="b">
        <v>0</v>
      </c>
      <c r="AE738" s="5"/>
      <c r="AF738" s="5"/>
      <c r="AG738" s="9">
        <f t="shared" si="11"/>
        <v>43276</v>
      </c>
    </row>
    <row r="739" s="6" customFormat="1" spans="1:33">
      <c r="A739" s="5" t="s">
        <v>3581</v>
      </c>
      <c r="B739" s="5" t="s">
        <v>3581</v>
      </c>
      <c r="C739" s="5" t="s">
        <v>3582</v>
      </c>
      <c r="D739" s="5" t="s">
        <v>3583</v>
      </c>
      <c r="E739" s="5" t="s">
        <v>36</v>
      </c>
      <c r="F739" s="5" t="s">
        <v>37</v>
      </c>
      <c r="G739" s="5" t="s">
        <v>38</v>
      </c>
      <c r="H739" s="5"/>
      <c r="I739" s="5"/>
      <c r="J739" s="5" t="s">
        <v>39</v>
      </c>
      <c r="K739" s="5" t="s">
        <v>3287</v>
      </c>
      <c r="L739" s="5" t="s">
        <v>3288</v>
      </c>
      <c r="M739" s="5" t="s">
        <v>3289</v>
      </c>
      <c r="N739" s="5" t="s">
        <v>36</v>
      </c>
      <c r="O739" s="5">
        <v>1</v>
      </c>
      <c r="P739" s="5" t="s">
        <v>43</v>
      </c>
      <c r="Q739" s="5">
        <v>15.98</v>
      </c>
      <c r="R739" s="5"/>
      <c r="S739" s="5"/>
      <c r="T739" s="5"/>
      <c r="U739" s="5"/>
      <c r="V739" s="5"/>
      <c r="W739" s="5"/>
      <c r="X739" s="5"/>
      <c r="Y739" s="5" t="s">
        <v>489</v>
      </c>
      <c r="Z739" s="5" t="s">
        <v>142</v>
      </c>
      <c r="AA739" s="5" t="s">
        <v>3584</v>
      </c>
      <c r="AB739" s="5" t="s">
        <v>46</v>
      </c>
      <c r="AC739" s="5"/>
      <c r="AD739" s="5" t="b">
        <v>0</v>
      </c>
      <c r="AE739" s="5"/>
      <c r="AF739" s="5"/>
      <c r="AG739" s="9">
        <f t="shared" si="11"/>
        <v>43276</v>
      </c>
    </row>
    <row r="740" s="6" customFormat="1" spans="1:33">
      <c r="A740" s="5" t="s">
        <v>3585</v>
      </c>
      <c r="B740" s="5" t="s">
        <v>3585</v>
      </c>
      <c r="C740" s="5" t="s">
        <v>3586</v>
      </c>
      <c r="D740" s="5" t="s">
        <v>3587</v>
      </c>
      <c r="E740" s="5" t="s">
        <v>36</v>
      </c>
      <c r="F740" s="5" t="s">
        <v>37</v>
      </c>
      <c r="G740" s="5" t="s">
        <v>38</v>
      </c>
      <c r="H740" s="5"/>
      <c r="I740" s="5"/>
      <c r="J740" s="5" t="s">
        <v>39</v>
      </c>
      <c r="K740" s="5" t="s">
        <v>50</v>
      </c>
      <c r="L740" s="5" t="s">
        <v>51</v>
      </c>
      <c r="M740" s="5" t="s">
        <v>52</v>
      </c>
      <c r="N740" s="5" t="s">
        <v>36</v>
      </c>
      <c r="O740" s="5">
        <v>1</v>
      </c>
      <c r="P740" s="5" t="s">
        <v>43</v>
      </c>
      <c r="Q740" s="5">
        <v>18.99</v>
      </c>
      <c r="R740" s="5"/>
      <c r="S740" s="5"/>
      <c r="T740" s="5"/>
      <c r="U740" s="5"/>
      <c r="V740" s="5"/>
      <c r="W740" s="5"/>
      <c r="X740" s="5"/>
      <c r="Y740" s="5" t="s">
        <v>1316</v>
      </c>
      <c r="Z740" s="5" t="s">
        <v>382</v>
      </c>
      <c r="AA740" s="5" t="s">
        <v>3588</v>
      </c>
      <c r="AB740" s="5" t="s">
        <v>46</v>
      </c>
      <c r="AC740" s="5"/>
      <c r="AD740" s="5" t="b">
        <v>0</v>
      </c>
      <c r="AE740" s="5"/>
      <c r="AF740" s="5"/>
      <c r="AG740" s="9">
        <f t="shared" si="11"/>
        <v>43276</v>
      </c>
    </row>
    <row r="741" s="6" customFormat="1" spans="1:33">
      <c r="A741" s="5" t="s">
        <v>3589</v>
      </c>
      <c r="B741" s="5" t="s">
        <v>3589</v>
      </c>
      <c r="C741" s="5" t="s">
        <v>3590</v>
      </c>
      <c r="D741" s="5" t="s">
        <v>3591</v>
      </c>
      <c r="E741" s="5" t="s">
        <v>36</v>
      </c>
      <c r="F741" s="5" t="s">
        <v>37</v>
      </c>
      <c r="G741" s="5" t="s">
        <v>38</v>
      </c>
      <c r="H741" s="5"/>
      <c r="I741" s="5"/>
      <c r="J741" s="5" t="s">
        <v>39</v>
      </c>
      <c r="K741" s="5" t="s">
        <v>147</v>
      </c>
      <c r="L741" s="5" t="s">
        <v>148</v>
      </c>
      <c r="M741" s="5" t="s">
        <v>149</v>
      </c>
      <c r="N741" s="5" t="s">
        <v>36</v>
      </c>
      <c r="O741" s="5">
        <v>1</v>
      </c>
      <c r="P741" s="5" t="s">
        <v>43</v>
      </c>
      <c r="Q741" s="5">
        <v>12.98</v>
      </c>
      <c r="R741" s="5"/>
      <c r="S741" s="5"/>
      <c r="T741" s="5"/>
      <c r="U741" s="5"/>
      <c r="V741" s="5"/>
      <c r="W741" s="5"/>
      <c r="X741" s="5"/>
      <c r="Y741" s="5" t="s">
        <v>3592</v>
      </c>
      <c r="Z741" s="5" t="s">
        <v>3593</v>
      </c>
      <c r="AA741" s="5">
        <v>50158</v>
      </c>
      <c r="AB741" s="5" t="s">
        <v>46</v>
      </c>
      <c r="AC741" s="5"/>
      <c r="AD741" s="5" t="b">
        <v>0</v>
      </c>
      <c r="AE741" s="5"/>
      <c r="AF741" s="5"/>
      <c r="AG741" s="9">
        <f t="shared" si="11"/>
        <v>43276</v>
      </c>
    </row>
    <row r="742" s="6" customFormat="1" spans="1:33">
      <c r="A742" s="5" t="s">
        <v>3594</v>
      </c>
      <c r="B742" s="5" t="s">
        <v>3594</v>
      </c>
      <c r="C742" s="5" t="s">
        <v>3595</v>
      </c>
      <c r="D742" s="5" t="s">
        <v>3596</v>
      </c>
      <c r="E742" s="5" t="s">
        <v>36</v>
      </c>
      <c r="F742" s="5" t="s">
        <v>37</v>
      </c>
      <c r="G742" s="5" t="s">
        <v>38</v>
      </c>
      <c r="H742" s="5"/>
      <c r="I742" s="5"/>
      <c r="J742" s="5" t="s">
        <v>39</v>
      </c>
      <c r="K742" s="5" t="s">
        <v>50</v>
      </c>
      <c r="L742" s="5" t="s">
        <v>51</v>
      </c>
      <c r="M742" s="5" t="s">
        <v>52</v>
      </c>
      <c r="N742" s="5" t="s">
        <v>36</v>
      </c>
      <c r="O742" s="5">
        <v>1</v>
      </c>
      <c r="P742" s="5" t="s">
        <v>43</v>
      </c>
      <c r="Q742" s="5">
        <v>18.99</v>
      </c>
      <c r="R742" s="5"/>
      <c r="S742" s="5"/>
      <c r="T742" s="5"/>
      <c r="U742" s="5"/>
      <c r="V742" s="5"/>
      <c r="W742" s="5"/>
      <c r="X742" s="5"/>
      <c r="Y742" s="5" t="s">
        <v>3597</v>
      </c>
      <c r="Z742" s="5" t="s">
        <v>123</v>
      </c>
      <c r="AA742" s="5" t="s">
        <v>3598</v>
      </c>
      <c r="AB742" s="5" t="s">
        <v>46</v>
      </c>
      <c r="AC742" s="5"/>
      <c r="AD742" s="5" t="b">
        <v>0</v>
      </c>
      <c r="AE742" s="5"/>
      <c r="AF742" s="5"/>
      <c r="AG742" s="9">
        <f t="shared" si="11"/>
        <v>43276</v>
      </c>
    </row>
    <row r="743" s="6" customFormat="1" spans="1:33">
      <c r="A743" s="5" t="s">
        <v>3599</v>
      </c>
      <c r="B743" s="5" t="s">
        <v>3599</v>
      </c>
      <c r="C743" s="5" t="s">
        <v>3600</v>
      </c>
      <c r="D743" s="5" t="s">
        <v>3601</v>
      </c>
      <c r="E743" s="5" t="s">
        <v>36</v>
      </c>
      <c r="F743" s="5" t="s">
        <v>37</v>
      </c>
      <c r="G743" s="5" t="s">
        <v>38</v>
      </c>
      <c r="H743" s="5"/>
      <c r="I743" s="5"/>
      <c r="J743" s="5" t="s">
        <v>39</v>
      </c>
      <c r="K743" s="5" t="s">
        <v>1625</v>
      </c>
      <c r="L743" s="5" t="s">
        <v>3602</v>
      </c>
      <c r="M743" s="5" t="s">
        <v>3603</v>
      </c>
      <c r="N743" s="5" t="s">
        <v>36</v>
      </c>
      <c r="O743" s="5">
        <v>1</v>
      </c>
      <c r="P743" s="5" t="s">
        <v>43</v>
      </c>
      <c r="Q743" s="5">
        <v>17.9</v>
      </c>
      <c r="R743" s="5"/>
      <c r="S743" s="5"/>
      <c r="T743" s="5"/>
      <c r="U743" s="5"/>
      <c r="V743" s="5"/>
      <c r="W743" s="5"/>
      <c r="X743" s="5"/>
      <c r="Y743" s="5" t="s">
        <v>3604</v>
      </c>
      <c r="Z743" s="5" t="s">
        <v>54</v>
      </c>
      <c r="AA743" s="5">
        <v>94610</v>
      </c>
      <c r="AB743" s="5" t="s">
        <v>46</v>
      </c>
      <c r="AC743" s="5"/>
      <c r="AD743" s="5" t="b">
        <v>0</v>
      </c>
      <c r="AE743" s="5"/>
      <c r="AF743" s="5"/>
      <c r="AG743" s="9">
        <f t="shared" si="11"/>
        <v>43276</v>
      </c>
    </row>
    <row r="744" s="6" customFormat="1" spans="1:33">
      <c r="A744" s="5" t="s">
        <v>3605</v>
      </c>
      <c r="B744" s="5" t="s">
        <v>3605</v>
      </c>
      <c r="C744" s="5" t="s">
        <v>3606</v>
      </c>
      <c r="D744" s="5" t="s">
        <v>3607</v>
      </c>
      <c r="E744" s="5" t="s">
        <v>36</v>
      </c>
      <c r="F744" s="5" t="s">
        <v>37</v>
      </c>
      <c r="G744" s="5" t="s">
        <v>38</v>
      </c>
      <c r="H744" s="5"/>
      <c r="I744" s="5"/>
      <c r="J744" s="5" t="s">
        <v>287</v>
      </c>
      <c r="K744" s="5" t="s">
        <v>260</v>
      </c>
      <c r="L744" s="5" t="s">
        <v>261</v>
      </c>
      <c r="M744" s="5" t="s">
        <v>262</v>
      </c>
      <c r="N744" s="5" t="s">
        <v>36</v>
      </c>
      <c r="O744" s="5">
        <v>1</v>
      </c>
      <c r="P744" s="5" t="s">
        <v>43</v>
      </c>
      <c r="Q744" s="5">
        <v>18.99</v>
      </c>
      <c r="R744" s="5"/>
      <c r="S744" s="5">
        <v>0.6</v>
      </c>
      <c r="T744" s="5"/>
      <c r="U744" s="5"/>
      <c r="V744" s="5"/>
      <c r="W744" s="5"/>
      <c r="X744" s="5">
        <v>0.6</v>
      </c>
      <c r="Y744" s="5" t="s">
        <v>3608</v>
      </c>
      <c r="Z744" s="5" t="s">
        <v>1698</v>
      </c>
      <c r="AA744" s="5">
        <v>34759</v>
      </c>
      <c r="AB744" s="5" t="s">
        <v>46</v>
      </c>
      <c r="AC744" s="5"/>
      <c r="AD744" s="5" t="b">
        <v>0</v>
      </c>
      <c r="AE744" s="5"/>
      <c r="AF744" s="5"/>
      <c r="AG744" s="9">
        <f t="shared" si="11"/>
        <v>43276</v>
      </c>
    </row>
    <row r="745" s="6" customFormat="1" spans="1:33">
      <c r="A745" s="5" t="s">
        <v>3609</v>
      </c>
      <c r="B745" s="5" t="s">
        <v>3609</v>
      </c>
      <c r="C745" s="5" t="s">
        <v>3610</v>
      </c>
      <c r="D745" s="5" t="s">
        <v>3611</v>
      </c>
      <c r="E745" s="5" t="s">
        <v>36</v>
      </c>
      <c r="F745" s="5" t="s">
        <v>37</v>
      </c>
      <c r="G745" s="5" t="s">
        <v>38</v>
      </c>
      <c r="H745" s="5"/>
      <c r="I745" s="5"/>
      <c r="J745" s="5" t="s">
        <v>39</v>
      </c>
      <c r="K745" s="5" t="s">
        <v>409</v>
      </c>
      <c r="L745" s="5" t="s">
        <v>410</v>
      </c>
      <c r="M745" s="5" t="s">
        <v>411</v>
      </c>
      <c r="N745" s="5" t="s">
        <v>36</v>
      </c>
      <c r="O745" s="5">
        <v>1</v>
      </c>
      <c r="P745" s="5" t="s">
        <v>43</v>
      </c>
      <c r="Q745" s="5">
        <v>9.9</v>
      </c>
      <c r="R745" s="5"/>
      <c r="S745" s="5"/>
      <c r="T745" s="5"/>
      <c r="U745" s="5"/>
      <c r="V745" s="5"/>
      <c r="W745" s="5"/>
      <c r="X745" s="5"/>
      <c r="Y745" s="5" t="s">
        <v>3612</v>
      </c>
      <c r="Z745" s="5" t="s">
        <v>183</v>
      </c>
      <c r="AA745" s="5" t="s">
        <v>3613</v>
      </c>
      <c r="AB745" s="5" t="s">
        <v>46</v>
      </c>
      <c r="AC745" s="5"/>
      <c r="AD745" s="5" t="b">
        <v>0</v>
      </c>
      <c r="AE745" s="5"/>
      <c r="AF745" s="5"/>
      <c r="AG745" s="9">
        <f t="shared" si="11"/>
        <v>43276</v>
      </c>
    </row>
    <row r="746" s="6" customFormat="1" spans="1:33">
      <c r="A746" s="5" t="s">
        <v>3614</v>
      </c>
      <c r="B746" s="5" t="s">
        <v>3614</v>
      </c>
      <c r="C746" s="5" t="s">
        <v>3615</v>
      </c>
      <c r="D746" s="5" t="s">
        <v>3616</v>
      </c>
      <c r="E746" s="5" t="s">
        <v>36</v>
      </c>
      <c r="F746" s="5" t="s">
        <v>37</v>
      </c>
      <c r="G746" s="5" t="s">
        <v>38</v>
      </c>
      <c r="H746" s="5"/>
      <c r="I746" s="5"/>
      <c r="J746" s="5" t="s">
        <v>39</v>
      </c>
      <c r="K746" s="5" t="s">
        <v>533</v>
      </c>
      <c r="L746" s="5" t="s">
        <v>1048</v>
      </c>
      <c r="M746" s="5" t="s">
        <v>535</v>
      </c>
      <c r="N746" s="5" t="s">
        <v>36</v>
      </c>
      <c r="O746" s="5">
        <v>1</v>
      </c>
      <c r="P746" s="5" t="s">
        <v>43</v>
      </c>
      <c r="Q746" s="5">
        <v>24.99</v>
      </c>
      <c r="R746" s="5"/>
      <c r="S746" s="5"/>
      <c r="T746" s="5"/>
      <c r="U746" s="5"/>
      <c r="V746" s="5"/>
      <c r="W746" s="5"/>
      <c r="X746" s="5"/>
      <c r="Y746" s="5" t="s">
        <v>1604</v>
      </c>
      <c r="Z746" s="5" t="s">
        <v>238</v>
      </c>
      <c r="AA746" s="5" t="s">
        <v>1605</v>
      </c>
      <c r="AB746" s="5" t="s">
        <v>46</v>
      </c>
      <c r="AC746" s="5"/>
      <c r="AD746" s="5" t="b">
        <v>0</v>
      </c>
      <c r="AE746" s="5"/>
      <c r="AF746" s="5"/>
      <c r="AG746" s="9">
        <f t="shared" si="11"/>
        <v>43276</v>
      </c>
    </row>
    <row r="747" s="6" customFormat="1" spans="1:33">
      <c r="A747" s="5" t="s">
        <v>3617</v>
      </c>
      <c r="B747" s="5" t="s">
        <v>3617</v>
      </c>
      <c r="C747" s="5" t="s">
        <v>3618</v>
      </c>
      <c r="D747" s="5" t="s">
        <v>3619</v>
      </c>
      <c r="E747" s="5" t="s">
        <v>36</v>
      </c>
      <c r="F747" s="5" t="s">
        <v>37</v>
      </c>
      <c r="G747" s="5" t="s">
        <v>38</v>
      </c>
      <c r="H747" s="5"/>
      <c r="I747" s="5"/>
      <c r="J747" s="5" t="s">
        <v>39</v>
      </c>
      <c r="K747" s="5" t="s">
        <v>119</v>
      </c>
      <c r="L747" s="5" t="s">
        <v>2099</v>
      </c>
      <c r="M747" s="5" t="s">
        <v>121</v>
      </c>
      <c r="N747" s="5" t="s">
        <v>36</v>
      </c>
      <c r="O747" s="5">
        <v>1</v>
      </c>
      <c r="P747" s="5" t="s">
        <v>43</v>
      </c>
      <c r="Q747" s="5">
        <v>24.99</v>
      </c>
      <c r="R747" s="5"/>
      <c r="S747" s="5"/>
      <c r="T747" s="5"/>
      <c r="U747" s="5"/>
      <c r="V747" s="5"/>
      <c r="W747" s="5"/>
      <c r="X747" s="5"/>
      <c r="Y747" s="5" t="s">
        <v>3620</v>
      </c>
      <c r="Z747" s="5" t="s">
        <v>3621</v>
      </c>
      <c r="AA747" s="5">
        <v>61704</v>
      </c>
      <c r="AB747" s="5" t="s">
        <v>46</v>
      </c>
      <c r="AC747" s="5"/>
      <c r="AD747" s="5" t="b">
        <v>0</v>
      </c>
      <c r="AE747" s="5"/>
      <c r="AF747" s="5"/>
      <c r="AG747" s="9">
        <f t="shared" si="11"/>
        <v>43276</v>
      </c>
    </row>
    <row r="748" s="6" customFormat="1" spans="1:33">
      <c r="A748" s="5" t="s">
        <v>3622</v>
      </c>
      <c r="B748" s="5" t="s">
        <v>3622</v>
      </c>
      <c r="C748" s="5" t="s">
        <v>3623</v>
      </c>
      <c r="D748" s="5" t="s">
        <v>3624</v>
      </c>
      <c r="E748" s="5" t="s">
        <v>36</v>
      </c>
      <c r="F748" s="5" t="s">
        <v>37</v>
      </c>
      <c r="G748" s="5" t="s">
        <v>38</v>
      </c>
      <c r="H748" s="5"/>
      <c r="I748" s="5"/>
      <c r="J748" s="5" t="s">
        <v>39</v>
      </c>
      <c r="K748" s="5" t="s">
        <v>50</v>
      </c>
      <c r="L748" s="5" t="s">
        <v>51</v>
      </c>
      <c r="M748" s="5" t="s">
        <v>52</v>
      </c>
      <c r="N748" s="5" t="s">
        <v>36</v>
      </c>
      <c r="O748" s="5">
        <v>1</v>
      </c>
      <c r="P748" s="5" t="s">
        <v>43</v>
      </c>
      <c r="Q748" s="5">
        <v>18.99</v>
      </c>
      <c r="R748" s="5"/>
      <c r="S748" s="5"/>
      <c r="T748" s="5"/>
      <c r="U748" s="5"/>
      <c r="V748" s="5"/>
      <c r="W748" s="5"/>
      <c r="X748" s="5"/>
      <c r="Y748" s="5" t="s">
        <v>3625</v>
      </c>
      <c r="Z748" s="5" t="s">
        <v>3626</v>
      </c>
      <c r="AA748" s="5">
        <v>46214</v>
      </c>
      <c r="AB748" s="5" t="s">
        <v>46</v>
      </c>
      <c r="AC748" s="5"/>
      <c r="AD748" s="5" t="b">
        <v>0</v>
      </c>
      <c r="AE748" s="5"/>
      <c r="AF748" s="5"/>
      <c r="AG748" s="9">
        <f t="shared" si="11"/>
        <v>43276</v>
      </c>
    </row>
    <row r="749" s="6" customFormat="1" spans="1:33">
      <c r="A749" s="5" t="s">
        <v>3627</v>
      </c>
      <c r="B749" s="5" t="s">
        <v>3627</v>
      </c>
      <c r="C749" s="5" t="s">
        <v>3628</v>
      </c>
      <c r="D749" s="5" t="s">
        <v>3629</v>
      </c>
      <c r="E749" s="5" t="s">
        <v>36</v>
      </c>
      <c r="F749" s="5" t="s">
        <v>37</v>
      </c>
      <c r="G749" s="5" t="s">
        <v>38</v>
      </c>
      <c r="H749" s="5"/>
      <c r="I749" s="5"/>
      <c r="J749" s="5" t="s">
        <v>128</v>
      </c>
      <c r="K749" s="5" t="s">
        <v>83</v>
      </c>
      <c r="L749" s="5" t="s">
        <v>84</v>
      </c>
      <c r="M749" s="5" t="s">
        <v>85</v>
      </c>
      <c r="N749" s="5" t="s">
        <v>36</v>
      </c>
      <c r="O749" s="5">
        <v>1</v>
      </c>
      <c r="P749" s="5" t="s">
        <v>43</v>
      </c>
      <c r="Q749" s="5">
        <v>12.99</v>
      </c>
      <c r="R749" s="5"/>
      <c r="S749" s="5">
        <v>1.98</v>
      </c>
      <c r="T749" s="5"/>
      <c r="U749" s="5"/>
      <c r="V749" s="5"/>
      <c r="W749" s="5"/>
      <c r="X749" s="5">
        <v>1.98</v>
      </c>
      <c r="Y749" s="5" t="s">
        <v>3630</v>
      </c>
      <c r="Z749" s="5" t="s">
        <v>105</v>
      </c>
      <c r="AA749" s="5" t="s">
        <v>3631</v>
      </c>
      <c r="AB749" s="5" t="s">
        <v>46</v>
      </c>
      <c r="AC749" s="5" t="s">
        <v>225</v>
      </c>
      <c r="AD749" s="5" t="b">
        <v>0</v>
      </c>
      <c r="AE749" s="5"/>
      <c r="AF749" s="5"/>
      <c r="AG749" s="9">
        <f t="shared" si="11"/>
        <v>43276</v>
      </c>
    </row>
    <row r="750" s="6" customFormat="1" spans="1:33">
      <c r="A750" s="5" t="s">
        <v>3632</v>
      </c>
      <c r="B750" s="5" t="s">
        <v>3632</v>
      </c>
      <c r="C750" s="5" t="s">
        <v>3633</v>
      </c>
      <c r="D750" s="5" t="s">
        <v>3634</v>
      </c>
      <c r="E750" s="5" t="s">
        <v>36</v>
      </c>
      <c r="F750" s="5" t="s">
        <v>37</v>
      </c>
      <c r="G750" s="5" t="s">
        <v>38</v>
      </c>
      <c r="H750" s="5"/>
      <c r="I750" s="5"/>
      <c r="J750" s="5" t="s">
        <v>39</v>
      </c>
      <c r="K750" s="5" t="s">
        <v>50</v>
      </c>
      <c r="L750" s="5" t="s">
        <v>51</v>
      </c>
      <c r="M750" s="5" t="s">
        <v>52</v>
      </c>
      <c r="N750" s="5" t="s">
        <v>36</v>
      </c>
      <c r="O750" s="5">
        <v>1</v>
      </c>
      <c r="P750" s="5" t="s">
        <v>43</v>
      </c>
      <c r="Q750" s="5">
        <v>18.99</v>
      </c>
      <c r="R750" s="5"/>
      <c r="S750" s="5"/>
      <c r="T750" s="5"/>
      <c r="U750" s="5"/>
      <c r="V750" s="5"/>
      <c r="W750" s="5"/>
      <c r="X750" s="5"/>
      <c r="Y750" s="5" t="s">
        <v>3635</v>
      </c>
      <c r="Z750" s="5" t="s">
        <v>105</v>
      </c>
      <c r="AA750" s="5" t="s">
        <v>3636</v>
      </c>
      <c r="AB750" s="5" t="s">
        <v>46</v>
      </c>
      <c r="AC750" s="5"/>
      <c r="AD750" s="5" t="b">
        <v>0</v>
      </c>
      <c r="AE750" s="5"/>
      <c r="AF750" s="5"/>
      <c r="AG750" s="9">
        <f t="shared" si="11"/>
        <v>43276</v>
      </c>
    </row>
    <row r="751" s="6" customFormat="1" spans="1:33">
      <c r="A751" s="5" t="s">
        <v>3637</v>
      </c>
      <c r="B751" s="5" t="s">
        <v>3637</v>
      </c>
      <c r="C751" s="5" t="s">
        <v>3638</v>
      </c>
      <c r="D751" s="5" t="s">
        <v>3639</v>
      </c>
      <c r="E751" s="5" t="s">
        <v>36</v>
      </c>
      <c r="F751" s="5" t="s">
        <v>37</v>
      </c>
      <c r="G751" s="5" t="s">
        <v>38</v>
      </c>
      <c r="H751" s="5"/>
      <c r="I751" s="5"/>
      <c r="J751" s="5" t="s">
        <v>39</v>
      </c>
      <c r="K751" s="5" t="s">
        <v>1291</v>
      </c>
      <c r="L751" s="5" t="s">
        <v>1292</v>
      </c>
      <c r="M751" s="5" t="s">
        <v>1293</v>
      </c>
      <c r="N751" s="5" t="s">
        <v>36</v>
      </c>
      <c r="O751" s="5">
        <v>1</v>
      </c>
      <c r="P751" s="5" t="s">
        <v>43</v>
      </c>
      <c r="Q751" s="5">
        <v>12.99</v>
      </c>
      <c r="R751" s="5"/>
      <c r="S751" s="5"/>
      <c r="T751" s="5"/>
      <c r="U751" s="5"/>
      <c r="V751" s="5"/>
      <c r="W751" s="5"/>
      <c r="X751" s="5"/>
      <c r="Y751" s="5" t="s">
        <v>3640</v>
      </c>
      <c r="Z751" s="5" t="s">
        <v>3641</v>
      </c>
      <c r="AA751" s="5">
        <v>11358</v>
      </c>
      <c r="AB751" s="5" t="s">
        <v>46</v>
      </c>
      <c r="AC751" s="5"/>
      <c r="AD751" s="5" t="b">
        <v>0</v>
      </c>
      <c r="AE751" s="5"/>
      <c r="AF751" s="5"/>
      <c r="AG751" s="9">
        <f t="shared" si="11"/>
        <v>43276</v>
      </c>
    </row>
    <row r="752" s="6" customFormat="1" spans="1:33">
      <c r="A752" s="5" t="s">
        <v>3642</v>
      </c>
      <c r="B752" s="5" t="s">
        <v>3642</v>
      </c>
      <c r="C752" s="5" t="s">
        <v>3643</v>
      </c>
      <c r="D752" s="5" t="s">
        <v>3644</v>
      </c>
      <c r="E752" s="5" t="s">
        <v>36</v>
      </c>
      <c r="F752" s="5" t="s">
        <v>37</v>
      </c>
      <c r="G752" s="5" t="s">
        <v>38</v>
      </c>
      <c r="H752" s="5"/>
      <c r="I752" s="5"/>
      <c r="J752" s="5" t="s">
        <v>39</v>
      </c>
      <c r="K752" s="5" t="s">
        <v>3645</v>
      </c>
      <c r="L752" s="5" t="s">
        <v>51</v>
      </c>
      <c r="M752" s="5" t="s">
        <v>52</v>
      </c>
      <c r="N752" s="5" t="s">
        <v>36</v>
      </c>
      <c r="O752" s="5">
        <v>1</v>
      </c>
      <c r="P752" s="5" t="s">
        <v>43</v>
      </c>
      <c r="Q752" s="5">
        <v>18.99</v>
      </c>
      <c r="R752" s="5"/>
      <c r="S752" s="5"/>
      <c r="T752" s="5"/>
      <c r="U752" s="5"/>
      <c r="V752" s="5"/>
      <c r="W752" s="5"/>
      <c r="X752" s="5"/>
      <c r="Y752" s="5" t="s">
        <v>3646</v>
      </c>
      <c r="Z752" s="5" t="s">
        <v>247</v>
      </c>
      <c r="AA752" s="5" t="s">
        <v>3647</v>
      </c>
      <c r="AB752" s="5" t="s">
        <v>46</v>
      </c>
      <c r="AC752" s="5"/>
      <c r="AD752" s="5" t="b">
        <v>0</v>
      </c>
      <c r="AE752" s="5"/>
      <c r="AF752" s="5"/>
      <c r="AG752" s="9">
        <f t="shared" si="11"/>
        <v>43277</v>
      </c>
    </row>
    <row r="753" s="6" customFormat="1" spans="1:33">
      <c r="A753" s="5" t="s">
        <v>3648</v>
      </c>
      <c r="B753" s="5" t="s">
        <v>3648</v>
      </c>
      <c r="C753" s="5" t="s">
        <v>3649</v>
      </c>
      <c r="D753" s="5" t="s">
        <v>3650</v>
      </c>
      <c r="E753" s="5" t="s">
        <v>36</v>
      </c>
      <c r="F753" s="5" t="s">
        <v>37</v>
      </c>
      <c r="G753" s="5" t="s">
        <v>38</v>
      </c>
      <c r="H753" s="5"/>
      <c r="I753" s="5"/>
      <c r="J753" s="5" t="s">
        <v>39</v>
      </c>
      <c r="K753" s="5" t="s">
        <v>3651</v>
      </c>
      <c r="L753" s="5" t="s">
        <v>3652</v>
      </c>
      <c r="M753" s="5" t="s">
        <v>3653</v>
      </c>
      <c r="N753" s="5" t="s">
        <v>36</v>
      </c>
      <c r="O753" s="5">
        <v>1</v>
      </c>
      <c r="P753" s="5" t="s">
        <v>43</v>
      </c>
      <c r="Q753" s="5">
        <v>35.99</v>
      </c>
      <c r="R753" s="5"/>
      <c r="S753" s="5"/>
      <c r="T753" s="5"/>
      <c r="U753" s="5"/>
      <c r="V753" s="5"/>
      <c r="W753" s="5"/>
      <c r="X753" s="5"/>
      <c r="Y753" s="5" t="s">
        <v>3654</v>
      </c>
      <c r="Z753" s="5" t="s">
        <v>1023</v>
      </c>
      <c r="AA753" s="5" t="s">
        <v>3655</v>
      </c>
      <c r="AB753" s="5" t="s">
        <v>46</v>
      </c>
      <c r="AC753" s="5"/>
      <c r="AD753" s="5" t="b">
        <v>0</v>
      </c>
      <c r="AE753" s="5"/>
      <c r="AF753" s="5"/>
      <c r="AG753" s="9">
        <f t="shared" si="11"/>
        <v>43277</v>
      </c>
    </row>
    <row r="754" s="6" customFormat="1" spans="1:33">
      <c r="A754" s="5" t="s">
        <v>3656</v>
      </c>
      <c r="B754" s="5" t="s">
        <v>3656</v>
      </c>
      <c r="C754" s="5" t="s">
        <v>3657</v>
      </c>
      <c r="D754" s="5" t="s">
        <v>3658</v>
      </c>
      <c r="E754" s="5" t="s">
        <v>36</v>
      </c>
      <c r="F754" s="5" t="s">
        <v>37</v>
      </c>
      <c r="G754" s="5" t="s">
        <v>38</v>
      </c>
      <c r="H754" s="5"/>
      <c r="I754" s="5"/>
      <c r="J754" s="5" t="s">
        <v>39</v>
      </c>
      <c r="K754" s="5" t="s">
        <v>866</v>
      </c>
      <c r="L754" s="5" t="s">
        <v>867</v>
      </c>
      <c r="M754" s="5" t="s">
        <v>868</v>
      </c>
      <c r="N754" s="5" t="s">
        <v>36</v>
      </c>
      <c r="O754" s="5">
        <v>1</v>
      </c>
      <c r="P754" s="5" t="s">
        <v>43</v>
      </c>
      <c r="Q754" s="5">
        <v>18.98</v>
      </c>
      <c r="R754" s="5"/>
      <c r="S754" s="5"/>
      <c r="T754" s="5"/>
      <c r="U754" s="5"/>
      <c r="V754" s="5"/>
      <c r="W754" s="5"/>
      <c r="X754" s="5"/>
      <c r="Y754" s="5" t="s">
        <v>3659</v>
      </c>
      <c r="Z754" s="5" t="s">
        <v>335</v>
      </c>
      <c r="AA754" s="5" t="s">
        <v>3660</v>
      </c>
      <c r="AB754" s="5" t="s">
        <v>46</v>
      </c>
      <c r="AC754" s="5"/>
      <c r="AD754" s="5" t="b">
        <v>0</v>
      </c>
      <c r="AE754" s="5"/>
      <c r="AF754" s="5"/>
      <c r="AG754" s="9">
        <f t="shared" si="11"/>
        <v>43277</v>
      </c>
    </row>
    <row r="755" s="6" customFormat="1" spans="1:33">
      <c r="A755" s="5" t="s">
        <v>3661</v>
      </c>
      <c r="B755" s="5" t="s">
        <v>3661</v>
      </c>
      <c r="C755" s="5" t="s">
        <v>3662</v>
      </c>
      <c r="D755" s="5" t="s">
        <v>3663</v>
      </c>
      <c r="E755" s="5" t="s">
        <v>36</v>
      </c>
      <c r="F755" s="5" t="s">
        <v>37</v>
      </c>
      <c r="G755" s="5" t="s">
        <v>38</v>
      </c>
      <c r="H755" s="5"/>
      <c r="I755" s="5"/>
      <c r="J755" s="5" t="s">
        <v>39</v>
      </c>
      <c r="K755" s="5" t="s">
        <v>587</v>
      </c>
      <c r="L755" s="5" t="s">
        <v>588</v>
      </c>
      <c r="M755" s="5" t="s">
        <v>589</v>
      </c>
      <c r="N755" s="5" t="s">
        <v>36</v>
      </c>
      <c r="O755" s="5">
        <v>1</v>
      </c>
      <c r="P755" s="5" t="s">
        <v>43</v>
      </c>
      <c r="Q755" s="5">
        <v>18.99</v>
      </c>
      <c r="R755" s="5"/>
      <c r="S755" s="5"/>
      <c r="T755" s="5"/>
      <c r="U755" s="5"/>
      <c r="V755" s="5"/>
      <c r="W755" s="5"/>
      <c r="X755" s="5"/>
      <c r="Y755" s="5" t="s">
        <v>150</v>
      </c>
      <c r="Z755" s="5" t="s">
        <v>151</v>
      </c>
      <c r="AA755" s="5" t="s">
        <v>3664</v>
      </c>
      <c r="AB755" s="5" t="s">
        <v>46</v>
      </c>
      <c r="AC755" s="5"/>
      <c r="AD755" s="5" t="b">
        <v>0</v>
      </c>
      <c r="AE755" s="5"/>
      <c r="AF755" s="5"/>
      <c r="AG755" s="9">
        <f t="shared" si="11"/>
        <v>43277</v>
      </c>
    </row>
    <row r="756" s="6" customFormat="1" spans="1:33">
      <c r="A756" s="5" t="s">
        <v>3665</v>
      </c>
      <c r="B756" s="5" t="s">
        <v>3665</v>
      </c>
      <c r="C756" s="5" t="s">
        <v>3666</v>
      </c>
      <c r="D756" s="5" t="s">
        <v>3667</v>
      </c>
      <c r="E756" s="5" t="s">
        <v>36</v>
      </c>
      <c r="F756" s="5" t="s">
        <v>37</v>
      </c>
      <c r="G756" s="5" t="s">
        <v>38</v>
      </c>
      <c r="H756" s="5"/>
      <c r="I756" s="5"/>
      <c r="J756" s="5" t="s">
        <v>39</v>
      </c>
      <c r="K756" s="5" t="s">
        <v>3668</v>
      </c>
      <c r="L756" s="5" t="s">
        <v>578</v>
      </c>
      <c r="M756" s="5" t="s">
        <v>572</v>
      </c>
      <c r="N756" s="5" t="s">
        <v>36</v>
      </c>
      <c r="O756" s="5">
        <v>1</v>
      </c>
      <c r="P756" s="5" t="s">
        <v>43</v>
      </c>
      <c r="Q756" s="5">
        <v>24.99</v>
      </c>
      <c r="R756" s="5"/>
      <c r="S756" s="5"/>
      <c r="T756" s="5"/>
      <c r="U756" s="5"/>
      <c r="V756" s="5"/>
      <c r="W756" s="5"/>
      <c r="X756" s="5"/>
      <c r="Y756" s="5" t="s">
        <v>1580</v>
      </c>
      <c r="Z756" s="5" t="s">
        <v>151</v>
      </c>
      <c r="AA756" s="5">
        <v>11510</v>
      </c>
      <c r="AB756" s="5" t="s">
        <v>46</v>
      </c>
      <c r="AC756" s="5"/>
      <c r="AD756" s="5" t="b">
        <v>0</v>
      </c>
      <c r="AE756" s="5"/>
      <c r="AF756" s="5"/>
      <c r="AG756" s="9">
        <f t="shared" si="11"/>
        <v>43277</v>
      </c>
    </row>
    <row r="757" s="6" customFormat="1" spans="1:33">
      <c r="A757" s="5" t="s">
        <v>3669</v>
      </c>
      <c r="B757" s="5" t="s">
        <v>3669</v>
      </c>
      <c r="C757" s="5" t="s">
        <v>3670</v>
      </c>
      <c r="D757" s="5" t="s">
        <v>3671</v>
      </c>
      <c r="E757" s="5" t="s">
        <v>36</v>
      </c>
      <c r="F757" s="5" t="s">
        <v>37</v>
      </c>
      <c r="G757" s="5" t="s">
        <v>38</v>
      </c>
      <c r="H757" s="5"/>
      <c r="I757" s="5"/>
      <c r="J757" s="5" t="s">
        <v>128</v>
      </c>
      <c r="K757" s="5" t="s">
        <v>3672</v>
      </c>
      <c r="L757" s="5" t="s">
        <v>3673</v>
      </c>
      <c r="M757" s="5" t="s">
        <v>3674</v>
      </c>
      <c r="N757" s="5" t="s">
        <v>36</v>
      </c>
      <c r="O757" s="5">
        <v>1</v>
      </c>
      <c r="P757" s="5" t="s">
        <v>43</v>
      </c>
      <c r="Q757" s="5">
        <v>12</v>
      </c>
      <c r="R757" s="5"/>
      <c r="S757" s="5"/>
      <c r="T757" s="5"/>
      <c r="U757" s="5"/>
      <c r="V757" s="5"/>
      <c r="W757" s="5"/>
      <c r="X757" s="5"/>
      <c r="Y757" s="5" t="s">
        <v>3675</v>
      </c>
      <c r="Z757" s="5" t="s">
        <v>3367</v>
      </c>
      <c r="AA757" s="5">
        <v>49948</v>
      </c>
      <c r="AB757" s="5" t="s">
        <v>46</v>
      </c>
      <c r="AC757" s="5"/>
      <c r="AD757" s="5" t="b">
        <v>0</v>
      </c>
      <c r="AE757" s="5"/>
      <c r="AF757" s="5"/>
      <c r="AG757" s="9">
        <f t="shared" si="11"/>
        <v>43277</v>
      </c>
    </row>
    <row r="758" s="6" customFormat="1" spans="1:33">
      <c r="A758" s="5" t="s">
        <v>3676</v>
      </c>
      <c r="B758" s="5" t="s">
        <v>3676</v>
      </c>
      <c r="C758" s="5" t="s">
        <v>3677</v>
      </c>
      <c r="D758" s="5" t="s">
        <v>3678</v>
      </c>
      <c r="E758" s="5" t="s">
        <v>36</v>
      </c>
      <c r="F758" s="5" t="s">
        <v>37</v>
      </c>
      <c r="G758" s="5" t="s">
        <v>38</v>
      </c>
      <c r="H758" s="5"/>
      <c r="I758" s="5"/>
      <c r="J758" s="5" t="s">
        <v>128</v>
      </c>
      <c r="K758" s="5" t="s">
        <v>3679</v>
      </c>
      <c r="L758" s="5" t="s">
        <v>1292</v>
      </c>
      <c r="M758" s="5" t="s">
        <v>1293</v>
      </c>
      <c r="N758" s="5" t="s">
        <v>36</v>
      </c>
      <c r="O758" s="5">
        <v>1</v>
      </c>
      <c r="P758" s="5" t="s">
        <v>43</v>
      </c>
      <c r="Q758" s="5">
        <v>12.99</v>
      </c>
      <c r="R758" s="5">
        <v>0.78</v>
      </c>
      <c r="S758" s="5">
        <v>2.49</v>
      </c>
      <c r="T758" s="5">
        <v>0.15</v>
      </c>
      <c r="U758" s="5"/>
      <c r="V758" s="5"/>
      <c r="W758" s="5"/>
      <c r="X758" s="5"/>
      <c r="Y758" s="5" t="s">
        <v>3220</v>
      </c>
      <c r="Z758" s="5" t="s">
        <v>255</v>
      </c>
      <c r="AA758" s="5" t="s">
        <v>3680</v>
      </c>
      <c r="AB758" s="5" t="s">
        <v>46</v>
      </c>
      <c r="AC758" s="5"/>
      <c r="AD758" s="5" t="b">
        <v>0</v>
      </c>
      <c r="AE758" s="5"/>
      <c r="AF758" s="5"/>
      <c r="AG758" s="9">
        <f t="shared" si="11"/>
        <v>43277</v>
      </c>
    </row>
    <row r="759" s="6" customFormat="1" spans="1:33">
      <c r="A759" s="5" t="s">
        <v>3681</v>
      </c>
      <c r="B759" s="5" t="s">
        <v>3681</v>
      </c>
      <c r="C759" s="5" t="s">
        <v>3682</v>
      </c>
      <c r="D759" s="5" t="s">
        <v>3683</v>
      </c>
      <c r="E759" s="5" t="s">
        <v>36</v>
      </c>
      <c r="F759" s="5" t="s">
        <v>37</v>
      </c>
      <c r="G759" s="5" t="s">
        <v>38</v>
      </c>
      <c r="H759" s="5"/>
      <c r="I759" s="5"/>
      <c r="J759" s="5" t="s">
        <v>39</v>
      </c>
      <c r="K759" s="5" t="s">
        <v>3645</v>
      </c>
      <c r="L759" s="5" t="s">
        <v>51</v>
      </c>
      <c r="M759" s="5" t="s">
        <v>52</v>
      </c>
      <c r="N759" s="5" t="s">
        <v>36</v>
      </c>
      <c r="O759" s="5">
        <v>1</v>
      </c>
      <c r="P759" s="5" t="s">
        <v>43</v>
      </c>
      <c r="Q759" s="5">
        <v>18.99</v>
      </c>
      <c r="R759" s="5"/>
      <c r="S759" s="5"/>
      <c r="T759" s="5"/>
      <c r="U759" s="5"/>
      <c r="V759" s="5"/>
      <c r="W759" s="5"/>
      <c r="X759" s="5"/>
      <c r="Y759" s="5" t="s">
        <v>3684</v>
      </c>
      <c r="Z759" s="5" t="s">
        <v>732</v>
      </c>
      <c r="AA759" s="5" t="s">
        <v>3685</v>
      </c>
      <c r="AB759" s="5" t="s">
        <v>46</v>
      </c>
      <c r="AC759" s="5"/>
      <c r="AD759" s="5" t="b">
        <v>0</v>
      </c>
      <c r="AE759" s="5"/>
      <c r="AF759" s="5"/>
      <c r="AG759" s="9">
        <f t="shared" si="11"/>
        <v>43277</v>
      </c>
    </row>
    <row r="760" s="6" customFormat="1" spans="1:33">
      <c r="A760" s="5" t="s">
        <v>3686</v>
      </c>
      <c r="B760" s="5" t="s">
        <v>3686</v>
      </c>
      <c r="C760" s="5" t="s">
        <v>3687</v>
      </c>
      <c r="D760" s="5" t="s">
        <v>3688</v>
      </c>
      <c r="E760" s="5" t="s">
        <v>36</v>
      </c>
      <c r="F760" s="5" t="s">
        <v>37</v>
      </c>
      <c r="G760" s="5" t="s">
        <v>38</v>
      </c>
      <c r="H760" s="5"/>
      <c r="I760" s="5"/>
      <c r="J760" s="5" t="s">
        <v>39</v>
      </c>
      <c r="K760" s="5" t="s">
        <v>587</v>
      </c>
      <c r="L760" s="5" t="s">
        <v>588</v>
      </c>
      <c r="M760" s="5" t="s">
        <v>589</v>
      </c>
      <c r="N760" s="5" t="s">
        <v>36</v>
      </c>
      <c r="O760" s="5">
        <v>1</v>
      </c>
      <c r="P760" s="5" t="s">
        <v>43</v>
      </c>
      <c r="Q760" s="5">
        <v>18.99</v>
      </c>
      <c r="R760" s="5"/>
      <c r="S760" s="5"/>
      <c r="T760" s="5"/>
      <c r="U760" s="5"/>
      <c r="V760" s="5"/>
      <c r="W760" s="5"/>
      <c r="X760" s="5"/>
      <c r="Y760" s="5" t="s">
        <v>3689</v>
      </c>
      <c r="Z760" s="5" t="s">
        <v>54</v>
      </c>
      <c r="AA760" s="5" t="s">
        <v>3690</v>
      </c>
      <c r="AB760" s="5" t="s">
        <v>46</v>
      </c>
      <c r="AC760" s="5"/>
      <c r="AD760" s="5" t="b">
        <v>0</v>
      </c>
      <c r="AE760" s="5"/>
      <c r="AF760" s="5"/>
      <c r="AG760" s="9">
        <f t="shared" si="11"/>
        <v>43277</v>
      </c>
    </row>
    <row r="761" s="6" customFormat="1" spans="1:33">
      <c r="A761" s="5" t="s">
        <v>3691</v>
      </c>
      <c r="B761" s="5" t="s">
        <v>3691</v>
      </c>
      <c r="C761" s="5" t="s">
        <v>3692</v>
      </c>
      <c r="D761" s="5" t="s">
        <v>3693</v>
      </c>
      <c r="E761" s="5" t="s">
        <v>36</v>
      </c>
      <c r="F761" s="5" t="s">
        <v>37</v>
      </c>
      <c r="G761" s="5" t="s">
        <v>38</v>
      </c>
      <c r="H761" s="5"/>
      <c r="I761" s="5"/>
      <c r="J761" s="5" t="s">
        <v>287</v>
      </c>
      <c r="K761" s="5" t="s">
        <v>3645</v>
      </c>
      <c r="L761" s="5" t="s">
        <v>51</v>
      </c>
      <c r="M761" s="5" t="s">
        <v>52</v>
      </c>
      <c r="N761" s="5" t="s">
        <v>36</v>
      </c>
      <c r="O761" s="5">
        <v>1</v>
      </c>
      <c r="P761" s="5" t="s">
        <v>43</v>
      </c>
      <c r="Q761" s="5">
        <v>18.99</v>
      </c>
      <c r="R761" s="5"/>
      <c r="S761" s="5">
        <v>1.5</v>
      </c>
      <c r="T761" s="5"/>
      <c r="U761" s="5"/>
      <c r="V761" s="5"/>
      <c r="W761" s="5"/>
      <c r="X761" s="5">
        <v>1.5</v>
      </c>
      <c r="Y761" s="5" t="s">
        <v>3694</v>
      </c>
      <c r="Z761" s="5" t="s">
        <v>377</v>
      </c>
      <c r="AA761" s="5">
        <v>2493</v>
      </c>
      <c r="AB761" s="5" t="s">
        <v>46</v>
      </c>
      <c r="AC761" s="5"/>
      <c r="AD761" s="5" t="b">
        <v>0</v>
      </c>
      <c r="AE761" s="5"/>
      <c r="AF761" s="5"/>
      <c r="AG761" s="9">
        <f t="shared" si="11"/>
        <v>43277</v>
      </c>
    </row>
    <row r="762" s="6" customFormat="1" spans="1:33">
      <c r="A762" s="5" t="s">
        <v>3695</v>
      </c>
      <c r="B762" s="5" t="s">
        <v>3695</v>
      </c>
      <c r="C762" s="5" t="s">
        <v>3696</v>
      </c>
      <c r="D762" s="5" t="s">
        <v>3697</v>
      </c>
      <c r="E762" s="5" t="s">
        <v>36</v>
      </c>
      <c r="F762" s="5" t="s">
        <v>37</v>
      </c>
      <c r="G762" s="5" t="s">
        <v>38</v>
      </c>
      <c r="H762" s="5"/>
      <c r="I762" s="5"/>
      <c r="J762" s="5" t="s">
        <v>39</v>
      </c>
      <c r="K762" s="5" t="s">
        <v>3645</v>
      </c>
      <c r="L762" s="5" t="s">
        <v>51</v>
      </c>
      <c r="M762" s="5" t="s">
        <v>52</v>
      </c>
      <c r="N762" s="5" t="s">
        <v>36</v>
      </c>
      <c r="O762" s="5">
        <v>1</v>
      </c>
      <c r="P762" s="5" t="s">
        <v>43</v>
      </c>
      <c r="Q762" s="5">
        <v>18.99</v>
      </c>
      <c r="R762" s="5"/>
      <c r="S762" s="5"/>
      <c r="T762" s="5"/>
      <c r="U762" s="5"/>
      <c r="V762" s="5"/>
      <c r="W762" s="5"/>
      <c r="X762" s="5"/>
      <c r="Y762" s="5" t="s">
        <v>3698</v>
      </c>
      <c r="Z762" s="5" t="s">
        <v>247</v>
      </c>
      <c r="AA762" s="5" t="s">
        <v>3699</v>
      </c>
      <c r="AB762" s="5" t="s">
        <v>46</v>
      </c>
      <c r="AC762" s="5"/>
      <c r="AD762" s="5" t="b">
        <v>0</v>
      </c>
      <c r="AE762" s="5"/>
      <c r="AF762" s="5"/>
      <c r="AG762" s="9">
        <f t="shared" si="11"/>
        <v>43277</v>
      </c>
    </row>
    <row r="763" s="6" customFormat="1" spans="1:33">
      <c r="A763" s="5" t="s">
        <v>3700</v>
      </c>
      <c r="B763" s="5" t="s">
        <v>3700</v>
      </c>
      <c r="C763" s="5" t="s">
        <v>3701</v>
      </c>
      <c r="D763" s="5" t="s">
        <v>3702</v>
      </c>
      <c r="E763" s="5" t="s">
        <v>36</v>
      </c>
      <c r="F763" s="5" t="s">
        <v>37</v>
      </c>
      <c r="G763" s="5" t="s">
        <v>38</v>
      </c>
      <c r="H763" s="5"/>
      <c r="I763" s="5"/>
      <c r="J763" s="5" t="s">
        <v>39</v>
      </c>
      <c r="K763" s="5" t="s">
        <v>3703</v>
      </c>
      <c r="L763" s="5" t="s">
        <v>388</v>
      </c>
      <c r="M763" s="5" t="s">
        <v>389</v>
      </c>
      <c r="N763" s="5" t="s">
        <v>36</v>
      </c>
      <c r="O763" s="5">
        <v>1</v>
      </c>
      <c r="P763" s="5" t="s">
        <v>43</v>
      </c>
      <c r="Q763" s="5">
        <v>18.99</v>
      </c>
      <c r="R763" s="5"/>
      <c r="S763" s="5"/>
      <c r="T763" s="5"/>
      <c r="U763" s="5"/>
      <c r="V763" s="5"/>
      <c r="W763" s="5"/>
      <c r="X763" s="5"/>
      <c r="Y763" s="5" t="s">
        <v>3704</v>
      </c>
      <c r="Z763" s="5" t="s">
        <v>606</v>
      </c>
      <c r="AA763" s="5" t="s">
        <v>3705</v>
      </c>
      <c r="AB763" s="5" t="s">
        <v>46</v>
      </c>
      <c r="AC763" s="5"/>
      <c r="AD763" s="5" t="b">
        <v>0</v>
      </c>
      <c r="AE763" s="5"/>
      <c r="AF763" s="5"/>
      <c r="AG763" s="9">
        <f t="shared" si="11"/>
        <v>43277</v>
      </c>
    </row>
    <row r="764" s="6" customFormat="1" spans="1:33">
      <c r="A764" s="5" t="s">
        <v>3706</v>
      </c>
      <c r="B764" s="5" t="s">
        <v>3706</v>
      </c>
      <c r="C764" s="5" t="s">
        <v>3707</v>
      </c>
      <c r="D764" s="5" t="s">
        <v>3708</v>
      </c>
      <c r="E764" s="5" t="s">
        <v>36</v>
      </c>
      <c r="F764" s="5" t="s">
        <v>37</v>
      </c>
      <c r="G764" s="5" t="s">
        <v>38</v>
      </c>
      <c r="H764" s="5"/>
      <c r="I764" s="5"/>
      <c r="J764" s="5" t="s">
        <v>128</v>
      </c>
      <c r="K764" s="5" t="s">
        <v>1763</v>
      </c>
      <c r="L764" s="5" t="s">
        <v>1764</v>
      </c>
      <c r="M764" s="5" t="s">
        <v>1765</v>
      </c>
      <c r="N764" s="5" t="s">
        <v>36</v>
      </c>
      <c r="O764" s="5">
        <v>1</v>
      </c>
      <c r="P764" s="5" t="s">
        <v>43</v>
      </c>
      <c r="Q764" s="5">
        <v>29.99</v>
      </c>
      <c r="R764" s="5"/>
      <c r="S764" s="5">
        <v>5.37</v>
      </c>
      <c r="T764" s="5"/>
      <c r="U764" s="5"/>
      <c r="V764" s="5"/>
      <c r="W764" s="5"/>
      <c r="X764" s="5">
        <v>5.37</v>
      </c>
      <c r="Y764" s="5" t="s">
        <v>3709</v>
      </c>
      <c r="Z764" s="5" t="s">
        <v>105</v>
      </c>
      <c r="AA764" s="5" t="s">
        <v>3710</v>
      </c>
      <c r="AB764" s="5" t="s">
        <v>46</v>
      </c>
      <c r="AC764" s="5" t="s">
        <v>225</v>
      </c>
      <c r="AD764" s="5" t="b">
        <v>0</v>
      </c>
      <c r="AE764" s="5"/>
      <c r="AF764" s="5"/>
      <c r="AG764" s="9">
        <f t="shared" si="11"/>
        <v>43277</v>
      </c>
    </row>
    <row r="765" s="6" customFormat="1" spans="1:33">
      <c r="A765" s="5" t="s">
        <v>3711</v>
      </c>
      <c r="B765" s="5" t="s">
        <v>3711</v>
      </c>
      <c r="C765" s="5" t="s">
        <v>3712</v>
      </c>
      <c r="D765" s="5" t="s">
        <v>3713</v>
      </c>
      <c r="E765" s="5" t="s">
        <v>36</v>
      </c>
      <c r="F765" s="5" t="s">
        <v>37</v>
      </c>
      <c r="G765" s="5" t="s">
        <v>38</v>
      </c>
      <c r="H765" s="5"/>
      <c r="I765" s="5"/>
      <c r="J765" s="5" t="s">
        <v>128</v>
      </c>
      <c r="K765" s="5" t="s">
        <v>3714</v>
      </c>
      <c r="L765" s="5" t="s">
        <v>148</v>
      </c>
      <c r="M765" s="5" t="s">
        <v>149</v>
      </c>
      <c r="N765" s="5" t="s">
        <v>36</v>
      </c>
      <c r="O765" s="5">
        <v>1</v>
      </c>
      <c r="P765" s="5" t="s">
        <v>43</v>
      </c>
      <c r="Q765" s="5">
        <v>12.98</v>
      </c>
      <c r="R765" s="5"/>
      <c r="S765" s="5">
        <v>1.76</v>
      </c>
      <c r="T765" s="5"/>
      <c r="U765" s="5"/>
      <c r="V765" s="5"/>
      <c r="W765" s="5"/>
      <c r="X765" s="5"/>
      <c r="Y765" s="5" t="s">
        <v>1496</v>
      </c>
      <c r="Z765" s="5" t="s">
        <v>142</v>
      </c>
      <c r="AA765" s="5" t="s">
        <v>3715</v>
      </c>
      <c r="AB765" s="5" t="s">
        <v>46</v>
      </c>
      <c r="AC765" s="5"/>
      <c r="AD765" s="5" t="b">
        <v>0</v>
      </c>
      <c r="AE765" s="5"/>
      <c r="AF765" s="5"/>
      <c r="AG765" s="9">
        <f t="shared" si="11"/>
        <v>43277</v>
      </c>
    </row>
    <row r="766" s="6" customFormat="1" spans="1:33">
      <c r="A766" s="5" t="s">
        <v>3716</v>
      </c>
      <c r="B766" s="5" t="s">
        <v>3716</v>
      </c>
      <c r="C766" s="5" t="s">
        <v>3717</v>
      </c>
      <c r="D766" s="5" t="s">
        <v>3718</v>
      </c>
      <c r="E766" s="5" t="s">
        <v>36</v>
      </c>
      <c r="F766" s="5" t="s">
        <v>37</v>
      </c>
      <c r="G766" s="5" t="s">
        <v>38</v>
      </c>
      <c r="H766" s="5"/>
      <c r="I766" s="5"/>
      <c r="J766" s="5" t="s">
        <v>39</v>
      </c>
      <c r="K766" s="5" t="s">
        <v>3719</v>
      </c>
      <c r="L766" s="5" t="s">
        <v>84</v>
      </c>
      <c r="M766" s="5" t="s">
        <v>85</v>
      </c>
      <c r="N766" s="5" t="s">
        <v>36</v>
      </c>
      <c r="O766" s="5">
        <v>1</v>
      </c>
      <c r="P766" s="5" t="s">
        <v>43</v>
      </c>
      <c r="Q766" s="5">
        <v>12.99</v>
      </c>
      <c r="R766" s="5"/>
      <c r="S766" s="5"/>
      <c r="T766" s="5"/>
      <c r="U766" s="5"/>
      <c r="V766" s="5"/>
      <c r="W766" s="5"/>
      <c r="X766" s="5"/>
      <c r="Y766" s="5" t="s">
        <v>3720</v>
      </c>
      <c r="Z766" s="5" t="s">
        <v>130</v>
      </c>
      <c r="AA766" s="5" t="s">
        <v>3721</v>
      </c>
      <c r="AB766" s="5" t="s">
        <v>46</v>
      </c>
      <c r="AC766" s="5"/>
      <c r="AD766" s="5" t="b">
        <v>0</v>
      </c>
      <c r="AE766" s="5"/>
      <c r="AF766" s="5"/>
      <c r="AG766" s="9">
        <f t="shared" si="11"/>
        <v>43277</v>
      </c>
    </row>
    <row r="767" s="6" customFormat="1" spans="1:33">
      <c r="A767" s="5" t="s">
        <v>3722</v>
      </c>
      <c r="B767" s="5" t="s">
        <v>3722</v>
      </c>
      <c r="C767" s="5" t="s">
        <v>3723</v>
      </c>
      <c r="D767" s="5" t="s">
        <v>3724</v>
      </c>
      <c r="E767" s="5" t="s">
        <v>36</v>
      </c>
      <c r="F767" s="5" t="s">
        <v>37</v>
      </c>
      <c r="G767" s="5" t="s">
        <v>38</v>
      </c>
      <c r="H767" s="5"/>
      <c r="I767" s="5"/>
      <c r="J767" s="5" t="s">
        <v>39</v>
      </c>
      <c r="K767" s="5" t="s">
        <v>3703</v>
      </c>
      <c r="L767" s="5" t="s">
        <v>388</v>
      </c>
      <c r="M767" s="5" t="s">
        <v>389</v>
      </c>
      <c r="N767" s="5" t="s">
        <v>36</v>
      </c>
      <c r="O767" s="5">
        <v>1</v>
      </c>
      <c r="P767" s="5" t="s">
        <v>43</v>
      </c>
      <c r="Q767" s="5">
        <v>18.99</v>
      </c>
      <c r="R767" s="5"/>
      <c r="S767" s="5"/>
      <c r="T767" s="5"/>
      <c r="U767" s="5"/>
      <c r="V767" s="5"/>
      <c r="W767" s="5"/>
      <c r="X767" s="5"/>
      <c r="Y767" s="5" t="s">
        <v>86</v>
      </c>
      <c r="Z767" s="5" t="s">
        <v>87</v>
      </c>
      <c r="AA767" s="5" t="s">
        <v>3725</v>
      </c>
      <c r="AB767" s="5" t="s">
        <v>46</v>
      </c>
      <c r="AC767" s="5"/>
      <c r="AD767" s="5" t="b">
        <v>0</v>
      </c>
      <c r="AE767" s="5"/>
      <c r="AF767" s="5"/>
      <c r="AG767" s="9">
        <f t="shared" si="11"/>
        <v>43277</v>
      </c>
    </row>
    <row r="768" s="6" customFormat="1" spans="1:33">
      <c r="A768" s="5" t="s">
        <v>3726</v>
      </c>
      <c r="B768" s="5" t="s">
        <v>3726</v>
      </c>
      <c r="C768" s="5" t="s">
        <v>3727</v>
      </c>
      <c r="D768" s="5" t="s">
        <v>3728</v>
      </c>
      <c r="E768" s="5" t="s">
        <v>36</v>
      </c>
      <c r="F768" s="5" t="s">
        <v>37</v>
      </c>
      <c r="G768" s="5" t="s">
        <v>38</v>
      </c>
      <c r="H768" s="5"/>
      <c r="I768" s="5"/>
      <c r="J768" s="5" t="s">
        <v>39</v>
      </c>
      <c r="K768" s="5" t="s">
        <v>3703</v>
      </c>
      <c r="L768" s="5" t="s">
        <v>388</v>
      </c>
      <c r="M768" s="5" t="s">
        <v>389</v>
      </c>
      <c r="N768" s="5" t="s">
        <v>36</v>
      </c>
      <c r="O768" s="5">
        <v>1</v>
      </c>
      <c r="P768" s="5" t="s">
        <v>43</v>
      </c>
      <c r="Q768" s="5">
        <v>18.99</v>
      </c>
      <c r="R768" s="5"/>
      <c r="S768" s="5"/>
      <c r="T768" s="5"/>
      <c r="U768" s="5"/>
      <c r="V768" s="5"/>
      <c r="W768" s="5"/>
      <c r="X768" s="5"/>
      <c r="Y768" s="5" t="s">
        <v>2664</v>
      </c>
      <c r="Z768" s="5" t="s">
        <v>282</v>
      </c>
      <c r="AA768" s="5" t="s">
        <v>3729</v>
      </c>
      <c r="AB768" s="5" t="s">
        <v>46</v>
      </c>
      <c r="AC768" s="5"/>
      <c r="AD768" s="5" t="b">
        <v>0</v>
      </c>
      <c r="AE768" s="5"/>
      <c r="AF768" s="5"/>
      <c r="AG768" s="9">
        <f t="shared" si="11"/>
        <v>43277</v>
      </c>
    </row>
    <row r="769" s="6" customFormat="1" spans="1:33">
      <c r="A769" s="5" t="s">
        <v>3730</v>
      </c>
      <c r="B769" s="5" t="s">
        <v>3730</v>
      </c>
      <c r="C769" s="5" t="s">
        <v>3731</v>
      </c>
      <c r="D769" s="5" t="s">
        <v>3732</v>
      </c>
      <c r="E769" s="5" t="s">
        <v>36</v>
      </c>
      <c r="F769" s="5" t="s">
        <v>37</v>
      </c>
      <c r="G769" s="5" t="s">
        <v>38</v>
      </c>
      <c r="H769" s="5"/>
      <c r="I769" s="5"/>
      <c r="J769" s="5" t="s">
        <v>39</v>
      </c>
      <c r="K769" s="5" t="s">
        <v>3714</v>
      </c>
      <c r="L769" s="5" t="s">
        <v>148</v>
      </c>
      <c r="M769" s="5" t="s">
        <v>149</v>
      </c>
      <c r="N769" s="5" t="s">
        <v>36</v>
      </c>
      <c r="O769" s="5">
        <v>1</v>
      </c>
      <c r="P769" s="5" t="s">
        <v>43</v>
      </c>
      <c r="Q769" s="5">
        <v>12.98</v>
      </c>
      <c r="R769" s="5">
        <v>0.78</v>
      </c>
      <c r="S769" s="5"/>
      <c r="T769" s="5"/>
      <c r="U769" s="5"/>
      <c r="V769" s="5"/>
      <c r="W769" s="5"/>
      <c r="X769" s="5"/>
      <c r="Y769" s="5" t="s">
        <v>3733</v>
      </c>
      <c r="Z769" s="5" t="s">
        <v>255</v>
      </c>
      <c r="AA769" s="5" t="s">
        <v>3734</v>
      </c>
      <c r="AB769" s="5" t="s">
        <v>46</v>
      </c>
      <c r="AC769" s="5"/>
      <c r="AD769" s="5" t="b">
        <v>0</v>
      </c>
      <c r="AE769" s="5"/>
      <c r="AF769" s="5"/>
      <c r="AG769" s="9">
        <f t="shared" si="11"/>
        <v>43277</v>
      </c>
    </row>
    <row r="770" s="6" customFormat="1" spans="1:33">
      <c r="A770" s="5" t="s">
        <v>3735</v>
      </c>
      <c r="B770" s="5" t="s">
        <v>3735</v>
      </c>
      <c r="C770" s="5" t="s">
        <v>3736</v>
      </c>
      <c r="D770" s="5" t="s">
        <v>3737</v>
      </c>
      <c r="E770" s="5" t="s">
        <v>36</v>
      </c>
      <c r="F770" s="5" t="s">
        <v>37</v>
      </c>
      <c r="G770" s="5" t="s">
        <v>38</v>
      </c>
      <c r="H770" s="5"/>
      <c r="I770" s="5"/>
      <c r="J770" s="5" t="s">
        <v>39</v>
      </c>
      <c r="K770" s="5" t="s">
        <v>325</v>
      </c>
      <c r="L770" s="5" t="s">
        <v>326</v>
      </c>
      <c r="M770" s="5" t="s">
        <v>327</v>
      </c>
      <c r="N770" s="5" t="s">
        <v>36</v>
      </c>
      <c r="O770" s="5">
        <v>1</v>
      </c>
      <c r="P770" s="5" t="s">
        <v>43</v>
      </c>
      <c r="Q770" s="5">
        <v>10</v>
      </c>
      <c r="R770" s="5"/>
      <c r="S770" s="5"/>
      <c r="T770" s="5"/>
      <c r="U770" s="5"/>
      <c r="V770" s="5"/>
      <c r="W770" s="5"/>
      <c r="X770" s="5"/>
      <c r="Y770" s="5" t="s">
        <v>1985</v>
      </c>
      <c r="Z770" s="5" t="s">
        <v>247</v>
      </c>
      <c r="AA770" s="5" t="s">
        <v>1986</v>
      </c>
      <c r="AB770" s="5" t="s">
        <v>46</v>
      </c>
      <c r="AC770" s="5"/>
      <c r="AD770" s="5" t="b">
        <v>0</v>
      </c>
      <c r="AE770" s="5"/>
      <c r="AF770" s="5"/>
      <c r="AG770" s="9">
        <f t="shared" ref="AG770:AG833" si="12">DATEVALUE(LEFT(C770,10))</f>
        <v>43277</v>
      </c>
    </row>
    <row r="771" s="6" customFormat="1" spans="1:33">
      <c r="A771" s="5" t="s">
        <v>3738</v>
      </c>
      <c r="B771" s="5" t="s">
        <v>3738</v>
      </c>
      <c r="C771" s="5" t="s">
        <v>3739</v>
      </c>
      <c r="D771" s="5" t="s">
        <v>3740</v>
      </c>
      <c r="E771" s="5" t="s">
        <v>36</v>
      </c>
      <c r="F771" s="5" t="s">
        <v>37</v>
      </c>
      <c r="G771" s="5" t="s">
        <v>38</v>
      </c>
      <c r="H771" s="5"/>
      <c r="I771" s="5"/>
      <c r="J771" s="5" t="s">
        <v>39</v>
      </c>
      <c r="K771" s="5" t="s">
        <v>58</v>
      </c>
      <c r="L771" s="5" t="s">
        <v>59</v>
      </c>
      <c r="M771" s="5" t="s">
        <v>60</v>
      </c>
      <c r="N771" s="5" t="s">
        <v>36</v>
      </c>
      <c r="O771" s="5">
        <v>1</v>
      </c>
      <c r="P771" s="5" t="s">
        <v>43</v>
      </c>
      <c r="Q771" s="5">
        <v>13.99</v>
      </c>
      <c r="R771" s="5"/>
      <c r="S771" s="5"/>
      <c r="T771" s="5"/>
      <c r="U771" s="5"/>
      <c r="V771" s="5"/>
      <c r="W771" s="5"/>
      <c r="X771" s="5"/>
      <c r="Y771" s="5" t="s">
        <v>3741</v>
      </c>
      <c r="Z771" s="5" t="s">
        <v>1212</v>
      </c>
      <c r="AA771" s="5">
        <v>83101</v>
      </c>
      <c r="AB771" s="5" t="s">
        <v>46</v>
      </c>
      <c r="AC771" s="5"/>
      <c r="AD771" s="5" t="b">
        <v>0</v>
      </c>
      <c r="AE771" s="5"/>
      <c r="AF771" s="5"/>
      <c r="AG771" s="9">
        <f t="shared" si="12"/>
        <v>43277</v>
      </c>
    </row>
    <row r="772" s="6" customFormat="1" spans="1:33">
      <c r="A772" s="5" t="s">
        <v>3742</v>
      </c>
      <c r="B772" s="5" t="s">
        <v>3742</v>
      </c>
      <c r="C772" s="5" t="s">
        <v>3743</v>
      </c>
      <c r="D772" s="5" t="s">
        <v>3744</v>
      </c>
      <c r="E772" s="5" t="s">
        <v>36</v>
      </c>
      <c r="F772" s="5" t="s">
        <v>37</v>
      </c>
      <c r="G772" s="5" t="s">
        <v>38</v>
      </c>
      <c r="H772" s="5"/>
      <c r="I772" s="5"/>
      <c r="J772" s="5" t="s">
        <v>39</v>
      </c>
      <c r="K772" s="5" t="s">
        <v>3745</v>
      </c>
      <c r="L772" s="5" t="s">
        <v>202</v>
      </c>
      <c r="M772" s="5" t="s">
        <v>203</v>
      </c>
      <c r="N772" s="5" t="s">
        <v>36</v>
      </c>
      <c r="O772" s="5">
        <v>1</v>
      </c>
      <c r="P772" s="5" t="s">
        <v>43</v>
      </c>
      <c r="Q772" s="5">
        <v>18.99</v>
      </c>
      <c r="R772" s="5"/>
      <c r="S772" s="5"/>
      <c r="T772" s="5"/>
      <c r="U772" s="5"/>
      <c r="V772" s="5"/>
      <c r="W772" s="5">
        <v>0.95</v>
      </c>
      <c r="X772" s="5"/>
      <c r="Y772" s="5" t="s">
        <v>3746</v>
      </c>
      <c r="Z772" s="5" t="s">
        <v>3088</v>
      </c>
      <c r="AA772" s="5">
        <v>22213</v>
      </c>
      <c r="AB772" s="5" t="s">
        <v>46</v>
      </c>
      <c r="AC772" s="5" t="s">
        <v>115</v>
      </c>
      <c r="AD772" s="5" t="b">
        <v>0</v>
      </c>
      <c r="AE772" s="5"/>
      <c r="AF772" s="5"/>
      <c r="AG772" s="9">
        <f t="shared" si="12"/>
        <v>43277</v>
      </c>
    </row>
    <row r="773" s="6" customFormat="1" spans="1:33">
      <c r="A773" s="5" t="s">
        <v>3747</v>
      </c>
      <c r="B773" s="5" t="s">
        <v>3747</v>
      </c>
      <c r="C773" s="5" t="s">
        <v>3743</v>
      </c>
      <c r="D773" s="5" t="s">
        <v>3748</v>
      </c>
      <c r="E773" s="5" t="s">
        <v>36</v>
      </c>
      <c r="F773" s="5" t="s">
        <v>37</v>
      </c>
      <c r="G773" s="5" t="s">
        <v>38</v>
      </c>
      <c r="H773" s="5"/>
      <c r="I773" s="5"/>
      <c r="J773" s="5" t="s">
        <v>287</v>
      </c>
      <c r="K773" s="5" t="s">
        <v>3714</v>
      </c>
      <c r="L773" s="5" t="s">
        <v>148</v>
      </c>
      <c r="M773" s="5" t="s">
        <v>149</v>
      </c>
      <c r="N773" s="5" t="s">
        <v>36</v>
      </c>
      <c r="O773" s="5">
        <v>1</v>
      </c>
      <c r="P773" s="5" t="s">
        <v>43</v>
      </c>
      <c r="Q773" s="5">
        <v>12.98</v>
      </c>
      <c r="R773" s="5"/>
      <c r="S773" s="5">
        <v>3.99</v>
      </c>
      <c r="T773" s="5"/>
      <c r="U773" s="5"/>
      <c r="V773" s="5"/>
      <c r="W773" s="5">
        <v>0.65</v>
      </c>
      <c r="X773" s="5">
        <v>3.99</v>
      </c>
      <c r="Y773" s="5" t="s">
        <v>3746</v>
      </c>
      <c r="Z773" s="5" t="s">
        <v>3088</v>
      </c>
      <c r="AA773" s="5">
        <v>22213</v>
      </c>
      <c r="AB773" s="5" t="s">
        <v>46</v>
      </c>
      <c r="AC773" s="5" t="s">
        <v>115</v>
      </c>
      <c r="AD773" s="5" t="b">
        <v>0</v>
      </c>
      <c r="AE773" s="5"/>
      <c r="AF773" s="5"/>
      <c r="AG773" s="9">
        <f t="shared" si="12"/>
        <v>43277</v>
      </c>
    </row>
    <row r="774" s="6" customFormat="1" spans="1:33">
      <c r="A774" s="5" t="s">
        <v>3749</v>
      </c>
      <c r="B774" s="5" t="s">
        <v>3749</v>
      </c>
      <c r="C774" s="5" t="s">
        <v>3750</v>
      </c>
      <c r="D774" s="5" t="s">
        <v>3751</v>
      </c>
      <c r="E774" s="5" t="s">
        <v>36</v>
      </c>
      <c r="F774" s="5" t="s">
        <v>37</v>
      </c>
      <c r="G774" s="5" t="s">
        <v>38</v>
      </c>
      <c r="H774" s="5"/>
      <c r="I774" s="5"/>
      <c r="J774" s="5" t="s">
        <v>39</v>
      </c>
      <c r="K774" s="5" t="s">
        <v>3752</v>
      </c>
      <c r="L774" s="5" t="s">
        <v>244</v>
      </c>
      <c r="M774" s="5" t="s">
        <v>245</v>
      </c>
      <c r="N774" s="5" t="s">
        <v>36</v>
      </c>
      <c r="O774" s="5">
        <v>1</v>
      </c>
      <c r="P774" s="5" t="s">
        <v>43</v>
      </c>
      <c r="Q774" s="5">
        <v>18.99</v>
      </c>
      <c r="R774" s="5"/>
      <c r="S774" s="5"/>
      <c r="T774" s="5"/>
      <c r="U774" s="5"/>
      <c r="V774" s="5"/>
      <c r="W774" s="5"/>
      <c r="X774" s="5"/>
      <c r="Y774" s="5" t="s">
        <v>368</v>
      </c>
      <c r="Z774" s="5" t="s">
        <v>282</v>
      </c>
      <c r="AA774" s="5" t="s">
        <v>3753</v>
      </c>
      <c r="AB774" s="5" t="s">
        <v>46</v>
      </c>
      <c r="AC774" s="5"/>
      <c r="AD774" s="5" t="b">
        <v>0</v>
      </c>
      <c r="AE774" s="5"/>
      <c r="AF774" s="5"/>
      <c r="AG774" s="9">
        <f t="shared" si="12"/>
        <v>43277</v>
      </c>
    </row>
    <row r="775" s="6" customFormat="1" spans="1:33">
      <c r="A775" s="5" t="s">
        <v>3754</v>
      </c>
      <c r="B775" s="5" t="s">
        <v>3754</v>
      </c>
      <c r="C775" s="5" t="s">
        <v>3755</v>
      </c>
      <c r="D775" s="5" t="s">
        <v>3756</v>
      </c>
      <c r="E775" s="5" t="s">
        <v>36</v>
      </c>
      <c r="F775" s="5" t="s">
        <v>37</v>
      </c>
      <c r="G775" s="5" t="s">
        <v>38</v>
      </c>
      <c r="H775" s="5"/>
      <c r="I775" s="5"/>
      <c r="J775" s="5" t="s">
        <v>156</v>
      </c>
      <c r="K775" s="5" t="s">
        <v>1999</v>
      </c>
      <c r="L775" s="5" t="s">
        <v>2000</v>
      </c>
      <c r="M775" s="5" t="s">
        <v>2001</v>
      </c>
      <c r="N775" s="5" t="s">
        <v>36</v>
      </c>
      <c r="O775" s="5">
        <v>1</v>
      </c>
      <c r="P775" s="5" t="s">
        <v>43</v>
      </c>
      <c r="Q775" s="5">
        <v>18.99</v>
      </c>
      <c r="R775" s="5"/>
      <c r="S775" s="5">
        <v>3.99</v>
      </c>
      <c r="T775" s="5"/>
      <c r="U775" s="5"/>
      <c r="V775" s="5"/>
      <c r="W775" s="5"/>
      <c r="X775" s="5"/>
      <c r="Y775" s="5" t="s">
        <v>437</v>
      </c>
      <c r="Z775" s="5" t="s">
        <v>151</v>
      </c>
      <c r="AA775" s="5" t="s">
        <v>3757</v>
      </c>
      <c r="AB775" s="5" t="s">
        <v>46</v>
      </c>
      <c r="AC775" s="5"/>
      <c r="AD775" s="5" t="b">
        <v>0</v>
      </c>
      <c r="AE775" s="5"/>
      <c r="AF775" s="5"/>
      <c r="AG775" s="9">
        <f t="shared" si="12"/>
        <v>43277</v>
      </c>
    </row>
    <row r="776" s="6" customFormat="1" spans="1:33">
      <c r="A776" s="5" t="s">
        <v>3758</v>
      </c>
      <c r="B776" s="5" t="s">
        <v>3758</v>
      </c>
      <c r="C776" s="5" t="s">
        <v>3759</v>
      </c>
      <c r="D776" s="5" t="s">
        <v>3760</v>
      </c>
      <c r="E776" s="5" t="s">
        <v>36</v>
      </c>
      <c r="F776" s="5" t="s">
        <v>37</v>
      </c>
      <c r="G776" s="5" t="s">
        <v>38</v>
      </c>
      <c r="H776" s="5"/>
      <c r="I776" s="5"/>
      <c r="J776" s="5" t="s">
        <v>39</v>
      </c>
      <c r="K776" s="5" t="s">
        <v>3679</v>
      </c>
      <c r="L776" s="5" t="s">
        <v>1292</v>
      </c>
      <c r="M776" s="5" t="s">
        <v>1293</v>
      </c>
      <c r="N776" s="5" t="s">
        <v>36</v>
      </c>
      <c r="O776" s="5">
        <v>1</v>
      </c>
      <c r="P776" s="5" t="s">
        <v>43</v>
      </c>
      <c r="Q776" s="5">
        <v>12.99</v>
      </c>
      <c r="R776" s="5"/>
      <c r="S776" s="5"/>
      <c r="T776" s="5"/>
      <c r="U776" s="5"/>
      <c r="V776" s="5"/>
      <c r="W776" s="5"/>
      <c r="X776" s="5"/>
      <c r="Y776" s="5" t="s">
        <v>856</v>
      </c>
      <c r="Z776" s="5" t="s">
        <v>151</v>
      </c>
      <c r="AA776" s="5" t="s">
        <v>3761</v>
      </c>
      <c r="AB776" s="5" t="s">
        <v>46</v>
      </c>
      <c r="AC776" s="5"/>
      <c r="AD776" s="5" t="b">
        <v>0</v>
      </c>
      <c r="AE776" s="5"/>
      <c r="AF776" s="5"/>
      <c r="AG776" s="9">
        <f t="shared" si="12"/>
        <v>43277</v>
      </c>
    </row>
    <row r="777" s="6" customFormat="1" spans="1:33">
      <c r="A777" s="5" t="s">
        <v>3762</v>
      </c>
      <c r="B777" s="5" t="s">
        <v>3762</v>
      </c>
      <c r="C777" s="5" t="s">
        <v>3763</v>
      </c>
      <c r="D777" s="5" t="s">
        <v>3764</v>
      </c>
      <c r="E777" s="5" t="s">
        <v>36</v>
      </c>
      <c r="F777" s="5" t="s">
        <v>37</v>
      </c>
      <c r="G777" s="5" t="s">
        <v>38</v>
      </c>
      <c r="H777" s="5"/>
      <c r="I777" s="5"/>
      <c r="J777" s="5" t="s">
        <v>39</v>
      </c>
      <c r="K777" s="5" t="s">
        <v>67</v>
      </c>
      <c r="L777" s="5" t="s">
        <v>68</v>
      </c>
      <c r="M777" s="5" t="s">
        <v>69</v>
      </c>
      <c r="N777" s="5" t="s">
        <v>36</v>
      </c>
      <c r="O777" s="5">
        <v>1</v>
      </c>
      <c r="P777" s="5" t="s">
        <v>43</v>
      </c>
      <c r="Q777" s="5">
        <v>24.99</v>
      </c>
      <c r="R777" s="5">
        <v>2.17</v>
      </c>
      <c r="S777" s="5"/>
      <c r="T777" s="5"/>
      <c r="U777" s="5"/>
      <c r="V777" s="5"/>
      <c r="W777" s="5"/>
      <c r="X777" s="5"/>
      <c r="Y777" s="5" t="s">
        <v>494</v>
      </c>
      <c r="Z777" s="5" t="s">
        <v>474</v>
      </c>
      <c r="AA777" s="5" t="s">
        <v>3765</v>
      </c>
      <c r="AB777" s="5" t="s">
        <v>46</v>
      </c>
      <c r="AC777" s="5"/>
      <c r="AD777" s="5" t="b">
        <v>0</v>
      </c>
      <c r="AE777" s="5"/>
      <c r="AF777" s="5"/>
      <c r="AG777" s="9">
        <f t="shared" si="12"/>
        <v>43277</v>
      </c>
    </row>
    <row r="778" s="6" customFormat="1" spans="1:33">
      <c r="A778" s="5" t="s">
        <v>3766</v>
      </c>
      <c r="B778" s="5" t="s">
        <v>3766</v>
      </c>
      <c r="C778" s="5" t="s">
        <v>3767</v>
      </c>
      <c r="D778" s="5" t="s">
        <v>3768</v>
      </c>
      <c r="E778" s="5" t="s">
        <v>36</v>
      </c>
      <c r="F778" s="5" t="s">
        <v>37</v>
      </c>
      <c r="G778" s="5" t="s">
        <v>38</v>
      </c>
      <c r="H778" s="5"/>
      <c r="I778" s="5"/>
      <c r="J778" s="5" t="s">
        <v>39</v>
      </c>
      <c r="K778" s="5" t="s">
        <v>3769</v>
      </c>
      <c r="L778" s="5" t="s">
        <v>3770</v>
      </c>
      <c r="M778" s="5" t="s">
        <v>3771</v>
      </c>
      <c r="N778" s="5" t="s">
        <v>36</v>
      </c>
      <c r="O778" s="5">
        <v>1</v>
      </c>
      <c r="P778" s="5" t="s">
        <v>43</v>
      </c>
      <c r="Q778" s="5">
        <v>8.99</v>
      </c>
      <c r="R778" s="5"/>
      <c r="S778" s="5"/>
      <c r="T778" s="5"/>
      <c r="U778" s="5"/>
      <c r="V778" s="5"/>
      <c r="W778" s="5"/>
      <c r="X778" s="5"/>
      <c r="Y778" s="5" t="s">
        <v>3772</v>
      </c>
      <c r="Z778" s="5" t="s">
        <v>223</v>
      </c>
      <c r="AA778" s="5" t="s">
        <v>3773</v>
      </c>
      <c r="AB778" s="5" t="s">
        <v>46</v>
      </c>
      <c r="AC778" s="5"/>
      <c r="AD778" s="5" t="b">
        <v>0</v>
      </c>
      <c r="AE778" s="5"/>
      <c r="AF778" s="5"/>
      <c r="AG778" s="9">
        <f t="shared" si="12"/>
        <v>43277</v>
      </c>
    </row>
    <row r="779" s="6" customFormat="1" spans="1:33">
      <c r="A779" s="5" t="s">
        <v>3774</v>
      </c>
      <c r="B779" s="5" t="s">
        <v>3774</v>
      </c>
      <c r="C779" s="5" t="s">
        <v>3775</v>
      </c>
      <c r="D779" s="5" t="s">
        <v>3776</v>
      </c>
      <c r="E779" s="5" t="s">
        <v>36</v>
      </c>
      <c r="F779" s="5" t="s">
        <v>37</v>
      </c>
      <c r="G779" s="5" t="s">
        <v>38</v>
      </c>
      <c r="H779" s="5"/>
      <c r="I779" s="5"/>
      <c r="J779" s="5" t="s">
        <v>39</v>
      </c>
      <c r="K779" s="5" t="s">
        <v>434</v>
      </c>
      <c r="L779" s="5" t="s">
        <v>435</v>
      </c>
      <c r="M779" s="5" t="s">
        <v>436</v>
      </c>
      <c r="N779" s="5" t="s">
        <v>36</v>
      </c>
      <c r="O779" s="5">
        <v>1</v>
      </c>
      <c r="P779" s="5" t="s">
        <v>43</v>
      </c>
      <c r="Q779" s="5">
        <v>13.99</v>
      </c>
      <c r="R779" s="5"/>
      <c r="S779" s="5"/>
      <c r="T779" s="5"/>
      <c r="U779" s="5"/>
      <c r="V779" s="5"/>
      <c r="W779" s="5"/>
      <c r="X779" s="5"/>
      <c r="Y779" s="5" t="s">
        <v>3777</v>
      </c>
      <c r="Z779" s="5" t="s">
        <v>218</v>
      </c>
      <c r="AA779" s="5" t="s">
        <v>3778</v>
      </c>
      <c r="AB779" s="5" t="s">
        <v>46</v>
      </c>
      <c r="AC779" s="5"/>
      <c r="AD779" s="5" t="b">
        <v>0</v>
      </c>
      <c r="AE779" s="5"/>
      <c r="AF779" s="5"/>
      <c r="AG779" s="9">
        <f t="shared" si="12"/>
        <v>43277</v>
      </c>
    </row>
    <row r="780" s="6" customFormat="1" spans="1:33">
      <c r="A780" s="5" t="s">
        <v>3779</v>
      </c>
      <c r="B780" s="5" t="s">
        <v>3779</v>
      </c>
      <c r="C780" s="5" t="s">
        <v>3780</v>
      </c>
      <c r="D780" s="5" t="s">
        <v>3781</v>
      </c>
      <c r="E780" s="5" t="s">
        <v>36</v>
      </c>
      <c r="F780" s="5" t="s">
        <v>37</v>
      </c>
      <c r="G780" s="5" t="s">
        <v>38</v>
      </c>
      <c r="H780" s="5"/>
      <c r="I780" s="5"/>
      <c r="J780" s="5" t="s">
        <v>39</v>
      </c>
      <c r="K780" s="5" t="s">
        <v>3679</v>
      </c>
      <c r="L780" s="5" t="s">
        <v>1292</v>
      </c>
      <c r="M780" s="5" t="s">
        <v>1293</v>
      </c>
      <c r="N780" s="5" t="s">
        <v>36</v>
      </c>
      <c r="O780" s="5">
        <v>1</v>
      </c>
      <c r="P780" s="5" t="s">
        <v>43</v>
      </c>
      <c r="Q780" s="5">
        <v>12.99</v>
      </c>
      <c r="R780" s="5"/>
      <c r="S780" s="5"/>
      <c r="T780" s="5"/>
      <c r="U780" s="5"/>
      <c r="V780" s="5"/>
      <c r="W780" s="5"/>
      <c r="X780" s="5"/>
      <c r="Y780" s="5" t="s">
        <v>3782</v>
      </c>
      <c r="Z780" s="5" t="s">
        <v>463</v>
      </c>
      <c r="AA780" s="5" t="s">
        <v>3783</v>
      </c>
      <c r="AB780" s="5" t="s">
        <v>46</v>
      </c>
      <c r="AC780" s="5"/>
      <c r="AD780" s="5" t="b">
        <v>0</v>
      </c>
      <c r="AE780" s="5"/>
      <c r="AF780" s="5"/>
      <c r="AG780" s="9">
        <f t="shared" si="12"/>
        <v>43277</v>
      </c>
    </row>
    <row r="781" s="6" customFormat="1" spans="1:33">
      <c r="A781" s="5" t="s">
        <v>3784</v>
      </c>
      <c r="B781" s="5" t="s">
        <v>3784</v>
      </c>
      <c r="C781" s="5" t="s">
        <v>3785</v>
      </c>
      <c r="D781" s="5" t="s">
        <v>3786</v>
      </c>
      <c r="E781" s="5" t="s">
        <v>36</v>
      </c>
      <c r="F781" s="5" t="s">
        <v>37</v>
      </c>
      <c r="G781" s="5" t="s">
        <v>38</v>
      </c>
      <c r="H781" s="5"/>
      <c r="I781" s="5"/>
      <c r="J781" s="5" t="s">
        <v>39</v>
      </c>
      <c r="K781" s="5" t="s">
        <v>3787</v>
      </c>
      <c r="L781" s="5" t="s">
        <v>3788</v>
      </c>
      <c r="M781" s="5" t="s">
        <v>3789</v>
      </c>
      <c r="N781" s="5" t="s">
        <v>36</v>
      </c>
      <c r="O781" s="5">
        <v>1</v>
      </c>
      <c r="P781" s="5" t="s">
        <v>43</v>
      </c>
      <c r="Q781" s="5">
        <v>12</v>
      </c>
      <c r="R781" s="5"/>
      <c r="S781" s="5"/>
      <c r="T781" s="5"/>
      <c r="U781" s="5"/>
      <c r="V781" s="5"/>
      <c r="W781" s="5"/>
      <c r="X781" s="5"/>
      <c r="Y781" s="5" t="s">
        <v>1326</v>
      </c>
      <c r="Z781" s="5" t="s">
        <v>238</v>
      </c>
      <c r="AA781" s="5" t="s">
        <v>3790</v>
      </c>
      <c r="AB781" s="5" t="s">
        <v>46</v>
      </c>
      <c r="AC781" s="5"/>
      <c r="AD781" s="5" t="b">
        <v>0</v>
      </c>
      <c r="AE781" s="5"/>
      <c r="AF781" s="5"/>
      <c r="AG781" s="9">
        <f t="shared" si="12"/>
        <v>43277</v>
      </c>
    </row>
    <row r="782" s="6" customFormat="1" spans="1:33">
      <c r="A782" s="5" t="s">
        <v>3791</v>
      </c>
      <c r="B782" s="5" t="s">
        <v>3791</v>
      </c>
      <c r="C782" s="5" t="s">
        <v>3792</v>
      </c>
      <c r="D782" s="5" t="s">
        <v>3793</v>
      </c>
      <c r="E782" s="5" t="s">
        <v>36</v>
      </c>
      <c r="F782" s="5" t="s">
        <v>37</v>
      </c>
      <c r="G782" s="5" t="s">
        <v>38</v>
      </c>
      <c r="H782" s="5"/>
      <c r="I782" s="5"/>
      <c r="J782" s="5" t="s">
        <v>39</v>
      </c>
      <c r="K782" s="5" t="s">
        <v>325</v>
      </c>
      <c r="L782" s="5" t="s">
        <v>326</v>
      </c>
      <c r="M782" s="5" t="s">
        <v>327</v>
      </c>
      <c r="N782" s="5" t="s">
        <v>36</v>
      </c>
      <c r="O782" s="5">
        <v>1</v>
      </c>
      <c r="P782" s="5" t="s">
        <v>43</v>
      </c>
      <c r="Q782" s="5">
        <v>10</v>
      </c>
      <c r="R782" s="5"/>
      <c r="S782" s="5"/>
      <c r="T782" s="5"/>
      <c r="U782" s="5"/>
      <c r="V782" s="5"/>
      <c r="W782" s="5"/>
      <c r="X782" s="5"/>
      <c r="Y782" s="5" t="s">
        <v>719</v>
      </c>
      <c r="Z782" s="5" t="s">
        <v>505</v>
      </c>
      <c r="AA782" s="5" t="s">
        <v>3794</v>
      </c>
      <c r="AB782" s="5" t="s">
        <v>46</v>
      </c>
      <c r="AC782" s="5"/>
      <c r="AD782" s="5" t="b">
        <v>0</v>
      </c>
      <c r="AE782" s="5"/>
      <c r="AF782" s="5"/>
      <c r="AG782" s="9">
        <f t="shared" si="12"/>
        <v>43277</v>
      </c>
    </row>
    <row r="783" s="6" customFormat="1" spans="1:33">
      <c r="A783" s="5" t="s">
        <v>3795</v>
      </c>
      <c r="B783" s="5" t="s">
        <v>3795</v>
      </c>
      <c r="C783" s="5" t="s">
        <v>3796</v>
      </c>
      <c r="D783" s="5" t="s">
        <v>3797</v>
      </c>
      <c r="E783" s="5" t="s">
        <v>36</v>
      </c>
      <c r="F783" s="5" t="s">
        <v>37</v>
      </c>
      <c r="G783" s="5" t="s">
        <v>38</v>
      </c>
      <c r="H783" s="5"/>
      <c r="I783" s="5"/>
      <c r="J783" s="5" t="s">
        <v>39</v>
      </c>
      <c r="K783" s="5" t="s">
        <v>3798</v>
      </c>
      <c r="L783" s="5" t="s">
        <v>1048</v>
      </c>
      <c r="M783" s="5" t="s">
        <v>535</v>
      </c>
      <c r="N783" s="5" t="s">
        <v>36</v>
      </c>
      <c r="O783" s="5">
        <v>1</v>
      </c>
      <c r="P783" s="5" t="s">
        <v>43</v>
      </c>
      <c r="Q783" s="5">
        <v>24.99</v>
      </c>
      <c r="R783" s="5"/>
      <c r="S783" s="5"/>
      <c r="T783" s="5"/>
      <c r="U783" s="5"/>
      <c r="V783" s="5"/>
      <c r="W783" s="5"/>
      <c r="X783" s="5"/>
      <c r="Y783" s="5" t="s">
        <v>3799</v>
      </c>
      <c r="Z783" s="5" t="s">
        <v>105</v>
      </c>
      <c r="AA783" s="5">
        <v>7109</v>
      </c>
      <c r="AB783" s="5" t="s">
        <v>46</v>
      </c>
      <c r="AC783" s="5"/>
      <c r="AD783" s="5" t="b">
        <v>0</v>
      </c>
      <c r="AE783" s="5"/>
      <c r="AF783" s="5"/>
      <c r="AG783" s="9">
        <f t="shared" si="12"/>
        <v>43277</v>
      </c>
    </row>
    <row r="784" s="6" customFormat="1" spans="1:33">
      <c r="A784" s="5" t="s">
        <v>3800</v>
      </c>
      <c r="B784" s="5" t="s">
        <v>3800</v>
      </c>
      <c r="C784" s="5" t="s">
        <v>3801</v>
      </c>
      <c r="D784" s="5" t="s">
        <v>3802</v>
      </c>
      <c r="E784" s="5" t="s">
        <v>36</v>
      </c>
      <c r="F784" s="5" t="s">
        <v>37</v>
      </c>
      <c r="G784" s="5" t="s">
        <v>38</v>
      </c>
      <c r="H784" s="5"/>
      <c r="I784" s="5"/>
      <c r="J784" s="5" t="s">
        <v>39</v>
      </c>
      <c r="K784" s="5" t="s">
        <v>3745</v>
      </c>
      <c r="L784" s="5" t="s">
        <v>202</v>
      </c>
      <c r="M784" s="5" t="s">
        <v>203</v>
      </c>
      <c r="N784" s="5" t="s">
        <v>36</v>
      </c>
      <c r="O784" s="5">
        <v>1</v>
      </c>
      <c r="P784" s="5" t="s">
        <v>43</v>
      </c>
      <c r="Q784" s="5">
        <v>18.99</v>
      </c>
      <c r="R784" s="5"/>
      <c r="S784" s="5"/>
      <c r="T784" s="5"/>
      <c r="U784" s="5"/>
      <c r="V784" s="5"/>
      <c r="W784" s="5"/>
      <c r="X784" s="5"/>
      <c r="Y784" s="5" t="s">
        <v>1664</v>
      </c>
      <c r="Z784" s="5" t="s">
        <v>54</v>
      </c>
      <c r="AA784" s="5" t="s">
        <v>3803</v>
      </c>
      <c r="AB784" s="5" t="s">
        <v>46</v>
      </c>
      <c r="AC784" s="5"/>
      <c r="AD784" s="5" t="b">
        <v>0</v>
      </c>
      <c r="AE784" s="5"/>
      <c r="AF784" s="5"/>
      <c r="AG784" s="9">
        <f t="shared" si="12"/>
        <v>43277</v>
      </c>
    </row>
    <row r="785" s="6" customFormat="1" spans="1:33">
      <c r="A785" s="5" t="s">
        <v>3804</v>
      </c>
      <c r="B785" s="5" t="s">
        <v>3804</v>
      </c>
      <c r="C785" s="5" t="s">
        <v>3805</v>
      </c>
      <c r="D785" s="5" t="s">
        <v>3806</v>
      </c>
      <c r="E785" s="5" t="s">
        <v>36</v>
      </c>
      <c r="F785" s="5" t="s">
        <v>37</v>
      </c>
      <c r="G785" s="5" t="s">
        <v>38</v>
      </c>
      <c r="H785" s="5"/>
      <c r="I785" s="5"/>
      <c r="J785" s="5" t="s">
        <v>287</v>
      </c>
      <c r="K785" s="5" t="s">
        <v>3714</v>
      </c>
      <c r="L785" s="5" t="s">
        <v>148</v>
      </c>
      <c r="M785" s="5" t="s">
        <v>149</v>
      </c>
      <c r="N785" s="5" t="s">
        <v>36</v>
      </c>
      <c r="O785" s="5">
        <v>1</v>
      </c>
      <c r="P785" s="5" t="s">
        <v>43</v>
      </c>
      <c r="Q785" s="5">
        <v>12.98</v>
      </c>
      <c r="R785" s="5"/>
      <c r="S785" s="5">
        <v>5.99</v>
      </c>
      <c r="T785" s="5"/>
      <c r="U785" s="5"/>
      <c r="V785" s="5"/>
      <c r="W785" s="5"/>
      <c r="X785" s="5">
        <v>5.99</v>
      </c>
      <c r="Y785" s="5" t="s">
        <v>3807</v>
      </c>
      <c r="Z785" s="5" t="s">
        <v>96</v>
      </c>
      <c r="AA785" s="5" t="s">
        <v>3808</v>
      </c>
      <c r="AB785" s="5" t="s">
        <v>46</v>
      </c>
      <c r="AC785" s="5"/>
      <c r="AD785" s="5" t="b">
        <v>0</v>
      </c>
      <c r="AE785" s="5"/>
      <c r="AF785" s="5"/>
      <c r="AG785" s="9">
        <f t="shared" si="12"/>
        <v>43277</v>
      </c>
    </row>
    <row r="786" s="6" customFormat="1" spans="1:33">
      <c r="A786" s="5" t="s">
        <v>3809</v>
      </c>
      <c r="B786" s="5" t="s">
        <v>3809</v>
      </c>
      <c r="C786" s="5" t="s">
        <v>3810</v>
      </c>
      <c r="D786" s="5" t="s">
        <v>3811</v>
      </c>
      <c r="E786" s="5" t="s">
        <v>36</v>
      </c>
      <c r="F786" s="5" t="s">
        <v>37</v>
      </c>
      <c r="G786" s="5" t="s">
        <v>38</v>
      </c>
      <c r="H786" s="5"/>
      <c r="I786" s="5"/>
      <c r="J786" s="5" t="s">
        <v>39</v>
      </c>
      <c r="K786" s="5" t="s">
        <v>541</v>
      </c>
      <c r="L786" s="5" t="s">
        <v>1106</v>
      </c>
      <c r="M786" s="5" t="s">
        <v>1107</v>
      </c>
      <c r="N786" s="5" t="s">
        <v>36</v>
      </c>
      <c r="O786" s="5">
        <v>1</v>
      </c>
      <c r="P786" s="5" t="s">
        <v>43</v>
      </c>
      <c r="Q786" s="5">
        <v>10.98</v>
      </c>
      <c r="R786" s="5"/>
      <c r="S786" s="5"/>
      <c r="T786" s="5"/>
      <c r="U786" s="5"/>
      <c r="V786" s="5"/>
      <c r="W786" s="5"/>
      <c r="X786" s="5"/>
      <c r="Y786" s="5" t="s">
        <v>817</v>
      </c>
      <c r="Z786" s="5" t="s">
        <v>54</v>
      </c>
      <c r="AA786" s="5">
        <v>94568</v>
      </c>
      <c r="AB786" s="5" t="s">
        <v>46</v>
      </c>
      <c r="AC786" s="5"/>
      <c r="AD786" s="5" t="b">
        <v>0</v>
      </c>
      <c r="AE786" s="5"/>
      <c r="AF786" s="5"/>
      <c r="AG786" s="9">
        <f t="shared" si="12"/>
        <v>43277</v>
      </c>
    </row>
    <row r="787" s="6" customFormat="1" spans="1:33">
      <c r="A787" s="5" t="s">
        <v>3812</v>
      </c>
      <c r="B787" s="5" t="s">
        <v>3812</v>
      </c>
      <c r="C787" s="5" t="s">
        <v>3813</v>
      </c>
      <c r="D787" s="5" t="s">
        <v>3814</v>
      </c>
      <c r="E787" s="5" t="s">
        <v>36</v>
      </c>
      <c r="F787" s="5" t="s">
        <v>37</v>
      </c>
      <c r="G787" s="5" t="s">
        <v>38</v>
      </c>
      <c r="H787" s="5"/>
      <c r="I787" s="5"/>
      <c r="J787" s="5" t="s">
        <v>39</v>
      </c>
      <c r="K787" s="5" t="s">
        <v>3815</v>
      </c>
      <c r="L787" s="5" t="s">
        <v>3816</v>
      </c>
      <c r="M787" s="5" t="s">
        <v>3817</v>
      </c>
      <c r="N787" s="5" t="s">
        <v>36</v>
      </c>
      <c r="O787" s="5">
        <v>1</v>
      </c>
      <c r="P787" s="5" t="s">
        <v>43</v>
      </c>
      <c r="Q787" s="5">
        <v>20</v>
      </c>
      <c r="R787" s="5"/>
      <c r="S787" s="5"/>
      <c r="T787" s="5"/>
      <c r="U787" s="5"/>
      <c r="V787" s="5"/>
      <c r="W787" s="5"/>
      <c r="X787" s="5"/>
      <c r="Y787" s="5" t="s">
        <v>3818</v>
      </c>
      <c r="Z787" s="5" t="s">
        <v>282</v>
      </c>
      <c r="AA787" s="5" t="s">
        <v>3819</v>
      </c>
      <c r="AB787" s="5" t="s">
        <v>46</v>
      </c>
      <c r="AC787" s="5"/>
      <c r="AD787" s="5" t="b">
        <v>0</v>
      </c>
      <c r="AE787" s="5"/>
      <c r="AF787" s="5"/>
      <c r="AG787" s="9">
        <f t="shared" si="12"/>
        <v>43277</v>
      </c>
    </row>
    <row r="788" s="6" customFormat="1" spans="1:33">
      <c r="A788" s="5" t="s">
        <v>3820</v>
      </c>
      <c r="B788" s="5" t="s">
        <v>3820</v>
      </c>
      <c r="C788" s="5" t="s">
        <v>3821</v>
      </c>
      <c r="D788" s="5" t="s">
        <v>3822</v>
      </c>
      <c r="E788" s="5" t="s">
        <v>36</v>
      </c>
      <c r="F788" s="5" t="s">
        <v>37</v>
      </c>
      <c r="G788" s="5" t="s">
        <v>38</v>
      </c>
      <c r="H788" s="5"/>
      <c r="I788" s="5"/>
      <c r="J788" s="5" t="s">
        <v>39</v>
      </c>
      <c r="K788" s="5" t="s">
        <v>83</v>
      </c>
      <c r="L788" s="5" t="s">
        <v>1080</v>
      </c>
      <c r="M788" s="5" t="s">
        <v>85</v>
      </c>
      <c r="N788" s="5" t="s">
        <v>36</v>
      </c>
      <c r="O788" s="5">
        <v>1</v>
      </c>
      <c r="P788" s="5" t="s">
        <v>43</v>
      </c>
      <c r="Q788" s="5">
        <v>12.99</v>
      </c>
      <c r="R788" s="5"/>
      <c r="S788" s="5"/>
      <c r="T788" s="5"/>
      <c r="U788" s="5"/>
      <c r="V788" s="5"/>
      <c r="W788" s="5"/>
      <c r="X788" s="5"/>
      <c r="Y788" s="5" t="s">
        <v>3823</v>
      </c>
      <c r="Z788" s="5" t="s">
        <v>151</v>
      </c>
      <c r="AA788" s="5" t="s">
        <v>3824</v>
      </c>
      <c r="AB788" s="5" t="s">
        <v>46</v>
      </c>
      <c r="AC788" s="5"/>
      <c r="AD788" s="5" t="b">
        <v>0</v>
      </c>
      <c r="AE788" s="5"/>
      <c r="AF788" s="5"/>
      <c r="AG788" s="9">
        <f t="shared" si="12"/>
        <v>43277</v>
      </c>
    </row>
    <row r="789" s="6" customFormat="1" spans="1:33">
      <c r="A789" s="5" t="s">
        <v>3825</v>
      </c>
      <c r="B789" s="5" t="s">
        <v>3825</v>
      </c>
      <c r="C789" s="5" t="s">
        <v>3826</v>
      </c>
      <c r="D789" s="5" t="s">
        <v>3827</v>
      </c>
      <c r="E789" s="5" t="s">
        <v>36</v>
      </c>
      <c r="F789" s="5" t="s">
        <v>37</v>
      </c>
      <c r="G789" s="5" t="s">
        <v>38</v>
      </c>
      <c r="H789" s="5"/>
      <c r="I789" s="5"/>
      <c r="J789" s="5" t="s">
        <v>128</v>
      </c>
      <c r="K789" s="5" t="s">
        <v>269</v>
      </c>
      <c r="L789" s="5" t="s">
        <v>1958</v>
      </c>
      <c r="M789" s="5" t="s">
        <v>271</v>
      </c>
      <c r="N789" s="5" t="s">
        <v>36</v>
      </c>
      <c r="O789" s="5">
        <v>1</v>
      </c>
      <c r="P789" s="5" t="s">
        <v>43</v>
      </c>
      <c r="Q789" s="5">
        <v>24.99</v>
      </c>
      <c r="R789" s="5"/>
      <c r="S789" s="5">
        <v>1.84</v>
      </c>
      <c r="T789" s="5"/>
      <c r="U789" s="5"/>
      <c r="V789" s="5"/>
      <c r="W789" s="5"/>
      <c r="X789" s="5"/>
      <c r="Y789" s="5" t="s">
        <v>3828</v>
      </c>
      <c r="Z789" s="5" t="s">
        <v>142</v>
      </c>
      <c r="AA789" s="5" t="s">
        <v>3829</v>
      </c>
      <c r="AB789" s="5" t="s">
        <v>46</v>
      </c>
      <c r="AC789" s="5"/>
      <c r="AD789" s="5" t="b">
        <v>0</v>
      </c>
      <c r="AE789" s="5"/>
      <c r="AF789" s="5"/>
      <c r="AG789" s="9">
        <f t="shared" si="12"/>
        <v>43277</v>
      </c>
    </row>
    <row r="790" s="6" customFormat="1" spans="1:33">
      <c r="A790" s="5" t="s">
        <v>3830</v>
      </c>
      <c r="B790" s="5" t="s">
        <v>3830</v>
      </c>
      <c r="C790" s="5" t="s">
        <v>3831</v>
      </c>
      <c r="D790" s="5" t="s">
        <v>3832</v>
      </c>
      <c r="E790" s="5" t="s">
        <v>36</v>
      </c>
      <c r="F790" s="5" t="s">
        <v>37</v>
      </c>
      <c r="G790" s="5" t="s">
        <v>38</v>
      </c>
      <c r="H790" s="5"/>
      <c r="I790" s="5"/>
      <c r="J790" s="5" t="s">
        <v>39</v>
      </c>
      <c r="K790" s="5" t="s">
        <v>58</v>
      </c>
      <c r="L790" s="5" t="s">
        <v>59</v>
      </c>
      <c r="M790" s="5" t="s">
        <v>60</v>
      </c>
      <c r="N790" s="5" t="s">
        <v>36</v>
      </c>
      <c r="O790" s="5">
        <v>1</v>
      </c>
      <c r="P790" s="5" t="s">
        <v>43</v>
      </c>
      <c r="Q790" s="5">
        <v>13.99</v>
      </c>
      <c r="R790" s="5"/>
      <c r="S790" s="5"/>
      <c r="T790" s="5"/>
      <c r="U790" s="5"/>
      <c r="V790" s="5"/>
      <c r="W790" s="5"/>
      <c r="X790" s="5"/>
      <c r="Y790" s="5" t="s">
        <v>3833</v>
      </c>
      <c r="Z790" s="5" t="s">
        <v>170</v>
      </c>
      <c r="AA790" s="5" t="s">
        <v>3834</v>
      </c>
      <c r="AB790" s="5" t="s">
        <v>46</v>
      </c>
      <c r="AC790" s="5"/>
      <c r="AD790" s="5" t="b">
        <v>0</v>
      </c>
      <c r="AE790" s="5"/>
      <c r="AF790" s="5"/>
      <c r="AG790" s="9">
        <f t="shared" si="12"/>
        <v>43277</v>
      </c>
    </row>
    <row r="791" s="6" customFormat="1" spans="1:33">
      <c r="A791" s="5" t="s">
        <v>3835</v>
      </c>
      <c r="B791" s="5" t="s">
        <v>3835</v>
      </c>
      <c r="C791" s="5" t="s">
        <v>3836</v>
      </c>
      <c r="D791" s="5" t="s">
        <v>3837</v>
      </c>
      <c r="E791" s="5" t="s">
        <v>36</v>
      </c>
      <c r="F791" s="5" t="s">
        <v>37</v>
      </c>
      <c r="G791" s="5" t="s">
        <v>38</v>
      </c>
      <c r="H791" s="5"/>
      <c r="I791" s="5"/>
      <c r="J791" s="5" t="s">
        <v>39</v>
      </c>
      <c r="K791" s="5" t="s">
        <v>387</v>
      </c>
      <c r="L791" s="5" t="s">
        <v>388</v>
      </c>
      <c r="M791" s="5" t="s">
        <v>389</v>
      </c>
      <c r="N791" s="5" t="s">
        <v>36</v>
      </c>
      <c r="O791" s="5">
        <v>1</v>
      </c>
      <c r="P791" s="5" t="s">
        <v>43</v>
      </c>
      <c r="Q791" s="5">
        <v>18.99</v>
      </c>
      <c r="R791" s="5"/>
      <c r="S791" s="5"/>
      <c r="T791" s="5"/>
      <c r="U791" s="5"/>
      <c r="V791" s="5"/>
      <c r="W791" s="5"/>
      <c r="X791" s="5"/>
      <c r="Y791" s="5" t="s">
        <v>3838</v>
      </c>
      <c r="Z791" s="5" t="s">
        <v>105</v>
      </c>
      <c r="AA791" s="5" t="s">
        <v>3839</v>
      </c>
      <c r="AB791" s="5" t="s">
        <v>46</v>
      </c>
      <c r="AC791" s="5"/>
      <c r="AD791" s="5" t="b">
        <v>0</v>
      </c>
      <c r="AE791" s="5"/>
      <c r="AF791" s="5"/>
      <c r="AG791" s="9">
        <f t="shared" si="12"/>
        <v>43277</v>
      </c>
    </row>
    <row r="792" s="6" customFormat="1" spans="1:33">
      <c r="A792" s="5" t="s">
        <v>3840</v>
      </c>
      <c r="B792" s="5" t="s">
        <v>3840</v>
      </c>
      <c r="C792" s="5" t="s">
        <v>3841</v>
      </c>
      <c r="D792" s="5" t="s">
        <v>3842</v>
      </c>
      <c r="E792" s="5" t="s">
        <v>36</v>
      </c>
      <c r="F792" s="5" t="s">
        <v>37</v>
      </c>
      <c r="G792" s="5" t="s">
        <v>38</v>
      </c>
      <c r="H792" s="5"/>
      <c r="I792" s="5"/>
      <c r="J792" s="5" t="s">
        <v>39</v>
      </c>
      <c r="K792" s="5" t="s">
        <v>1999</v>
      </c>
      <c r="L792" s="5" t="s">
        <v>2000</v>
      </c>
      <c r="M792" s="5" t="s">
        <v>2001</v>
      </c>
      <c r="N792" s="5" t="s">
        <v>36</v>
      </c>
      <c r="O792" s="5">
        <v>1</v>
      </c>
      <c r="P792" s="5" t="s">
        <v>43</v>
      </c>
      <c r="Q792" s="5">
        <v>18.99</v>
      </c>
      <c r="R792" s="5"/>
      <c r="S792" s="5"/>
      <c r="T792" s="5"/>
      <c r="U792" s="5"/>
      <c r="V792" s="5"/>
      <c r="W792" s="5"/>
      <c r="X792" s="5"/>
      <c r="Y792" s="5" t="s">
        <v>3843</v>
      </c>
      <c r="Z792" s="5" t="s">
        <v>1878</v>
      </c>
      <c r="AA792" s="5">
        <v>33897</v>
      </c>
      <c r="AB792" s="5" t="s">
        <v>46</v>
      </c>
      <c r="AC792" s="5"/>
      <c r="AD792" s="5" t="b">
        <v>0</v>
      </c>
      <c r="AE792" s="5"/>
      <c r="AF792" s="5"/>
      <c r="AG792" s="9">
        <f t="shared" si="12"/>
        <v>43278</v>
      </c>
    </row>
    <row r="793" s="6" customFormat="1" spans="1:33">
      <c r="A793" s="5" t="s">
        <v>3844</v>
      </c>
      <c r="B793" s="5" t="s">
        <v>3844</v>
      </c>
      <c r="C793" s="5" t="s">
        <v>3845</v>
      </c>
      <c r="D793" s="5" t="s">
        <v>3846</v>
      </c>
      <c r="E793" s="5" t="s">
        <v>36</v>
      </c>
      <c r="F793" s="5" t="s">
        <v>37</v>
      </c>
      <c r="G793" s="5" t="s">
        <v>38</v>
      </c>
      <c r="H793" s="5"/>
      <c r="I793" s="5"/>
      <c r="J793" s="5" t="s">
        <v>39</v>
      </c>
      <c r="K793" s="5" t="s">
        <v>3703</v>
      </c>
      <c r="L793" s="5" t="s">
        <v>388</v>
      </c>
      <c r="M793" s="5" t="s">
        <v>389</v>
      </c>
      <c r="N793" s="5" t="s">
        <v>36</v>
      </c>
      <c r="O793" s="5">
        <v>1</v>
      </c>
      <c r="P793" s="5" t="s">
        <v>43</v>
      </c>
      <c r="Q793" s="5">
        <v>18.99</v>
      </c>
      <c r="R793" s="5"/>
      <c r="S793" s="5"/>
      <c r="T793" s="5"/>
      <c r="U793" s="5"/>
      <c r="V793" s="5"/>
      <c r="W793" s="5"/>
      <c r="X793" s="5"/>
      <c r="Y793" s="5" t="s">
        <v>3847</v>
      </c>
      <c r="Z793" s="5" t="s">
        <v>130</v>
      </c>
      <c r="AA793" s="5" t="s">
        <v>3848</v>
      </c>
      <c r="AB793" s="5" t="s">
        <v>46</v>
      </c>
      <c r="AC793" s="5"/>
      <c r="AD793" s="5" t="b">
        <v>0</v>
      </c>
      <c r="AE793" s="5"/>
      <c r="AF793" s="5"/>
      <c r="AG793" s="9">
        <f t="shared" si="12"/>
        <v>43278</v>
      </c>
    </row>
    <row r="794" s="6" customFormat="1" spans="1:33">
      <c r="A794" s="5" t="s">
        <v>3849</v>
      </c>
      <c r="B794" s="5" t="s">
        <v>3849</v>
      </c>
      <c r="C794" s="5" t="s">
        <v>3850</v>
      </c>
      <c r="D794" s="5" t="s">
        <v>3851</v>
      </c>
      <c r="E794" s="5" t="s">
        <v>36</v>
      </c>
      <c r="F794" s="5" t="s">
        <v>37</v>
      </c>
      <c r="G794" s="5" t="s">
        <v>38</v>
      </c>
      <c r="H794" s="5"/>
      <c r="I794" s="5"/>
      <c r="J794" s="5" t="s">
        <v>39</v>
      </c>
      <c r="K794" s="5" t="s">
        <v>3798</v>
      </c>
      <c r="L794" s="5" t="s">
        <v>1048</v>
      </c>
      <c r="M794" s="5" t="s">
        <v>535</v>
      </c>
      <c r="N794" s="5" t="s">
        <v>36</v>
      </c>
      <c r="O794" s="5">
        <v>1</v>
      </c>
      <c r="P794" s="5" t="s">
        <v>43</v>
      </c>
      <c r="Q794" s="5">
        <v>24.99</v>
      </c>
      <c r="R794" s="5"/>
      <c r="S794" s="5"/>
      <c r="T794" s="5"/>
      <c r="U794" s="5"/>
      <c r="V794" s="5"/>
      <c r="W794" s="5"/>
      <c r="X794" s="5"/>
      <c r="Y794" s="5" t="s">
        <v>3852</v>
      </c>
      <c r="Z794" s="5" t="s">
        <v>732</v>
      </c>
      <c r="AA794" s="5">
        <v>6790</v>
      </c>
      <c r="AB794" s="5" t="s">
        <v>46</v>
      </c>
      <c r="AC794" s="5"/>
      <c r="AD794" s="5" t="b">
        <v>0</v>
      </c>
      <c r="AE794" s="5"/>
      <c r="AF794" s="5"/>
      <c r="AG794" s="9">
        <f t="shared" si="12"/>
        <v>43278</v>
      </c>
    </row>
    <row r="795" s="6" customFormat="1" spans="1:33">
      <c r="A795" s="5" t="s">
        <v>3853</v>
      </c>
      <c r="B795" s="5" t="s">
        <v>3853</v>
      </c>
      <c r="C795" s="5" t="s">
        <v>3854</v>
      </c>
      <c r="D795" s="5" t="s">
        <v>3855</v>
      </c>
      <c r="E795" s="5" t="s">
        <v>36</v>
      </c>
      <c r="F795" s="5" t="s">
        <v>37</v>
      </c>
      <c r="G795" s="5" t="s">
        <v>38</v>
      </c>
      <c r="H795" s="5"/>
      <c r="I795" s="5"/>
      <c r="J795" s="5" t="s">
        <v>39</v>
      </c>
      <c r="K795" s="5" t="s">
        <v>2344</v>
      </c>
      <c r="L795" s="5" t="s">
        <v>2345</v>
      </c>
      <c r="M795" s="5" t="s">
        <v>2346</v>
      </c>
      <c r="N795" s="5" t="s">
        <v>36</v>
      </c>
      <c r="O795" s="5">
        <v>1</v>
      </c>
      <c r="P795" s="5" t="s">
        <v>43</v>
      </c>
      <c r="Q795" s="5">
        <v>13.99</v>
      </c>
      <c r="R795" s="5"/>
      <c r="S795" s="5"/>
      <c r="T795" s="5"/>
      <c r="U795" s="5"/>
      <c r="V795" s="5"/>
      <c r="W795" s="5"/>
      <c r="X795" s="5"/>
      <c r="Y795" s="5" t="s">
        <v>3856</v>
      </c>
      <c r="Z795" s="5" t="s">
        <v>391</v>
      </c>
      <c r="AA795" s="5" t="s">
        <v>3857</v>
      </c>
      <c r="AB795" s="5" t="s">
        <v>46</v>
      </c>
      <c r="AC795" s="5"/>
      <c r="AD795" s="5" t="b">
        <v>0</v>
      </c>
      <c r="AE795" s="5"/>
      <c r="AF795" s="5"/>
      <c r="AG795" s="9">
        <f t="shared" si="12"/>
        <v>43278</v>
      </c>
    </row>
    <row r="796" s="6" customFormat="1" spans="1:33">
      <c r="A796" s="5" t="s">
        <v>3858</v>
      </c>
      <c r="B796" s="5" t="s">
        <v>3858</v>
      </c>
      <c r="C796" s="5" t="s">
        <v>3859</v>
      </c>
      <c r="D796" s="5" t="s">
        <v>3860</v>
      </c>
      <c r="E796" s="5" t="s">
        <v>36</v>
      </c>
      <c r="F796" s="5" t="s">
        <v>37</v>
      </c>
      <c r="G796" s="5" t="s">
        <v>38</v>
      </c>
      <c r="H796" s="5"/>
      <c r="I796" s="5"/>
      <c r="J796" s="5" t="s">
        <v>39</v>
      </c>
      <c r="K796" s="5" t="s">
        <v>434</v>
      </c>
      <c r="L796" s="5" t="s">
        <v>435</v>
      </c>
      <c r="M796" s="5" t="s">
        <v>436</v>
      </c>
      <c r="N796" s="5" t="s">
        <v>36</v>
      </c>
      <c r="O796" s="5">
        <v>1</v>
      </c>
      <c r="P796" s="5" t="s">
        <v>43</v>
      </c>
      <c r="Q796" s="5">
        <v>13.99</v>
      </c>
      <c r="R796" s="5"/>
      <c r="S796" s="5"/>
      <c r="T796" s="5"/>
      <c r="U796" s="5"/>
      <c r="V796" s="5"/>
      <c r="W796" s="5"/>
      <c r="X796" s="5"/>
      <c r="Y796" s="5" t="s">
        <v>3861</v>
      </c>
      <c r="Z796" s="5" t="s">
        <v>54</v>
      </c>
      <c r="AA796" s="5" t="s">
        <v>3862</v>
      </c>
      <c r="AB796" s="5" t="s">
        <v>46</v>
      </c>
      <c r="AC796" s="5"/>
      <c r="AD796" s="5" t="b">
        <v>0</v>
      </c>
      <c r="AE796" s="5"/>
      <c r="AF796" s="5"/>
      <c r="AG796" s="9">
        <f t="shared" si="12"/>
        <v>43278</v>
      </c>
    </row>
    <row r="797" s="6" customFormat="1" spans="1:33">
      <c r="A797" s="5" t="s">
        <v>3863</v>
      </c>
      <c r="B797" s="5" t="s">
        <v>3863</v>
      </c>
      <c r="C797" s="5" t="s">
        <v>3864</v>
      </c>
      <c r="D797" s="5" t="s">
        <v>3865</v>
      </c>
      <c r="E797" s="5" t="s">
        <v>36</v>
      </c>
      <c r="F797" s="5" t="s">
        <v>37</v>
      </c>
      <c r="G797" s="5" t="s">
        <v>38</v>
      </c>
      <c r="H797" s="5"/>
      <c r="I797" s="5"/>
      <c r="J797" s="5" t="s">
        <v>39</v>
      </c>
      <c r="K797" s="5" t="s">
        <v>409</v>
      </c>
      <c r="L797" s="5" t="s">
        <v>423</v>
      </c>
      <c r="M797" s="5" t="s">
        <v>424</v>
      </c>
      <c r="N797" s="5" t="s">
        <v>36</v>
      </c>
      <c r="O797" s="5">
        <v>1</v>
      </c>
      <c r="P797" s="5" t="s">
        <v>43</v>
      </c>
      <c r="Q797" s="5">
        <v>9.9</v>
      </c>
      <c r="R797" s="5"/>
      <c r="S797" s="5"/>
      <c r="T797" s="5"/>
      <c r="U797" s="5"/>
      <c r="V797" s="5"/>
      <c r="W797" s="5"/>
      <c r="X797" s="5"/>
      <c r="Y797" s="5" t="s">
        <v>3866</v>
      </c>
      <c r="Z797" s="5" t="s">
        <v>183</v>
      </c>
      <c r="AA797" s="5" t="s">
        <v>3867</v>
      </c>
      <c r="AB797" s="5" t="s">
        <v>46</v>
      </c>
      <c r="AC797" s="5"/>
      <c r="AD797" s="5" t="b">
        <v>0</v>
      </c>
      <c r="AE797" s="5"/>
      <c r="AF797" s="5"/>
      <c r="AG797" s="9">
        <f t="shared" si="12"/>
        <v>43278</v>
      </c>
    </row>
    <row r="798" s="6" customFormat="1" spans="1:33">
      <c r="A798" s="5" t="s">
        <v>3868</v>
      </c>
      <c r="B798" s="5" t="s">
        <v>3868</v>
      </c>
      <c r="C798" s="5" t="s">
        <v>3869</v>
      </c>
      <c r="D798" s="5" t="s">
        <v>3870</v>
      </c>
      <c r="E798" s="5" t="s">
        <v>36</v>
      </c>
      <c r="F798" s="5" t="s">
        <v>37</v>
      </c>
      <c r="G798" s="5" t="s">
        <v>38</v>
      </c>
      <c r="H798" s="5"/>
      <c r="I798" s="5"/>
      <c r="J798" s="5" t="s">
        <v>39</v>
      </c>
      <c r="K798" s="5" t="s">
        <v>587</v>
      </c>
      <c r="L798" s="5" t="s">
        <v>588</v>
      </c>
      <c r="M798" s="5" t="s">
        <v>589</v>
      </c>
      <c r="N798" s="5" t="s">
        <v>36</v>
      </c>
      <c r="O798" s="5">
        <v>1</v>
      </c>
      <c r="P798" s="5" t="s">
        <v>43</v>
      </c>
      <c r="Q798" s="5">
        <v>18.99</v>
      </c>
      <c r="R798" s="5"/>
      <c r="S798" s="5"/>
      <c r="T798" s="5"/>
      <c r="U798" s="5"/>
      <c r="V798" s="5"/>
      <c r="W798" s="5"/>
      <c r="X798" s="5"/>
      <c r="Y798" s="5" t="s">
        <v>3871</v>
      </c>
      <c r="Z798" s="5" t="s">
        <v>3872</v>
      </c>
      <c r="AA798" s="5">
        <v>37064</v>
      </c>
      <c r="AB798" s="5" t="s">
        <v>46</v>
      </c>
      <c r="AC798" s="5"/>
      <c r="AD798" s="5" t="b">
        <v>0</v>
      </c>
      <c r="AE798" s="5"/>
      <c r="AF798" s="5"/>
      <c r="AG798" s="9">
        <f t="shared" si="12"/>
        <v>43278</v>
      </c>
    </row>
    <row r="799" s="6" customFormat="1" spans="1:33">
      <c r="A799" s="5" t="s">
        <v>3873</v>
      </c>
      <c r="B799" s="5" t="s">
        <v>3873</v>
      </c>
      <c r="C799" s="5" t="s">
        <v>3874</v>
      </c>
      <c r="D799" s="5" t="s">
        <v>3875</v>
      </c>
      <c r="E799" s="5" t="s">
        <v>36</v>
      </c>
      <c r="F799" s="5" t="s">
        <v>37</v>
      </c>
      <c r="G799" s="5" t="s">
        <v>38</v>
      </c>
      <c r="H799" s="5"/>
      <c r="I799" s="5"/>
      <c r="J799" s="5" t="s">
        <v>39</v>
      </c>
      <c r="K799" s="5" t="s">
        <v>166</v>
      </c>
      <c r="L799" s="5" t="s">
        <v>3876</v>
      </c>
      <c r="M799" s="5" t="s">
        <v>3877</v>
      </c>
      <c r="N799" s="5" t="s">
        <v>36</v>
      </c>
      <c r="O799" s="5">
        <v>1</v>
      </c>
      <c r="P799" s="5" t="s">
        <v>43</v>
      </c>
      <c r="Q799" s="5">
        <v>15</v>
      </c>
      <c r="R799" s="5"/>
      <c r="S799" s="5"/>
      <c r="T799" s="5"/>
      <c r="U799" s="5"/>
      <c r="V799" s="5"/>
      <c r="W799" s="5"/>
      <c r="X799" s="5"/>
      <c r="Y799" s="5" t="s">
        <v>3878</v>
      </c>
      <c r="Z799" s="5" t="s">
        <v>142</v>
      </c>
      <c r="AA799" s="5">
        <v>32608</v>
      </c>
      <c r="AB799" s="5" t="s">
        <v>46</v>
      </c>
      <c r="AC799" s="5"/>
      <c r="AD799" s="5" t="b">
        <v>0</v>
      </c>
      <c r="AE799" s="5"/>
      <c r="AF799" s="5"/>
      <c r="AG799" s="9">
        <f t="shared" si="12"/>
        <v>43278</v>
      </c>
    </row>
    <row r="800" s="6" customFormat="1" spans="1:33">
      <c r="A800" s="5" t="s">
        <v>3879</v>
      </c>
      <c r="B800" s="5" t="s">
        <v>3879</v>
      </c>
      <c r="C800" s="5" t="s">
        <v>3880</v>
      </c>
      <c r="D800" s="5" t="s">
        <v>3881</v>
      </c>
      <c r="E800" s="5" t="s">
        <v>36</v>
      </c>
      <c r="F800" s="5" t="s">
        <v>37</v>
      </c>
      <c r="G800" s="5" t="s">
        <v>38</v>
      </c>
      <c r="H800" s="5"/>
      <c r="I800" s="5"/>
      <c r="J800" s="5" t="s">
        <v>39</v>
      </c>
      <c r="K800" s="5" t="s">
        <v>3668</v>
      </c>
      <c r="L800" s="5" t="s">
        <v>578</v>
      </c>
      <c r="M800" s="5" t="s">
        <v>572</v>
      </c>
      <c r="N800" s="5" t="s">
        <v>36</v>
      </c>
      <c r="O800" s="5">
        <v>1</v>
      </c>
      <c r="P800" s="5" t="s">
        <v>43</v>
      </c>
      <c r="Q800" s="5">
        <v>24.99</v>
      </c>
      <c r="R800" s="5"/>
      <c r="S800" s="5"/>
      <c r="T800" s="5"/>
      <c r="U800" s="5"/>
      <c r="V800" s="5"/>
      <c r="W800" s="5"/>
      <c r="X800" s="5"/>
      <c r="Y800" s="5" t="s">
        <v>3882</v>
      </c>
      <c r="Z800" s="5" t="s">
        <v>142</v>
      </c>
      <c r="AA800" s="5" t="s">
        <v>3883</v>
      </c>
      <c r="AB800" s="5" t="s">
        <v>46</v>
      </c>
      <c r="AC800" s="5"/>
      <c r="AD800" s="5" t="b">
        <v>0</v>
      </c>
      <c r="AE800" s="5"/>
      <c r="AF800" s="5"/>
      <c r="AG800" s="9">
        <f t="shared" si="12"/>
        <v>43278</v>
      </c>
    </row>
    <row r="801" s="6" customFormat="1" spans="1:33">
      <c r="A801" s="5" t="s">
        <v>3884</v>
      </c>
      <c r="B801" s="5" t="s">
        <v>3884</v>
      </c>
      <c r="C801" s="5" t="s">
        <v>3885</v>
      </c>
      <c r="D801" s="5" t="s">
        <v>3886</v>
      </c>
      <c r="E801" s="5" t="s">
        <v>36</v>
      </c>
      <c r="F801" s="5" t="s">
        <v>37</v>
      </c>
      <c r="G801" s="5" t="s">
        <v>38</v>
      </c>
      <c r="H801" s="5"/>
      <c r="I801" s="5"/>
      <c r="J801" s="5" t="s">
        <v>39</v>
      </c>
      <c r="K801" s="5" t="s">
        <v>58</v>
      </c>
      <c r="L801" s="5" t="s">
        <v>59</v>
      </c>
      <c r="M801" s="5" t="s">
        <v>60</v>
      </c>
      <c r="N801" s="5" t="s">
        <v>36</v>
      </c>
      <c r="O801" s="5">
        <v>1</v>
      </c>
      <c r="P801" s="5" t="s">
        <v>43</v>
      </c>
      <c r="Q801" s="5">
        <v>13.99</v>
      </c>
      <c r="R801" s="5"/>
      <c r="S801" s="5"/>
      <c r="T801" s="5"/>
      <c r="U801" s="5"/>
      <c r="V801" s="5"/>
      <c r="W801" s="5"/>
      <c r="X801" s="5"/>
      <c r="Y801" s="5" t="s">
        <v>3887</v>
      </c>
      <c r="Z801" s="5" t="s">
        <v>377</v>
      </c>
      <c r="AA801" s="5" t="s">
        <v>3888</v>
      </c>
      <c r="AB801" s="5" t="s">
        <v>46</v>
      </c>
      <c r="AC801" s="5"/>
      <c r="AD801" s="5" t="b">
        <v>0</v>
      </c>
      <c r="AE801" s="5"/>
      <c r="AF801" s="5"/>
      <c r="AG801" s="9">
        <f t="shared" si="12"/>
        <v>43278</v>
      </c>
    </row>
    <row r="802" s="6" customFormat="1" spans="1:33">
      <c r="A802" s="5" t="s">
        <v>3889</v>
      </c>
      <c r="B802" s="5" t="s">
        <v>3889</v>
      </c>
      <c r="C802" s="5" t="s">
        <v>3890</v>
      </c>
      <c r="D802" s="5" t="s">
        <v>3891</v>
      </c>
      <c r="E802" s="5" t="s">
        <v>36</v>
      </c>
      <c r="F802" s="5" t="s">
        <v>37</v>
      </c>
      <c r="G802" s="5" t="s">
        <v>38</v>
      </c>
      <c r="H802" s="5"/>
      <c r="I802" s="5"/>
      <c r="J802" s="5" t="s">
        <v>39</v>
      </c>
      <c r="K802" s="5" t="s">
        <v>2973</v>
      </c>
      <c r="L802" s="5" t="s">
        <v>2974</v>
      </c>
      <c r="M802" s="5" t="s">
        <v>2975</v>
      </c>
      <c r="N802" s="5" t="s">
        <v>36</v>
      </c>
      <c r="O802" s="5">
        <v>1</v>
      </c>
      <c r="P802" s="5" t="s">
        <v>43</v>
      </c>
      <c r="Q802" s="5">
        <v>18.99</v>
      </c>
      <c r="R802" s="5"/>
      <c r="S802" s="5"/>
      <c r="T802" s="5"/>
      <c r="U802" s="5"/>
      <c r="V802" s="5"/>
      <c r="W802" s="5"/>
      <c r="X802" s="5"/>
      <c r="Y802" s="5" t="s">
        <v>3892</v>
      </c>
      <c r="Z802" s="5" t="s">
        <v>1447</v>
      </c>
      <c r="AA802" s="5">
        <v>40291</v>
      </c>
      <c r="AB802" s="5" t="s">
        <v>46</v>
      </c>
      <c r="AC802" s="5"/>
      <c r="AD802" s="5" t="b">
        <v>0</v>
      </c>
      <c r="AE802" s="5"/>
      <c r="AF802" s="5"/>
      <c r="AG802" s="9">
        <f t="shared" si="12"/>
        <v>43278</v>
      </c>
    </row>
    <row r="803" s="6" customFormat="1" spans="1:33">
      <c r="A803" s="5" t="s">
        <v>3893</v>
      </c>
      <c r="B803" s="5" t="s">
        <v>3893</v>
      </c>
      <c r="C803" s="5" t="s">
        <v>3894</v>
      </c>
      <c r="D803" s="5" t="s">
        <v>3895</v>
      </c>
      <c r="E803" s="5" t="s">
        <v>36</v>
      </c>
      <c r="F803" s="5" t="s">
        <v>37</v>
      </c>
      <c r="G803" s="5" t="s">
        <v>38</v>
      </c>
      <c r="H803" s="5"/>
      <c r="I803" s="5"/>
      <c r="J803" s="5" t="s">
        <v>39</v>
      </c>
      <c r="K803" s="5" t="s">
        <v>434</v>
      </c>
      <c r="L803" s="5" t="s">
        <v>435</v>
      </c>
      <c r="M803" s="5" t="s">
        <v>436</v>
      </c>
      <c r="N803" s="5" t="s">
        <v>36</v>
      </c>
      <c r="O803" s="5">
        <v>1</v>
      </c>
      <c r="P803" s="5" t="s">
        <v>43</v>
      </c>
      <c r="Q803" s="5">
        <v>13.99</v>
      </c>
      <c r="R803" s="5"/>
      <c r="S803" s="5"/>
      <c r="T803" s="5"/>
      <c r="U803" s="5"/>
      <c r="V803" s="5"/>
      <c r="W803" s="5"/>
      <c r="X803" s="5"/>
      <c r="Y803" s="5" t="s">
        <v>3896</v>
      </c>
      <c r="Z803" s="5" t="s">
        <v>151</v>
      </c>
      <c r="AA803" s="5">
        <v>11385</v>
      </c>
      <c r="AB803" s="5" t="s">
        <v>46</v>
      </c>
      <c r="AC803" s="5"/>
      <c r="AD803" s="5" t="b">
        <v>0</v>
      </c>
      <c r="AE803" s="5"/>
      <c r="AF803" s="5"/>
      <c r="AG803" s="9">
        <f t="shared" si="12"/>
        <v>43278</v>
      </c>
    </row>
    <row r="804" s="6" customFormat="1" spans="1:33">
      <c r="A804" s="5" t="s">
        <v>3897</v>
      </c>
      <c r="B804" s="5" t="s">
        <v>3897</v>
      </c>
      <c r="C804" s="5" t="s">
        <v>3898</v>
      </c>
      <c r="D804" s="5" t="s">
        <v>3899</v>
      </c>
      <c r="E804" s="5" t="s">
        <v>36</v>
      </c>
      <c r="F804" s="5" t="s">
        <v>37</v>
      </c>
      <c r="G804" s="5" t="s">
        <v>38</v>
      </c>
      <c r="H804" s="5"/>
      <c r="I804" s="5"/>
      <c r="J804" s="5" t="s">
        <v>39</v>
      </c>
      <c r="K804" s="5" t="s">
        <v>3714</v>
      </c>
      <c r="L804" s="5" t="s">
        <v>148</v>
      </c>
      <c r="M804" s="5" t="s">
        <v>149</v>
      </c>
      <c r="N804" s="5" t="s">
        <v>36</v>
      </c>
      <c r="O804" s="5">
        <v>1</v>
      </c>
      <c r="P804" s="5" t="s">
        <v>43</v>
      </c>
      <c r="Q804" s="5">
        <v>14.99</v>
      </c>
      <c r="R804" s="5"/>
      <c r="S804" s="5"/>
      <c r="T804" s="5"/>
      <c r="U804" s="5"/>
      <c r="V804" s="5"/>
      <c r="W804" s="5"/>
      <c r="X804" s="5"/>
      <c r="Y804" s="5" t="s">
        <v>3900</v>
      </c>
      <c r="Z804" s="5" t="s">
        <v>87</v>
      </c>
      <c r="AA804" s="5" t="s">
        <v>3901</v>
      </c>
      <c r="AB804" s="5" t="s">
        <v>46</v>
      </c>
      <c r="AC804" s="5"/>
      <c r="AD804" s="5" t="b">
        <v>0</v>
      </c>
      <c r="AE804" s="5"/>
      <c r="AF804" s="5"/>
      <c r="AG804" s="9">
        <f t="shared" si="12"/>
        <v>43278</v>
      </c>
    </row>
    <row r="805" s="6" customFormat="1" spans="1:33">
      <c r="A805" s="5" t="s">
        <v>3902</v>
      </c>
      <c r="B805" s="5" t="s">
        <v>3902</v>
      </c>
      <c r="C805" s="5" t="s">
        <v>3903</v>
      </c>
      <c r="D805" s="5" t="s">
        <v>3904</v>
      </c>
      <c r="E805" s="5" t="s">
        <v>36</v>
      </c>
      <c r="F805" s="5" t="s">
        <v>37</v>
      </c>
      <c r="G805" s="5" t="s">
        <v>38</v>
      </c>
      <c r="H805" s="5"/>
      <c r="I805" s="5"/>
      <c r="J805" s="5" t="s">
        <v>128</v>
      </c>
      <c r="K805" s="5" t="s">
        <v>3703</v>
      </c>
      <c r="L805" s="5" t="s">
        <v>388</v>
      </c>
      <c r="M805" s="5" t="s">
        <v>389</v>
      </c>
      <c r="N805" s="5" t="s">
        <v>36</v>
      </c>
      <c r="O805" s="5">
        <v>1</v>
      </c>
      <c r="P805" s="5" t="s">
        <v>43</v>
      </c>
      <c r="Q805" s="5">
        <v>18.99</v>
      </c>
      <c r="R805" s="5"/>
      <c r="S805" s="5">
        <v>5.99</v>
      </c>
      <c r="T805" s="5"/>
      <c r="U805" s="5"/>
      <c r="V805" s="5"/>
      <c r="W805" s="5"/>
      <c r="X805" s="5"/>
      <c r="Y805" s="5" t="s">
        <v>3905</v>
      </c>
      <c r="Z805" s="5" t="s">
        <v>3906</v>
      </c>
      <c r="AA805" s="5">
        <v>81501</v>
      </c>
      <c r="AB805" s="5" t="s">
        <v>46</v>
      </c>
      <c r="AC805" s="5"/>
      <c r="AD805" s="5" t="b">
        <v>0</v>
      </c>
      <c r="AE805" s="5"/>
      <c r="AF805" s="5"/>
      <c r="AG805" s="9">
        <f t="shared" si="12"/>
        <v>43278</v>
      </c>
    </row>
    <row r="806" s="6" customFormat="1" spans="1:33">
      <c r="A806" s="5" t="s">
        <v>3907</v>
      </c>
      <c r="B806" s="5" t="s">
        <v>3907</v>
      </c>
      <c r="C806" s="5" t="s">
        <v>3908</v>
      </c>
      <c r="D806" s="5" t="s">
        <v>3909</v>
      </c>
      <c r="E806" s="5" t="s">
        <v>36</v>
      </c>
      <c r="F806" s="5" t="s">
        <v>37</v>
      </c>
      <c r="G806" s="5" t="s">
        <v>38</v>
      </c>
      <c r="H806" s="5"/>
      <c r="I806" s="5"/>
      <c r="J806" s="5" t="s">
        <v>39</v>
      </c>
      <c r="K806" s="5" t="s">
        <v>3483</v>
      </c>
      <c r="L806" s="5" t="s">
        <v>3484</v>
      </c>
      <c r="M806" s="5" t="s">
        <v>3485</v>
      </c>
      <c r="N806" s="5" t="s">
        <v>36</v>
      </c>
      <c r="O806" s="5">
        <v>1</v>
      </c>
      <c r="P806" s="5" t="s">
        <v>43</v>
      </c>
      <c r="Q806" s="5">
        <v>29.99</v>
      </c>
      <c r="R806" s="5"/>
      <c r="S806" s="5"/>
      <c r="T806" s="5"/>
      <c r="U806" s="5"/>
      <c r="V806" s="5"/>
      <c r="W806" s="5"/>
      <c r="X806" s="5"/>
      <c r="Y806" s="5" t="s">
        <v>150</v>
      </c>
      <c r="Z806" s="5" t="s">
        <v>151</v>
      </c>
      <c r="AA806" s="5" t="s">
        <v>3910</v>
      </c>
      <c r="AB806" s="5" t="s">
        <v>46</v>
      </c>
      <c r="AC806" s="5"/>
      <c r="AD806" s="5" t="b">
        <v>0</v>
      </c>
      <c r="AE806" s="5"/>
      <c r="AF806" s="5"/>
      <c r="AG806" s="9">
        <f t="shared" si="12"/>
        <v>43278</v>
      </c>
    </row>
    <row r="807" s="6" customFormat="1" spans="1:33">
      <c r="A807" s="5" t="s">
        <v>3911</v>
      </c>
      <c r="B807" s="5" t="s">
        <v>3911</v>
      </c>
      <c r="C807" s="5" t="s">
        <v>3912</v>
      </c>
      <c r="D807" s="5" t="s">
        <v>3913</v>
      </c>
      <c r="E807" s="5" t="s">
        <v>36</v>
      </c>
      <c r="F807" s="5" t="s">
        <v>37</v>
      </c>
      <c r="G807" s="5" t="s">
        <v>38</v>
      </c>
      <c r="H807" s="5"/>
      <c r="I807" s="5"/>
      <c r="J807" s="5" t="s">
        <v>39</v>
      </c>
      <c r="K807" s="5" t="s">
        <v>587</v>
      </c>
      <c r="L807" s="5" t="s">
        <v>588</v>
      </c>
      <c r="M807" s="5" t="s">
        <v>589</v>
      </c>
      <c r="N807" s="5" t="s">
        <v>36</v>
      </c>
      <c r="O807" s="5">
        <v>2</v>
      </c>
      <c r="P807" s="5" t="s">
        <v>43</v>
      </c>
      <c r="Q807" s="5">
        <v>36</v>
      </c>
      <c r="R807" s="5"/>
      <c r="S807" s="5"/>
      <c r="T807" s="5"/>
      <c r="U807" s="5"/>
      <c r="V807" s="5"/>
      <c r="W807" s="5"/>
      <c r="X807" s="5"/>
      <c r="Y807" s="5" t="s">
        <v>3914</v>
      </c>
      <c r="Z807" s="5" t="s">
        <v>631</v>
      </c>
      <c r="AA807" s="5" t="s">
        <v>3915</v>
      </c>
      <c r="AB807" s="5" t="s">
        <v>46</v>
      </c>
      <c r="AC807" s="5"/>
      <c r="AD807" s="5" t="b">
        <v>1</v>
      </c>
      <c r="AE807" s="5"/>
      <c r="AF807" s="5" t="s">
        <v>3916</v>
      </c>
      <c r="AG807" s="9">
        <f t="shared" si="12"/>
        <v>43278</v>
      </c>
    </row>
    <row r="808" s="6" customFormat="1" spans="1:33">
      <c r="A808" s="5" t="s">
        <v>3917</v>
      </c>
      <c r="B808" s="5" t="s">
        <v>3917</v>
      </c>
      <c r="C808" s="5" t="s">
        <v>3918</v>
      </c>
      <c r="D808" s="5" t="s">
        <v>3919</v>
      </c>
      <c r="E808" s="5" t="s">
        <v>36</v>
      </c>
      <c r="F808" s="5" t="s">
        <v>37</v>
      </c>
      <c r="G808" s="5" t="s">
        <v>38</v>
      </c>
      <c r="H808" s="5"/>
      <c r="I808" s="5"/>
      <c r="J808" s="5" t="s">
        <v>39</v>
      </c>
      <c r="K808" s="5" t="s">
        <v>3920</v>
      </c>
      <c r="L808" s="5" t="s">
        <v>419</v>
      </c>
      <c r="M808" s="5" t="s">
        <v>367</v>
      </c>
      <c r="N808" s="5" t="s">
        <v>36</v>
      </c>
      <c r="O808" s="5">
        <v>1</v>
      </c>
      <c r="P808" s="5" t="s">
        <v>43</v>
      </c>
      <c r="Q808" s="5">
        <v>18.99</v>
      </c>
      <c r="R808" s="5">
        <v>1.86</v>
      </c>
      <c r="S808" s="5"/>
      <c r="T808" s="5"/>
      <c r="U808" s="5"/>
      <c r="V808" s="5"/>
      <c r="W808" s="5">
        <v>0.95</v>
      </c>
      <c r="X808" s="5"/>
      <c r="Y808" s="5" t="s">
        <v>3921</v>
      </c>
      <c r="Z808" s="5" t="s">
        <v>3922</v>
      </c>
      <c r="AA808" s="5">
        <v>98204</v>
      </c>
      <c r="AB808" s="5" t="s">
        <v>46</v>
      </c>
      <c r="AC808" s="5" t="s">
        <v>115</v>
      </c>
      <c r="AD808" s="5" t="b">
        <v>0</v>
      </c>
      <c r="AE808" s="5"/>
      <c r="AF808" s="5"/>
      <c r="AG808" s="9">
        <f t="shared" si="12"/>
        <v>43278</v>
      </c>
    </row>
    <row r="809" s="6" customFormat="1" spans="1:33">
      <c r="A809" s="5" t="s">
        <v>3917</v>
      </c>
      <c r="B809" s="5" t="s">
        <v>3917</v>
      </c>
      <c r="C809" s="5" t="s">
        <v>3918</v>
      </c>
      <c r="D809" s="5" t="s">
        <v>3919</v>
      </c>
      <c r="E809" s="5" t="s">
        <v>36</v>
      </c>
      <c r="F809" s="5" t="s">
        <v>37</v>
      </c>
      <c r="G809" s="5" t="s">
        <v>38</v>
      </c>
      <c r="H809" s="5"/>
      <c r="I809" s="5"/>
      <c r="J809" s="5" t="s">
        <v>39</v>
      </c>
      <c r="K809" s="5" t="s">
        <v>3923</v>
      </c>
      <c r="L809" s="5" t="s">
        <v>2578</v>
      </c>
      <c r="M809" s="5" t="s">
        <v>314</v>
      </c>
      <c r="N809" s="5" t="s">
        <v>36</v>
      </c>
      <c r="O809" s="5">
        <v>1</v>
      </c>
      <c r="P809" s="5" t="s">
        <v>43</v>
      </c>
      <c r="Q809" s="5">
        <v>23.99</v>
      </c>
      <c r="R809" s="5">
        <v>2.35</v>
      </c>
      <c r="S809" s="5"/>
      <c r="T809" s="5"/>
      <c r="U809" s="5"/>
      <c r="V809" s="5"/>
      <c r="W809" s="5">
        <v>1.2</v>
      </c>
      <c r="X809" s="5"/>
      <c r="Y809" s="5" t="s">
        <v>3921</v>
      </c>
      <c r="Z809" s="5" t="s">
        <v>3922</v>
      </c>
      <c r="AA809" s="5">
        <v>98204</v>
      </c>
      <c r="AB809" s="5" t="s">
        <v>46</v>
      </c>
      <c r="AC809" s="5" t="s">
        <v>115</v>
      </c>
      <c r="AD809" s="5" t="b">
        <v>0</v>
      </c>
      <c r="AE809" s="5"/>
      <c r="AF809" s="5"/>
      <c r="AG809" s="9">
        <f t="shared" si="12"/>
        <v>43278</v>
      </c>
    </row>
    <row r="810" s="6" customFormat="1" spans="1:33">
      <c r="A810" s="5" t="s">
        <v>3917</v>
      </c>
      <c r="B810" s="5" t="s">
        <v>3917</v>
      </c>
      <c r="C810" s="5" t="s">
        <v>3918</v>
      </c>
      <c r="D810" s="5" t="s">
        <v>3919</v>
      </c>
      <c r="E810" s="5" t="s">
        <v>36</v>
      </c>
      <c r="F810" s="5" t="s">
        <v>37</v>
      </c>
      <c r="G810" s="5" t="s">
        <v>38</v>
      </c>
      <c r="H810" s="5"/>
      <c r="I810" s="5"/>
      <c r="J810" s="5" t="s">
        <v>39</v>
      </c>
      <c r="K810" s="5" t="s">
        <v>67</v>
      </c>
      <c r="L810" s="5" t="s">
        <v>68</v>
      </c>
      <c r="M810" s="5" t="s">
        <v>69</v>
      </c>
      <c r="N810" s="5" t="s">
        <v>36</v>
      </c>
      <c r="O810" s="5">
        <v>1</v>
      </c>
      <c r="P810" s="5" t="s">
        <v>43</v>
      </c>
      <c r="Q810" s="5">
        <v>24.99</v>
      </c>
      <c r="R810" s="5">
        <v>2.57</v>
      </c>
      <c r="S810" s="5"/>
      <c r="T810" s="5"/>
      <c r="U810" s="5"/>
      <c r="V810" s="5"/>
      <c r="W810" s="5"/>
      <c r="X810" s="5"/>
      <c r="Y810" s="5" t="s">
        <v>3921</v>
      </c>
      <c r="Z810" s="5" t="s">
        <v>3922</v>
      </c>
      <c r="AA810" s="5">
        <v>98204</v>
      </c>
      <c r="AB810" s="5" t="s">
        <v>46</v>
      </c>
      <c r="AC810" s="5"/>
      <c r="AD810" s="5" t="b">
        <v>0</v>
      </c>
      <c r="AE810" s="5"/>
      <c r="AF810" s="5"/>
      <c r="AG810" s="9">
        <f t="shared" si="12"/>
        <v>43278</v>
      </c>
    </row>
    <row r="811" s="6" customFormat="1" spans="1:33">
      <c r="A811" s="5" t="s">
        <v>3924</v>
      </c>
      <c r="B811" s="5" t="s">
        <v>3924</v>
      </c>
      <c r="C811" s="5" t="s">
        <v>3925</v>
      </c>
      <c r="D811" s="5" t="s">
        <v>3926</v>
      </c>
      <c r="E811" s="5" t="s">
        <v>36</v>
      </c>
      <c r="F811" s="5" t="s">
        <v>37</v>
      </c>
      <c r="G811" s="5" t="s">
        <v>38</v>
      </c>
      <c r="H811" s="5"/>
      <c r="I811" s="5"/>
      <c r="J811" s="5" t="s">
        <v>39</v>
      </c>
      <c r="K811" s="5" t="s">
        <v>3923</v>
      </c>
      <c r="L811" s="5" t="s">
        <v>2578</v>
      </c>
      <c r="M811" s="5" t="s">
        <v>314</v>
      </c>
      <c r="N811" s="5" t="s">
        <v>36</v>
      </c>
      <c r="O811" s="5">
        <v>1</v>
      </c>
      <c r="P811" s="5" t="s">
        <v>43</v>
      </c>
      <c r="Q811" s="5">
        <v>23.99</v>
      </c>
      <c r="R811" s="5">
        <v>2.47</v>
      </c>
      <c r="S811" s="5"/>
      <c r="T811" s="5"/>
      <c r="U811" s="5"/>
      <c r="V811" s="5"/>
      <c r="W811" s="5"/>
      <c r="X811" s="5"/>
      <c r="Y811" s="5" t="s">
        <v>3921</v>
      </c>
      <c r="Z811" s="5" t="s">
        <v>3922</v>
      </c>
      <c r="AA811" s="5">
        <v>98204</v>
      </c>
      <c r="AB811" s="5" t="s">
        <v>46</v>
      </c>
      <c r="AC811" s="5"/>
      <c r="AD811" s="5" t="b">
        <v>0</v>
      </c>
      <c r="AE811" s="5"/>
      <c r="AF811" s="5"/>
      <c r="AG811" s="9">
        <f t="shared" si="12"/>
        <v>43278</v>
      </c>
    </row>
    <row r="812" s="6" customFormat="1" spans="1:33">
      <c r="A812" s="5" t="s">
        <v>3927</v>
      </c>
      <c r="B812" s="5" t="s">
        <v>3927</v>
      </c>
      <c r="C812" s="5" t="s">
        <v>3928</v>
      </c>
      <c r="D812" s="5" t="s">
        <v>3929</v>
      </c>
      <c r="E812" s="5" t="s">
        <v>36</v>
      </c>
      <c r="F812" s="5" t="s">
        <v>37</v>
      </c>
      <c r="G812" s="5" t="s">
        <v>38</v>
      </c>
      <c r="H812" s="5"/>
      <c r="I812" s="5"/>
      <c r="J812" s="5" t="s">
        <v>39</v>
      </c>
      <c r="K812" s="5" t="s">
        <v>434</v>
      </c>
      <c r="L812" s="5" t="s">
        <v>435</v>
      </c>
      <c r="M812" s="5" t="s">
        <v>436</v>
      </c>
      <c r="N812" s="5" t="s">
        <v>36</v>
      </c>
      <c r="O812" s="5">
        <v>1</v>
      </c>
      <c r="P812" s="5" t="s">
        <v>43</v>
      </c>
      <c r="Q812" s="5">
        <v>13.99</v>
      </c>
      <c r="R812" s="5">
        <v>0.84</v>
      </c>
      <c r="S812" s="5"/>
      <c r="T812" s="5"/>
      <c r="U812" s="5"/>
      <c r="V812" s="5"/>
      <c r="W812" s="5"/>
      <c r="X812" s="5"/>
      <c r="Y812" s="5" t="s">
        <v>3930</v>
      </c>
      <c r="Z812" s="5" t="s">
        <v>255</v>
      </c>
      <c r="AA812" s="5" t="s">
        <v>3931</v>
      </c>
      <c r="AB812" s="5" t="s">
        <v>46</v>
      </c>
      <c r="AC812" s="5"/>
      <c r="AD812" s="5" t="b">
        <v>0</v>
      </c>
      <c r="AE812" s="5"/>
      <c r="AF812" s="5"/>
      <c r="AG812" s="9">
        <f t="shared" si="12"/>
        <v>43278</v>
      </c>
    </row>
    <row r="813" s="6" customFormat="1" spans="1:33">
      <c r="A813" s="5" t="s">
        <v>3932</v>
      </c>
      <c r="B813" s="5" t="s">
        <v>3932</v>
      </c>
      <c r="C813" s="5" t="s">
        <v>3933</v>
      </c>
      <c r="D813" s="5" t="s">
        <v>3934</v>
      </c>
      <c r="E813" s="5" t="s">
        <v>36</v>
      </c>
      <c r="F813" s="5" t="s">
        <v>37</v>
      </c>
      <c r="G813" s="5" t="s">
        <v>38</v>
      </c>
      <c r="H813" s="5"/>
      <c r="I813" s="5"/>
      <c r="J813" s="5" t="s">
        <v>39</v>
      </c>
      <c r="K813" s="5" t="s">
        <v>3714</v>
      </c>
      <c r="L813" s="5" t="s">
        <v>148</v>
      </c>
      <c r="M813" s="5" t="s">
        <v>149</v>
      </c>
      <c r="N813" s="5" t="s">
        <v>36</v>
      </c>
      <c r="O813" s="5">
        <v>1</v>
      </c>
      <c r="P813" s="5" t="s">
        <v>43</v>
      </c>
      <c r="Q813" s="5">
        <v>14.99</v>
      </c>
      <c r="R813" s="5"/>
      <c r="S813" s="5"/>
      <c r="T813" s="5"/>
      <c r="U813" s="5"/>
      <c r="V813" s="5"/>
      <c r="W813" s="5"/>
      <c r="X813" s="5"/>
      <c r="Y813" s="5" t="s">
        <v>3935</v>
      </c>
      <c r="Z813" s="5" t="s">
        <v>151</v>
      </c>
      <c r="AA813" s="5" t="s">
        <v>3936</v>
      </c>
      <c r="AB813" s="5" t="s">
        <v>46</v>
      </c>
      <c r="AC813" s="5"/>
      <c r="AD813" s="5" t="b">
        <v>0</v>
      </c>
      <c r="AE813" s="5"/>
      <c r="AF813" s="5"/>
      <c r="AG813" s="9">
        <f t="shared" si="12"/>
        <v>43278</v>
      </c>
    </row>
    <row r="814" s="6" customFormat="1" spans="1:33">
      <c r="A814" s="5" t="s">
        <v>3937</v>
      </c>
      <c r="B814" s="5" t="s">
        <v>3937</v>
      </c>
      <c r="C814" s="5" t="s">
        <v>3938</v>
      </c>
      <c r="D814" s="5" t="s">
        <v>3939</v>
      </c>
      <c r="E814" s="5" t="s">
        <v>36</v>
      </c>
      <c r="F814" s="5" t="s">
        <v>37</v>
      </c>
      <c r="G814" s="5" t="s">
        <v>38</v>
      </c>
      <c r="H814" s="5"/>
      <c r="I814" s="5"/>
      <c r="J814" s="5" t="s">
        <v>128</v>
      </c>
      <c r="K814" s="5" t="s">
        <v>3940</v>
      </c>
      <c r="L814" s="5" t="s">
        <v>2099</v>
      </c>
      <c r="M814" s="5" t="s">
        <v>121</v>
      </c>
      <c r="N814" s="5" t="s">
        <v>36</v>
      </c>
      <c r="O814" s="5">
        <v>1</v>
      </c>
      <c r="P814" s="5" t="s">
        <v>43</v>
      </c>
      <c r="Q814" s="5">
        <v>24.99</v>
      </c>
      <c r="R814" s="5"/>
      <c r="S814" s="5">
        <v>2.64</v>
      </c>
      <c r="T814" s="5"/>
      <c r="U814" s="5"/>
      <c r="V814" s="5"/>
      <c r="W814" s="5"/>
      <c r="X814" s="5">
        <v>2.64</v>
      </c>
      <c r="Y814" s="5" t="s">
        <v>3941</v>
      </c>
      <c r="Z814" s="5" t="s">
        <v>792</v>
      </c>
      <c r="AA814" s="5">
        <v>90404</v>
      </c>
      <c r="AB814" s="5" t="s">
        <v>46</v>
      </c>
      <c r="AC814" s="5" t="s">
        <v>225</v>
      </c>
      <c r="AD814" s="5" t="b">
        <v>0</v>
      </c>
      <c r="AE814" s="5"/>
      <c r="AF814" s="5"/>
      <c r="AG814" s="9">
        <f t="shared" si="12"/>
        <v>43278</v>
      </c>
    </row>
    <row r="815" s="6" customFormat="1" spans="1:33">
      <c r="A815" s="5" t="s">
        <v>3942</v>
      </c>
      <c r="B815" s="5" t="s">
        <v>3942</v>
      </c>
      <c r="C815" s="5" t="s">
        <v>3943</v>
      </c>
      <c r="D815" s="5" t="s">
        <v>3944</v>
      </c>
      <c r="E815" s="5" t="s">
        <v>36</v>
      </c>
      <c r="F815" s="5" t="s">
        <v>37</v>
      </c>
      <c r="G815" s="5" t="s">
        <v>38</v>
      </c>
      <c r="H815" s="5"/>
      <c r="I815" s="5"/>
      <c r="J815" s="5" t="s">
        <v>39</v>
      </c>
      <c r="K815" s="5" t="s">
        <v>3668</v>
      </c>
      <c r="L815" s="5" t="s">
        <v>578</v>
      </c>
      <c r="M815" s="5" t="s">
        <v>572</v>
      </c>
      <c r="N815" s="5" t="s">
        <v>36</v>
      </c>
      <c r="O815" s="5">
        <v>1</v>
      </c>
      <c r="P815" s="5" t="s">
        <v>43</v>
      </c>
      <c r="Q815" s="5">
        <v>24.99</v>
      </c>
      <c r="R815" s="5"/>
      <c r="S815" s="5"/>
      <c r="T815" s="5"/>
      <c r="U815" s="5"/>
      <c r="V815" s="5"/>
      <c r="W815" s="5"/>
      <c r="X815" s="5"/>
      <c r="Y815" s="5" t="s">
        <v>3945</v>
      </c>
      <c r="Z815" s="5" t="s">
        <v>923</v>
      </c>
      <c r="AA815" s="5" t="s">
        <v>3946</v>
      </c>
      <c r="AB815" s="5" t="s">
        <v>46</v>
      </c>
      <c r="AC815" s="5"/>
      <c r="AD815" s="5" t="b">
        <v>0</v>
      </c>
      <c r="AE815" s="5"/>
      <c r="AF815" s="5"/>
      <c r="AG815" s="9">
        <f t="shared" si="12"/>
        <v>43278</v>
      </c>
    </row>
    <row r="816" s="6" customFormat="1" spans="1:33">
      <c r="A816" s="5" t="s">
        <v>3947</v>
      </c>
      <c r="B816" s="5" t="s">
        <v>3947</v>
      </c>
      <c r="C816" s="5" t="s">
        <v>3948</v>
      </c>
      <c r="D816" s="5" t="s">
        <v>3949</v>
      </c>
      <c r="E816" s="5" t="s">
        <v>36</v>
      </c>
      <c r="F816" s="5" t="s">
        <v>37</v>
      </c>
      <c r="G816" s="5" t="s">
        <v>38</v>
      </c>
      <c r="H816" s="5"/>
      <c r="I816" s="5"/>
      <c r="J816" s="5" t="s">
        <v>156</v>
      </c>
      <c r="K816" s="5" t="s">
        <v>3645</v>
      </c>
      <c r="L816" s="5" t="s">
        <v>51</v>
      </c>
      <c r="M816" s="5" t="s">
        <v>52</v>
      </c>
      <c r="N816" s="5" t="s">
        <v>36</v>
      </c>
      <c r="O816" s="5">
        <v>1</v>
      </c>
      <c r="P816" s="5" t="s">
        <v>43</v>
      </c>
      <c r="Q816" s="5">
        <v>18.99</v>
      </c>
      <c r="R816" s="5"/>
      <c r="S816" s="5">
        <v>19.38</v>
      </c>
      <c r="T816" s="5"/>
      <c r="U816" s="5"/>
      <c r="V816" s="5"/>
      <c r="W816" s="5"/>
      <c r="X816" s="5"/>
      <c r="Y816" s="5" t="s">
        <v>489</v>
      </c>
      <c r="Z816" s="5" t="s">
        <v>142</v>
      </c>
      <c r="AA816" s="5" t="s">
        <v>3950</v>
      </c>
      <c r="AB816" s="5" t="s">
        <v>46</v>
      </c>
      <c r="AC816" s="5"/>
      <c r="AD816" s="5" t="b">
        <v>0</v>
      </c>
      <c r="AE816" s="5"/>
      <c r="AF816" s="5"/>
      <c r="AG816" s="9">
        <f t="shared" si="12"/>
        <v>43278</v>
      </c>
    </row>
    <row r="817" s="6" customFormat="1" spans="1:33">
      <c r="A817" s="5" t="s">
        <v>3951</v>
      </c>
      <c r="B817" s="5" t="s">
        <v>3951</v>
      </c>
      <c r="C817" s="5" t="s">
        <v>3952</v>
      </c>
      <c r="D817" s="5" t="s">
        <v>3953</v>
      </c>
      <c r="E817" s="5" t="s">
        <v>36</v>
      </c>
      <c r="F817" s="5" t="s">
        <v>37</v>
      </c>
      <c r="G817" s="5" t="s">
        <v>38</v>
      </c>
      <c r="H817" s="5"/>
      <c r="I817" s="5"/>
      <c r="J817" s="5" t="s">
        <v>39</v>
      </c>
      <c r="K817" s="5" t="s">
        <v>3798</v>
      </c>
      <c r="L817" s="5" t="s">
        <v>1048</v>
      </c>
      <c r="M817" s="5" t="s">
        <v>535</v>
      </c>
      <c r="N817" s="5" t="s">
        <v>36</v>
      </c>
      <c r="O817" s="5">
        <v>1</v>
      </c>
      <c r="P817" s="5" t="s">
        <v>43</v>
      </c>
      <c r="Q817" s="5">
        <v>24.99</v>
      </c>
      <c r="R817" s="5">
        <v>2.5</v>
      </c>
      <c r="S817" s="5"/>
      <c r="T817" s="5"/>
      <c r="U817" s="5"/>
      <c r="V817" s="5"/>
      <c r="W817" s="5"/>
      <c r="X817" s="5"/>
      <c r="Y817" s="5" t="s">
        <v>3954</v>
      </c>
      <c r="Z817" s="5" t="s">
        <v>474</v>
      </c>
      <c r="AA817" s="5">
        <v>98001</v>
      </c>
      <c r="AB817" s="5" t="s">
        <v>46</v>
      </c>
      <c r="AC817" s="5"/>
      <c r="AD817" s="5" t="b">
        <v>0</v>
      </c>
      <c r="AE817" s="5"/>
      <c r="AF817" s="5"/>
      <c r="AG817" s="9">
        <f t="shared" si="12"/>
        <v>43278</v>
      </c>
    </row>
    <row r="818" s="6" customFormat="1" spans="1:33">
      <c r="A818" s="5" t="s">
        <v>3955</v>
      </c>
      <c r="B818" s="5" t="s">
        <v>3955</v>
      </c>
      <c r="C818" s="5" t="s">
        <v>3956</v>
      </c>
      <c r="D818" s="5" t="s">
        <v>3957</v>
      </c>
      <c r="E818" s="5" t="s">
        <v>36</v>
      </c>
      <c r="F818" s="5" t="s">
        <v>37</v>
      </c>
      <c r="G818" s="5" t="s">
        <v>38</v>
      </c>
      <c r="H818" s="5"/>
      <c r="I818" s="5"/>
      <c r="J818" s="5" t="s">
        <v>39</v>
      </c>
      <c r="K818" s="5" t="s">
        <v>3752</v>
      </c>
      <c r="L818" s="5" t="s">
        <v>244</v>
      </c>
      <c r="M818" s="5" t="s">
        <v>245</v>
      </c>
      <c r="N818" s="5" t="s">
        <v>36</v>
      </c>
      <c r="O818" s="5">
        <v>1</v>
      </c>
      <c r="P818" s="5" t="s">
        <v>43</v>
      </c>
      <c r="Q818" s="5">
        <v>18.99</v>
      </c>
      <c r="R818" s="5"/>
      <c r="S818" s="5"/>
      <c r="T818" s="5"/>
      <c r="U818" s="5"/>
      <c r="V818" s="5"/>
      <c r="W818" s="5"/>
      <c r="X818" s="5"/>
      <c r="Y818" s="5" t="s">
        <v>3958</v>
      </c>
      <c r="Z818" s="5" t="s">
        <v>183</v>
      </c>
      <c r="AA818" s="5" t="s">
        <v>3959</v>
      </c>
      <c r="AB818" s="5" t="s">
        <v>46</v>
      </c>
      <c r="AC818" s="5"/>
      <c r="AD818" s="5" t="b">
        <v>0</v>
      </c>
      <c r="AE818" s="5"/>
      <c r="AF818" s="5"/>
      <c r="AG818" s="9">
        <f t="shared" si="12"/>
        <v>43278</v>
      </c>
    </row>
    <row r="819" s="6" customFormat="1" spans="1:33">
      <c r="A819" s="5" t="s">
        <v>3960</v>
      </c>
      <c r="B819" s="5" t="s">
        <v>3960</v>
      </c>
      <c r="C819" s="5" t="s">
        <v>3961</v>
      </c>
      <c r="D819" s="5" t="s">
        <v>3962</v>
      </c>
      <c r="E819" s="5" t="s">
        <v>36</v>
      </c>
      <c r="F819" s="5" t="s">
        <v>37</v>
      </c>
      <c r="G819" s="5" t="s">
        <v>38</v>
      </c>
      <c r="H819" s="5"/>
      <c r="I819" s="5"/>
      <c r="J819" s="5" t="s">
        <v>39</v>
      </c>
      <c r="K819" s="5" t="s">
        <v>409</v>
      </c>
      <c r="L819" s="5" t="s">
        <v>724</v>
      </c>
      <c r="M819" s="5" t="s">
        <v>725</v>
      </c>
      <c r="N819" s="5" t="s">
        <v>36</v>
      </c>
      <c r="O819" s="5">
        <v>1</v>
      </c>
      <c r="P819" s="5" t="s">
        <v>43</v>
      </c>
      <c r="Q819" s="5">
        <v>9.9</v>
      </c>
      <c r="R819" s="5">
        <v>0.9</v>
      </c>
      <c r="S819" s="5"/>
      <c r="T819" s="5"/>
      <c r="U819" s="5"/>
      <c r="V819" s="5"/>
      <c r="W819" s="5"/>
      <c r="X819" s="5"/>
      <c r="Y819" s="5" t="s">
        <v>3963</v>
      </c>
      <c r="Z819" s="5" t="s">
        <v>474</v>
      </c>
      <c r="AA819" s="5">
        <v>98292</v>
      </c>
      <c r="AB819" s="5" t="s">
        <v>46</v>
      </c>
      <c r="AC819" s="5"/>
      <c r="AD819" s="5" t="b">
        <v>0</v>
      </c>
      <c r="AE819" s="5"/>
      <c r="AF819" s="5"/>
      <c r="AG819" s="9">
        <f t="shared" si="12"/>
        <v>43278</v>
      </c>
    </row>
    <row r="820" s="6" customFormat="1" spans="1:33">
      <c r="A820" s="5" t="s">
        <v>3964</v>
      </c>
      <c r="B820" s="5" t="s">
        <v>3964</v>
      </c>
      <c r="C820" s="5" t="s">
        <v>3965</v>
      </c>
      <c r="D820" s="5" t="s">
        <v>3966</v>
      </c>
      <c r="E820" s="5" t="s">
        <v>36</v>
      </c>
      <c r="F820" s="5" t="s">
        <v>37</v>
      </c>
      <c r="G820" s="5" t="s">
        <v>38</v>
      </c>
      <c r="H820" s="5"/>
      <c r="I820" s="5"/>
      <c r="J820" s="5" t="s">
        <v>39</v>
      </c>
      <c r="K820" s="5" t="s">
        <v>409</v>
      </c>
      <c r="L820" s="5" t="s">
        <v>1242</v>
      </c>
      <c r="M820" s="5" t="s">
        <v>1243</v>
      </c>
      <c r="N820" s="5" t="s">
        <v>36</v>
      </c>
      <c r="O820" s="5">
        <v>1</v>
      </c>
      <c r="P820" s="5" t="s">
        <v>43</v>
      </c>
      <c r="Q820" s="5">
        <v>9.9</v>
      </c>
      <c r="R820" s="5"/>
      <c r="S820" s="5"/>
      <c r="T820" s="5"/>
      <c r="U820" s="5"/>
      <c r="V820" s="5"/>
      <c r="W820" s="5"/>
      <c r="X820" s="5"/>
      <c r="Y820" s="5" t="s">
        <v>856</v>
      </c>
      <c r="Z820" s="5" t="s">
        <v>151</v>
      </c>
      <c r="AA820" s="5" t="s">
        <v>3967</v>
      </c>
      <c r="AB820" s="5" t="s">
        <v>46</v>
      </c>
      <c r="AC820" s="5"/>
      <c r="AD820" s="5" t="b">
        <v>0</v>
      </c>
      <c r="AE820" s="5"/>
      <c r="AF820" s="5"/>
      <c r="AG820" s="9">
        <f t="shared" si="12"/>
        <v>43278</v>
      </c>
    </row>
    <row r="821" s="6" customFormat="1" spans="1:33">
      <c r="A821" s="5" t="s">
        <v>3968</v>
      </c>
      <c r="B821" s="5" t="s">
        <v>3968</v>
      </c>
      <c r="C821" s="5" t="s">
        <v>3969</v>
      </c>
      <c r="D821" s="5" t="s">
        <v>3970</v>
      </c>
      <c r="E821" s="5" t="s">
        <v>36</v>
      </c>
      <c r="F821" s="5" t="s">
        <v>37</v>
      </c>
      <c r="G821" s="5" t="s">
        <v>38</v>
      </c>
      <c r="H821" s="5"/>
      <c r="I821" s="5"/>
      <c r="J821" s="5" t="s">
        <v>39</v>
      </c>
      <c r="K821" s="5" t="s">
        <v>587</v>
      </c>
      <c r="L821" s="5" t="s">
        <v>588</v>
      </c>
      <c r="M821" s="5" t="s">
        <v>589</v>
      </c>
      <c r="N821" s="5" t="s">
        <v>36</v>
      </c>
      <c r="O821" s="5">
        <v>1</v>
      </c>
      <c r="P821" s="5" t="s">
        <v>43</v>
      </c>
      <c r="Q821" s="5">
        <v>18.99</v>
      </c>
      <c r="R821" s="5"/>
      <c r="S821" s="5"/>
      <c r="T821" s="5"/>
      <c r="U821" s="5"/>
      <c r="V821" s="5"/>
      <c r="W821" s="5"/>
      <c r="X821" s="5"/>
      <c r="Y821" s="5" t="s">
        <v>1326</v>
      </c>
      <c r="Z821" s="5" t="s">
        <v>247</v>
      </c>
      <c r="AA821" s="5" t="s">
        <v>3971</v>
      </c>
      <c r="AB821" s="5" t="s">
        <v>46</v>
      </c>
      <c r="AC821" s="5"/>
      <c r="AD821" s="5" t="b">
        <v>0</v>
      </c>
      <c r="AE821" s="5"/>
      <c r="AF821" s="5"/>
      <c r="AG821" s="9">
        <f t="shared" si="12"/>
        <v>43278</v>
      </c>
    </row>
    <row r="822" s="6" customFormat="1" spans="1:33">
      <c r="A822" s="5" t="s">
        <v>3972</v>
      </c>
      <c r="B822" s="5" t="s">
        <v>3972</v>
      </c>
      <c r="C822" s="5" t="s">
        <v>3973</v>
      </c>
      <c r="D822" s="5" t="s">
        <v>3974</v>
      </c>
      <c r="E822" s="5" t="s">
        <v>36</v>
      </c>
      <c r="F822" s="5" t="s">
        <v>37</v>
      </c>
      <c r="G822" s="5" t="s">
        <v>38</v>
      </c>
      <c r="H822" s="5"/>
      <c r="I822" s="5"/>
      <c r="J822" s="5" t="s">
        <v>39</v>
      </c>
      <c r="K822" s="5" t="s">
        <v>3714</v>
      </c>
      <c r="L822" s="5" t="s">
        <v>3975</v>
      </c>
      <c r="M822" s="5" t="s">
        <v>149</v>
      </c>
      <c r="N822" s="5" t="s">
        <v>36</v>
      </c>
      <c r="O822" s="5">
        <v>1</v>
      </c>
      <c r="P822" s="5" t="s">
        <v>43</v>
      </c>
      <c r="Q822" s="5">
        <v>12.99</v>
      </c>
      <c r="R822" s="5"/>
      <c r="S822" s="5"/>
      <c r="T822" s="5"/>
      <c r="U822" s="5"/>
      <c r="V822" s="5"/>
      <c r="W822" s="5"/>
      <c r="X822" s="5"/>
      <c r="Y822" s="5" t="s">
        <v>3976</v>
      </c>
      <c r="Z822" s="5" t="s">
        <v>703</v>
      </c>
      <c r="AA822" s="5">
        <v>75062</v>
      </c>
      <c r="AB822" s="5" t="s">
        <v>46</v>
      </c>
      <c r="AC822" s="5"/>
      <c r="AD822" s="5" t="b">
        <v>0</v>
      </c>
      <c r="AE822" s="5"/>
      <c r="AF822" s="5"/>
      <c r="AG822" s="9">
        <f t="shared" si="12"/>
        <v>43278</v>
      </c>
    </row>
    <row r="823" s="6" customFormat="1" spans="1:33">
      <c r="A823" s="5" t="s">
        <v>3977</v>
      </c>
      <c r="B823" s="5" t="s">
        <v>3977</v>
      </c>
      <c r="C823" s="5" t="s">
        <v>3978</v>
      </c>
      <c r="D823" s="5" t="s">
        <v>3979</v>
      </c>
      <c r="E823" s="5" t="s">
        <v>36</v>
      </c>
      <c r="F823" s="5" t="s">
        <v>37</v>
      </c>
      <c r="G823" s="5" t="s">
        <v>38</v>
      </c>
      <c r="H823" s="5"/>
      <c r="I823" s="5"/>
      <c r="J823" s="5" t="s">
        <v>39</v>
      </c>
      <c r="K823" s="5" t="s">
        <v>3714</v>
      </c>
      <c r="L823" s="5" t="s">
        <v>148</v>
      </c>
      <c r="M823" s="5" t="s">
        <v>149</v>
      </c>
      <c r="N823" s="5" t="s">
        <v>36</v>
      </c>
      <c r="O823" s="5">
        <v>1</v>
      </c>
      <c r="P823" s="5" t="s">
        <v>43</v>
      </c>
      <c r="Q823" s="5">
        <v>12.98</v>
      </c>
      <c r="R823" s="5"/>
      <c r="S823" s="5"/>
      <c r="T823" s="5"/>
      <c r="U823" s="5"/>
      <c r="V823" s="5"/>
      <c r="W823" s="5"/>
      <c r="X823" s="5"/>
      <c r="Y823" s="5" t="s">
        <v>1258</v>
      </c>
      <c r="Z823" s="5" t="s">
        <v>142</v>
      </c>
      <c r="AA823" s="5" t="s">
        <v>3980</v>
      </c>
      <c r="AB823" s="5" t="s">
        <v>46</v>
      </c>
      <c r="AC823" s="5"/>
      <c r="AD823" s="5" t="b">
        <v>0</v>
      </c>
      <c r="AE823" s="5"/>
      <c r="AF823" s="5"/>
      <c r="AG823" s="9">
        <f t="shared" si="12"/>
        <v>43278</v>
      </c>
    </row>
    <row r="824" s="6" customFormat="1" spans="1:33">
      <c r="A824" s="5" t="s">
        <v>3981</v>
      </c>
      <c r="B824" s="5" t="s">
        <v>3981</v>
      </c>
      <c r="C824" s="5" t="s">
        <v>3982</v>
      </c>
      <c r="D824" s="5" t="s">
        <v>3983</v>
      </c>
      <c r="E824" s="5" t="s">
        <v>36</v>
      </c>
      <c r="F824" s="5" t="s">
        <v>37</v>
      </c>
      <c r="G824" s="5" t="s">
        <v>38</v>
      </c>
      <c r="H824" s="5"/>
      <c r="I824" s="5"/>
      <c r="J824" s="5" t="s">
        <v>39</v>
      </c>
      <c r="K824" s="5" t="s">
        <v>1407</v>
      </c>
      <c r="L824" s="5" t="s">
        <v>1408</v>
      </c>
      <c r="M824" s="5" t="s">
        <v>1409</v>
      </c>
      <c r="N824" s="5" t="s">
        <v>36</v>
      </c>
      <c r="O824" s="5">
        <v>1</v>
      </c>
      <c r="P824" s="5" t="s">
        <v>43</v>
      </c>
      <c r="Q824" s="5">
        <v>29.99</v>
      </c>
      <c r="R824" s="5">
        <v>1.8</v>
      </c>
      <c r="S824" s="5"/>
      <c r="T824" s="5"/>
      <c r="U824" s="5"/>
      <c r="V824" s="5"/>
      <c r="W824" s="5"/>
      <c r="X824" s="5"/>
      <c r="Y824" s="5" t="s">
        <v>254</v>
      </c>
      <c r="Z824" s="5" t="s">
        <v>255</v>
      </c>
      <c r="AA824" s="5" t="s">
        <v>3984</v>
      </c>
      <c r="AB824" s="5" t="s">
        <v>46</v>
      </c>
      <c r="AC824" s="5"/>
      <c r="AD824" s="5" t="b">
        <v>0</v>
      </c>
      <c r="AE824" s="5"/>
      <c r="AF824" s="5"/>
      <c r="AG824" s="9">
        <f t="shared" si="12"/>
        <v>43278</v>
      </c>
    </row>
    <row r="825" s="6" customFormat="1" spans="1:33">
      <c r="A825" s="5" t="s">
        <v>3985</v>
      </c>
      <c r="B825" s="5" t="s">
        <v>3985</v>
      </c>
      <c r="C825" s="5" t="s">
        <v>3986</v>
      </c>
      <c r="D825" s="5" t="s">
        <v>3987</v>
      </c>
      <c r="E825" s="5" t="s">
        <v>36</v>
      </c>
      <c r="F825" s="5" t="s">
        <v>37</v>
      </c>
      <c r="G825" s="5" t="s">
        <v>38</v>
      </c>
      <c r="H825" s="5"/>
      <c r="I825" s="5"/>
      <c r="J825" s="5" t="s">
        <v>39</v>
      </c>
      <c r="K825" s="5" t="s">
        <v>541</v>
      </c>
      <c r="L825" s="5" t="s">
        <v>1106</v>
      </c>
      <c r="M825" s="5" t="s">
        <v>1107</v>
      </c>
      <c r="N825" s="5" t="s">
        <v>36</v>
      </c>
      <c r="O825" s="5">
        <v>1</v>
      </c>
      <c r="P825" s="5" t="s">
        <v>43</v>
      </c>
      <c r="Q825" s="5">
        <v>10.98</v>
      </c>
      <c r="R825" s="5"/>
      <c r="S825" s="5"/>
      <c r="T825" s="5"/>
      <c r="U825" s="5"/>
      <c r="V825" s="5"/>
      <c r="W825" s="5"/>
      <c r="X825" s="5"/>
      <c r="Y825" s="5" t="s">
        <v>3988</v>
      </c>
      <c r="Z825" s="5" t="s">
        <v>3989</v>
      </c>
      <c r="AA825" s="5" t="s">
        <v>3990</v>
      </c>
      <c r="AB825" s="5" t="s">
        <v>46</v>
      </c>
      <c r="AC825" s="5"/>
      <c r="AD825" s="5" t="b">
        <v>0</v>
      </c>
      <c r="AE825" s="5"/>
      <c r="AF825" s="5"/>
      <c r="AG825" s="9">
        <f t="shared" si="12"/>
        <v>43279</v>
      </c>
    </row>
    <row r="826" s="6" customFormat="1" spans="1:33">
      <c r="A826" s="5" t="s">
        <v>3991</v>
      </c>
      <c r="B826" s="5" t="s">
        <v>3991</v>
      </c>
      <c r="C826" s="5" t="s">
        <v>3992</v>
      </c>
      <c r="D826" s="5" t="s">
        <v>3993</v>
      </c>
      <c r="E826" s="5" t="s">
        <v>36</v>
      </c>
      <c r="F826" s="5" t="s">
        <v>37</v>
      </c>
      <c r="G826" s="5" t="s">
        <v>38</v>
      </c>
      <c r="H826" s="5"/>
      <c r="I826" s="5"/>
      <c r="J826" s="5" t="s">
        <v>39</v>
      </c>
      <c r="K826" s="5" t="s">
        <v>554</v>
      </c>
      <c r="L826" s="5" t="s">
        <v>555</v>
      </c>
      <c r="M826" s="5" t="s">
        <v>556</v>
      </c>
      <c r="N826" s="5" t="s">
        <v>36</v>
      </c>
      <c r="O826" s="5">
        <v>1</v>
      </c>
      <c r="P826" s="5" t="s">
        <v>43</v>
      </c>
      <c r="Q826" s="5">
        <v>10</v>
      </c>
      <c r="R826" s="5"/>
      <c r="S826" s="5"/>
      <c r="T826" s="5"/>
      <c r="U826" s="5"/>
      <c r="V826" s="5"/>
      <c r="W826" s="5"/>
      <c r="X826" s="5"/>
      <c r="Y826" s="5" t="s">
        <v>3994</v>
      </c>
      <c r="Z826" s="5" t="s">
        <v>606</v>
      </c>
      <c r="AA826" s="5">
        <v>29680</v>
      </c>
      <c r="AB826" s="5" t="s">
        <v>46</v>
      </c>
      <c r="AC826" s="5"/>
      <c r="AD826" s="5" t="b">
        <v>0</v>
      </c>
      <c r="AE826" s="5"/>
      <c r="AF826" s="5"/>
      <c r="AG826" s="9">
        <f t="shared" si="12"/>
        <v>43279</v>
      </c>
    </row>
    <row r="827" s="6" customFormat="1" spans="1:33">
      <c r="A827" s="5" t="s">
        <v>3995</v>
      </c>
      <c r="B827" s="5" t="s">
        <v>3995</v>
      </c>
      <c r="C827" s="5" t="s">
        <v>3996</v>
      </c>
      <c r="D827" s="5" t="s">
        <v>3997</v>
      </c>
      <c r="E827" s="5" t="s">
        <v>36</v>
      </c>
      <c r="F827" s="5" t="s">
        <v>37</v>
      </c>
      <c r="G827" s="5" t="s">
        <v>38</v>
      </c>
      <c r="H827" s="5"/>
      <c r="I827" s="5"/>
      <c r="J827" s="5" t="s">
        <v>39</v>
      </c>
      <c r="K827" s="5" t="s">
        <v>3645</v>
      </c>
      <c r="L827" s="5" t="s">
        <v>51</v>
      </c>
      <c r="M827" s="5" t="s">
        <v>52</v>
      </c>
      <c r="N827" s="5" t="s">
        <v>36</v>
      </c>
      <c r="O827" s="5">
        <v>1</v>
      </c>
      <c r="P827" s="5" t="s">
        <v>43</v>
      </c>
      <c r="Q827" s="5">
        <v>18.99</v>
      </c>
      <c r="R827" s="5"/>
      <c r="S827" s="5"/>
      <c r="T827" s="5"/>
      <c r="U827" s="5"/>
      <c r="V827" s="5"/>
      <c r="W827" s="5"/>
      <c r="X827" s="5"/>
      <c r="Y827" s="5" t="s">
        <v>3998</v>
      </c>
      <c r="Z827" s="5" t="s">
        <v>843</v>
      </c>
      <c r="AA827" s="5" t="s">
        <v>3999</v>
      </c>
      <c r="AB827" s="5" t="s">
        <v>46</v>
      </c>
      <c r="AC827" s="5"/>
      <c r="AD827" s="5" t="b">
        <v>0</v>
      </c>
      <c r="AE827" s="5"/>
      <c r="AF827" s="5"/>
      <c r="AG827" s="9">
        <f t="shared" si="12"/>
        <v>43279</v>
      </c>
    </row>
    <row r="828" s="6" customFormat="1" spans="1:33">
      <c r="A828" s="5" t="s">
        <v>4000</v>
      </c>
      <c r="B828" s="5" t="s">
        <v>4000</v>
      </c>
      <c r="C828" s="5" t="s">
        <v>4001</v>
      </c>
      <c r="D828" s="5" t="s">
        <v>4002</v>
      </c>
      <c r="E828" s="5" t="s">
        <v>36</v>
      </c>
      <c r="F828" s="5" t="s">
        <v>37</v>
      </c>
      <c r="G828" s="5" t="s">
        <v>38</v>
      </c>
      <c r="H828" s="5"/>
      <c r="I828" s="5"/>
      <c r="J828" s="5" t="s">
        <v>39</v>
      </c>
      <c r="K828" s="5" t="s">
        <v>1999</v>
      </c>
      <c r="L828" s="5" t="s">
        <v>2000</v>
      </c>
      <c r="M828" s="5" t="s">
        <v>2001</v>
      </c>
      <c r="N828" s="5" t="s">
        <v>36</v>
      </c>
      <c r="O828" s="5">
        <v>1</v>
      </c>
      <c r="P828" s="5" t="s">
        <v>43</v>
      </c>
      <c r="Q828" s="5">
        <v>18.99</v>
      </c>
      <c r="R828" s="5">
        <v>1.14</v>
      </c>
      <c r="S828" s="5"/>
      <c r="T828" s="5"/>
      <c r="U828" s="5"/>
      <c r="V828" s="5"/>
      <c r="W828" s="5"/>
      <c r="X828" s="5"/>
      <c r="Y828" s="5" t="s">
        <v>4003</v>
      </c>
      <c r="Z828" s="5" t="s">
        <v>255</v>
      </c>
      <c r="AA828" s="5" t="s">
        <v>4004</v>
      </c>
      <c r="AB828" s="5" t="s">
        <v>46</v>
      </c>
      <c r="AC828" s="5"/>
      <c r="AD828" s="5" t="b">
        <v>0</v>
      </c>
      <c r="AE828" s="5"/>
      <c r="AF828" s="5"/>
      <c r="AG828" s="9">
        <f t="shared" si="12"/>
        <v>43279</v>
      </c>
    </row>
    <row r="829" s="6" customFormat="1" spans="1:33">
      <c r="A829" s="5" t="s">
        <v>4005</v>
      </c>
      <c r="B829" s="5" t="s">
        <v>4005</v>
      </c>
      <c r="C829" s="5" t="s">
        <v>4006</v>
      </c>
      <c r="D829" s="5" t="s">
        <v>4007</v>
      </c>
      <c r="E829" s="5" t="s">
        <v>36</v>
      </c>
      <c r="F829" s="5" t="s">
        <v>37</v>
      </c>
      <c r="G829" s="5" t="s">
        <v>38</v>
      </c>
      <c r="H829" s="5"/>
      <c r="I829" s="5"/>
      <c r="J829" s="5" t="s">
        <v>39</v>
      </c>
      <c r="K829" s="5" t="s">
        <v>3940</v>
      </c>
      <c r="L829" s="5" t="s">
        <v>2099</v>
      </c>
      <c r="M829" s="5" t="s">
        <v>121</v>
      </c>
      <c r="N829" s="5" t="s">
        <v>36</v>
      </c>
      <c r="O829" s="5">
        <v>1</v>
      </c>
      <c r="P829" s="5" t="s">
        <v>43</v>
      </c>
      <c r="Q829" s="5">
        <v>24.99</v>
      </c>
      <c r="R829" s="5"/>
      <c r="S829" s="5"/>
      <c r="T829" s="5"/>
      <c r="U829" s="5"/>
      <c r="V829" s="5"/>
      <c r="W829" s="5"/>
      <c r="X829" s="5"/>
      <c r="Y829" s="5" t="s">
        <v>3654</v>
      </c>
      <c r="Z829" s="5" t="s">
        <v>732</v>
      </c>
      <c r="AA829" s="5" t="s">
        <v>4008</v>
      </c>
      <c r="AB829" s="5" t="s">
        <v>46</v>
      </c>
      <c r="AC829" s="5"/>
      <c r="AD829" s="5" t="b">
        <v>0</v>
      </c>
      <c r="AE829" s="5"/>
      <c r="AF829" s="5"/>
      <c r="AG829" s="9">
        <f t="shared" si="12"/>
        <v>43279</v>
      </c>
    </row>
    <row r="830" s="6" customFormat="1" spans="1:33">
      <c r="A830" s="5" t="s">
        <v>4009</v>
      </c>
      <c r="B830" s="5" t="s">
        <v>4009</v>
      </c>
      <c r="C830" s="5" t="s">
        <v>4010</v>
      </c>
      <c r="D830" s="5" t="s">
        <v>4011</v>
      </c>
      <c r="E830" s="5" t="s">
        <v>36</v>
      </c>
      <c r="F830" s="5" t="s">
        <v>37</v>
      </c>
      <c r="G830" s="5" t="s">
        <v>38</v>
      </c>
      <c r="H830" s="5"/>
      <c r="I830" s="5"/>
      <c r="J830" s="5" t="s">
        <v>39</v>
      </c>
      <c r="K830" s="5" t="s">
        <v>2973</v>
      </c>
      <c r="L830" s="5" t="s">
        <v>2974</v>
      </c>
      <c r="M830" s="5" t="s">
        <v>2975</v>
      </c>
      <c r="N830" s="5" t="s">
        <v>36</v>
      </c>
      <c r="O830" s="5">
        <v>1</v>
      </c>
      <c r="P830" s="5" t="s">
        <v>43</v>
      </c>
      <c r="Q830" s="5">
        <v>18.99</v>
      </c>
      <c r="R830" s="5"/>
      <c r="S830" s="5"/>
      <c r="T830" s="5"/>
      <c r="U830" s="5"/>
      <c r="V830" s="5"/>
      <c r="W830" s="5"/>
      <c r="X830" s="5"/>
      <c r="Y830" s="5" t="s">
        <v>2460</v>
      </c>
      <c r="Z830" s="5" t="s">
        <v>391</v>
      </c>
      <c r="AA830" s="5" t="s">
        <v>4012</v>
      </c>
      <c r="AB830" s="5" t="s">
        <v>46</v>
      </c>
      <c r="AC830" s="5"/>
      <c r="AD830" s="5" t="b">
        <v>0</v>
      </c>
      <c r="AE830" s="5"/>
      <c r="AF830" s="5"/>
      <c r="AG830" s="9">
        <f t="shared" si="12"/>
        <v>43279</v>
      </c>
    </row>
    <row r="831" s="6" customFormat="1" spans="1:33">
      <c r="A831" s="5" t="s">
        <v>4013</v>
      </c>
      <c r="B831" s="5" t="s">
        <v>4013</v>
      </c>
      <c r="C831" s="5" t="s">
        <v>4014</v>
      </c>
      <c r="D831" s="5" t="s">
        <v>4015</v>
      </c>
      <c r="E831" s="5" t="s">
        <v>36</v>
      </c>
      <c r="F831" s="5" t="s">
        <v>37</v>
      </c>
      <c r="G831" s="5" t="s">
        <v>38</v>
      </c>
      <c r="H831" s="5"/>
      <c r="I831" s="5"/>
      <c r="J831" s="5" t="s">
        <v>39</v>
      </c>
      <c r="K831" s="5" t="s">
        <v>587</v>
      </c>
      <c r="L831" s="5" t="s">
        <v>588</v>
      </c>
      <c r="M831" s="5" t="s">
        <v>589</v>
      </c>
      <c r="N831" s="5" t="s">
        <v>36</v>
      </c>
      <c r="O831" s="5">
        <v>1</v>
      </c>
      <c r="P831" s="5" t="s">
        <v>43</v>
      </c>
      <c r="Q831" s="5">
        <v>18.99</v>
      </c>
      <c r="R831" s="5"/>
      <c r="S831" s="5"/>
      <c r="T831" s="5"/>
      <c r="U831" s="5"/>
      <c r="V831" s="5"/>
      <c r="W831" s="5"/>
      <c r="X831" s="5"/>
      <c r="Y831" s="5" t="s">
        <v>4016</v>
      </c>
      <c r="Z831" s="5" t="s">
        <v>142</v>
      </c>
      <c r="AA831" s="5" t="s">
        <v>4017</v>
      </c>
      <c r="AB831" s="5" t="s">
        <v>46</v>
      </c>
      <c r="AC831" s="5"/>
      <c r="AD831" s="5" t="b">
        <v>0</v>
      </c>
      <c r="AE831" s="5"/>
      <c r="AF831" s="5"/>
      <c r="AG831" s="9">
        <f t="shared" si="12"/>
        <v>43279</v>
      </c>
    </row>
    <row r="832" s="6" customFormat="1" spans="1:33">
      <c r="A832" s="5" t="s">
        <v>4018</v>
      </c>
      <c r="B832" s="5" t="s">
        <v>4018</v>
      </c>
      <c r="C832" s="5" t="s">
        <v>4019</v>
      </c>
      <c r="D832" s="5" t="s">
        <v>4020</v>
      </c>
      <c r="E832" s="5" t="s">
        <v>36</v>
      </c>
      <c r="F832" s="5" t="s">
        <v>37</v>
      </c>
      <c r="G832" s="5" t="s">
        <v>38</v>
      </c>
      <c r="H832" s="5"/>
      <c r="I832" s="5"/>
      <c r="J832" s="5" t="s">
        <v>39</v>
      </c>
      <c r="K832" s="5" t="s">
        <v>58</v>
      </c>
      <c r="L832" s="5" t="s">
        <v>59</v>
      </c>
      <c r="M832" s="5" t="s">
        <v>60</v>
      </c>
      <c r="N832" s="5" t="s">
        <v>36</v>
      </c>
      <c r="O832" s="5">
        <v>1</v>
      </c>
      <c r="P832" s="5" t="s">
        <v>43</v>
      </c>
      <c r="Q832" s="5">
        <v>13.99</v>
      </c>
      <c r="R832" s="5"/>
      <c r="S832" s="5"/>
      <c r="T832" s="5"/>
      <c r="U832" s="5"/>
      <c r="V832" s="5"/>
      <c r="W832" s="5"/>
      <c r="X832" s="5"/>
      <c r="Y832" s="5" t="s">
        <v>1524</v>
      </c>
      <c r="Z832" s="5" t="s">
        <v>1212</v>
      </c>
      <c r="AA832" s="5" t="s">
        <v>4021</v>
      </c>
      <c r="AB832" s="5" t="s">
        <v>46</v>
      </c>
      <c r="AC832" s="5"/>
      <c r="AD832" s="5" t="b">
        <v>0</v>
      </c>
      <c r="AE832" s="5"/>
      <c r="AF832" s="5"/>
      <c r="AG832" s="9">
        <f t="shared" si="12"/>
        <v>43279</v>
      </c>
    </row>
    <row r="833" s="6" customFormat="1" spans="1:33">
      <c r="A833" s="5" t="s">
        <v>4022</v>
      </c>
      <c r="B833" s="5" t="s">
        <v>4022</v>
      </c>
      <c r="C833" s="5" t="s">
        <v>4023</v>
      </c>
      <c r="D833" s="5" t="s">
        <v>4024</v>
      </c>
      <c r="E833" s="5" t="s">
        <v>36</v>
      </c>
      <c r="F833" s="5" t="s">
        <v>37</v>
      </c>
      <c r="G833" s="5" t="s">
        <v>38</v>
      </c>
      <c r="H833" s="5"/>
      <c r="I833" s="5"/>
      <c r="J833" s="5" t="s">
        <v>39</v>
      </c>
      <c r="K833" s="5" t="s">
        <v>3668</v>
      </c>
      <c r="L833" s="5" t="s">
        <v>578</v>
      </c>
      <c r="M833" s="5" t="s">
        <v>572</v>
      </c>
      <c r="N833" s="5" t="s">
        <v>36</v>
      </c>
      <c r="O833" s="5">
        <v>1</v>
      </c>
      <c r="P833" s="5" t="s">
        <v>43</v>
      </c>
      <c r="Q833" s="5">
        <v>24.99</v>
      </c>
      <c r="R833" s="5"/>
      <c r="S833" s="5"/>
      <c r="T833" s="5"/>
      <c r="U833" s="5"/>
      <c r="V833" s="5"/>
      <c r="W833" s="5"/>
      <c r="X833" s="5"/>
      <c r="Y833" s="5" t="s">
        <v>946</v>
      </c>
      <c r="Z833" s="5" t="s">
        <v>247</v>
      </c>
      <c r="AA833" s="5" t="s">
        <v>4025</v>
      </c>
      <c r="AB833" s="5" t="s">
        <v>46</v>
      </c>
      <c r="AC833" s="5"/>
      <c r="AD833" s="5" t="b">
        <v>0</v>
      </c>
      <c r="AE833" s="5"/>
      <c r="AF833" s="5"/>
      <c r="AG833" s="9">
        <f t="shared" si="12"/>
        <v>43279</v>
      </c>
    </row>
    <row r="834" s="6" customFormat="1" spans="1:33">
      <c r="A834" s="5" t="s">
        <v>4026</v>
      </c>
      <c r="B834" s="5" t="s">
        <v>4026</v>
      </c>
      <c r="C834" s="5" t="s">
        <v>4027</v>
      </c>
      <c r="D834" s="5" t="s">
        <v>4028</v>
      </c>
      <c r="E834" s="5" t="s">
        <v>36</v>
      </c>
      <c r="F834" s="5" t="s">
        <v>37</v>
      </c>
      <c r="G834" s="5" t="s">
        <v>38</v>
      </c>
      <c r="H834" s="5"/>
      <c r="I834" s="5"/>
      <c r="J834" s="5" t="s">
        <v>39</v>
      </c>
      <c r="K834" s="5" t="s">
        <v>2862</v>
      </c>
      <c r="L834" s="5" t="s">
        <v>2863</v>
      </c>
      <c r="M834" s="5" t="s">
        <v>2864</v>
      </c>
      <c r="N834" s="5" t="s">
        <v>36</v>
      </c>
      <c r="O834" s="5">
        <v>1</v>
      </c>
      <c r="P834" s="5" t="s">
        <v>43</v>
      </c>
      <c r="Q834" s="5">
        <v>12</v>
      </c>
      <c r="R834" s="5"/>
      <c r="S834" s="5"/>
      <c r="T834" s="5"/>
      <c r="U834" s="5"/>
      <c r="V834" s="5"/>
      <c r="W834" s="5"/>
      <c r="X834" s="5"/>
      <c r="Y834" s="5" t="s">
        <v>707</v>
      </c>
      <c r="Z834" s="5" t="s">
        <v>247</v>
      </c>
      <c r="AA834" s="5" t="s">
        <v>4029</v>
      </c>
      <c r="AB834" s="5" t="s">
        <v>46</v>
      </c>
      <c r="AC834" s="5"/>
      <c r="AD834" s="5" t="b">
        <v>0</v>
      </c>
      <c r="AE834" s="5"/>
      <c r="AF834" s="5"/>
      <c r="AG834" s="9">
        <f t="shared" ref="AG834:AG897" si="13">DATEVALUE(LEFT(C834,10))</f>
        <v>43279</v>
      </c>
    </row>
    <row r="835" s="6" customFormat="1" spans="1:33">
      <c r="A835" s="5" t="s">
        <v>4030</v>
      </c>
      <c r="B835" s="5" t="s">
        <v>4030</v>
      </c>
      <c r="C835" s="5" t="s">
        <v>4031</v>
      </c>
      <c r="D835" s="5" t="s">
        <v>4032</v>
      </c>
      <c r="E835" s="5" t="s">
        <v>36</v>
      </c>
      <c r="F835" s="5" t="s">
        <v>37</v>
      </c>
      <c r="G835" s="5" t="s">
        <v>38</v>
      </c>
      <c r="H835" s="5"/>
      <c r="I835" s="5"/>
      <c r="J835" s="5" t="s">
        <v>39</v>
      </c>
      <c r="K835" s="5" t="s">
        <v>434</v>
      </c>
      <c r="L835" s="5" t="s">
        <v>435</v>
      </c>
      <c r="M835" s="5" t="s">
        <v>436</v>
      </c>
      <c r="N835" s="5" t="s">
        <v>36</v>
      </c>
      <c r="O835" s="5">
        <v>1</v>
      </c>
      <c r="P835" s="5" t="s">
        <v>43</v>
      </c>
      <c r="Q835" s="5">
        <v>13.99</v>
      </c>
      <c r="R835" s="5"/>
      <c r="S835" s="5"/>
      <c r="T835" s="5"/>
      <c r="U835" s="5"/>
      <c r="V835" s="5"/>
      <c r="W835" s="5"/>
      <c r="X835" s="5"/>
      <c r="Y835" s="5" t="s">
        <v>4033</v>
      </c>
      <c r="Z835" s="5" t="s">
        <v>218</v>
      </c>
      <c r="AA835" s="5" t="s">
        <v>4034</v>
      </c>
      <c r="AB835" s="5" t="s">
        <v>46</v>
      </c>
      <c r="AC835" s="5"/>
      <c r="AD835" s="5" t="b">
        <v>0</v>
      </c>
      <c r="AE835" s="5"/>
      <c r="AF835" s="5"/>
      <c r="AG835" s="9">
        <f t="shared" si="13"/>
        <v>43279</v>
      </c>
    </row>
    <row r="836" s="6" customFormat="1" spans="1:33">
      <c r="A836" s="5" t="s">
        <v>4035</v>
      </c>
      <c r="B836" s="5" t="s">
        <v>4035</v>
      </c>
      <c r="C836" s="5" t="s">
        <v>4036</v>
      </c>
      <c r="D836" s="5" t="s">
        <v>4037</v>
      </c>
      <c r="E836" s="5" t="s">
        <v>36</v>
      </c>
      <c r="F836" s="5" t="s">
        <v>37</v>
      </c>
      <c r="G836" s="5" t="s">
        <v>38</v>
      </c>
      <c r="H836" s="5"/>
      <c r="I836" s="5"/>
      <c r="J836" s="5" t="s">
        <v>39</v>
      </c>
      <c r="K836" s="5" t="s">
        <v>4038</v>
      </c>
      <c r="L836" s="5" t="s">
        <v>76</v>
      </c>
      <c r="M836" s="5" t="s">
        <v>77</v>
      </c>
      <c r="N836" s="5" t="s">
        <v>36</v>
      </c>
      <c r="O836" s="5">
        <v>1</v>
      </c>
      <c r="P836" s="5" t="s">
        <v>43</v>
      </c>
      <c r="Q836" s="5">
        <v>12.99</v>
      </c>
      <c r="R836" s="5"/>
      <c r="S836" s="5"/>
      <c r="T836" s="5"/>
      <c r="U836" s="5"/>
      <c r="V836" s="5"/>
      <c r="W836" s="5"/>
      <c r="X836" s="5"/>
      <c r="Y836" s="5" t="s">
        <v>4039</v>
      </c>
      <c r="Z836" s="5" t="s">
        <v>151</v>
      </c>
      <c r="AA836" s="5" t="s">
        <v>4040</v>
      </c>
      <c r="AB836" s="5" t="s">
        <v>46</v>
      </c>
      <c r="AC836" s="5"/>
      <c r="AD836" s="5" t="b">
        <v>0</v>
      </c>
      <c r="AE836" s="5"/>
      <c r="AF836" s="5"/>
      <c r="AG836" s="9">
        <f t="shared" si="13"/>
        <v>43279</v>
      </c>
    </row>
    <row r="837" s="6" customFormat="1" spans="1:33">
      <c r="A837" s="5" t="s">
        <v>4041</v>
      </c>
      <c r="B837" s="5" t="s">
        <v>4041</v>
      </c>
      <c r="C837" s="5" t="s">
        <v>4042</v>
      </c>
      <c r="D837" s="5" t="s">
        <v>4043</v>
      </c>
      <c r="E837" s="5" t="s">
        <v>36</v>
      </c>
      <c r="F837" s="5" t="s">
        <v>37</v>
      </c>
      <c r="G837" s="5" t="s">
        <v>38</v>
      </c>
      <c r="H837" s="5"/>
      <c r="I837" s="5"/>
      <c r="J837" s="5" t="s">
        <v>128</v>
      </c>
      <c r="K837" s="5" t="s">
        <v>3645</v>
      </c>
      <c r="L837" s="5" t="s">
        <v>51</v>
      </c>
      <c r="M837" s="5" t="s">
        <v>52</v>
      </c>
      <c r="N837" s="5" t="s">
        <v>36</v>
      </c>
      <c r="O837" s="5">
        <v>1</v>
      </c>
      <c r="P837" s="5" t="s">
        <v>43</v>
      </c>
      <c r="Q837" s="5">
        <v>18.99</v>
      </c>
      <c r="R837" s="5">
        <v>1.14</v>
      </c>
      <c r="S837" s="5">
        <v>5.4</v>
      </c>
      <c r="T837" s="5">
        <v>0.32</v>
      </c>
      <c r="U837" s="5"/>
      <c r="V837" s="5"/>
      <c r="W837" s="5"/>
      <c r="X837" s="5"/>
      <c r="Y837" s="5" t="s">
        <v>4044</v>
      </c>
      <c r="Z837" s="5" t="s">
        <v>255</v>
      </c>
      <c r="AA837" s="5">
        <v>15228</v>
      </c>
      <c r="AB837" s="5" t="s">
        <v>46</v>
      </c>
      <c r="AC837" s="5"/>
      <c r="AD837" s="5" t="b">
        <v>0</v>
      </c>
      <c r="AE837" s="5"/>
      <c r="AF837" s="5"/>
      <c r="AG837" s="9">
        <f t="shared" si="13"/>
        <v>43279</v>
      </c>
    </row>
    <row r="838" s="6" customFormat="1" spans="1:33">
      <c r="A838" s="5" t="s">
        <v>4045</v>
      </c>
      <c r="B838" s="5" t="s">
        <v>4045</v>
      </c>
      <c r="C838" s="5" t="s">
        <v>4046</v>
      </c>
      <c r="D838" s="5" t="s">
        <v>4047</v>
      </c>
      <c r="E838" s="5" t="s">
        <v>36</v>
      </c>
      <c r="F838" s="5" t="s">
        <v>37</v>
      </c>
      <c r="G838" s="5" t="s">
        <v>38</v>
      </c>
      <c r="H838" s="5"/>
      <c r="I838" s="5"/>
      <c r="J838" s="5" t="s">
        <v>39</v>
      </c>
      <c r="K838" s="5" t="s">
        <v>3703</v>
      </c>
      <c r="L838" s="5" t="s">
        <v>388</v>
      </c>
      <c r="M838" s="5" t="s">
        <v>389</v>
      </c>
      <c r="N838" s="5" t="s">
        <v>36</v>
      </c>
      <c r="O838" s="5">
        <v>1</v>
      </c>
      <c r="P838" s="5" t="s">
        <v>43</v>
      </c>
      <c r="Q838" s="5">
        <v>18.99</v>
      </c>
      <c r="R838" s="5"/>
      <c r="S838" s="5"/>
      <c r="T838" s="5"/>
      <c r="U838" s="5"/>
      <c r="V838" s="5"/>
      <c r="W838" s="5"/>
      <c r="X838" s="5"/>
      <c r="Y838" s="5" t="s">
        <v>4048</v>
      </c>
      <c r="Z838" s="5" t="s">
        <v>1050</v>
      </c>
      <c r="AA838" s="5" t="s">
        <v>4049</v>
      </c>
      <c r="AB838" s="5" t="s">
        <v>46</v>
      </c>
      <c r="AC838" s="5"/>
      <c r="AD838" s="5" t="b">
        <v>0</v>
      </c>
      <c r="AE838" s="5"/>
      <c r="AF838" s="5"/>
      <c r="AG838" s="9">
        <f t="shared" si="13"/>
        <v>43279</v>
      </c>
    </row>
    <row r="839" s="6" customFormat="1" spans="1:33">
      <c r="A839" s="5" t="s">
        <v>4050</v>
      </c>
      <c r="B839" s="5" t="s">
        <v>4050</v>
      </c>
      <c r="C839" s="5" t="s">
        <v>4051</v>
      </c>
      <c r="D839" s="5" t="s">
        <v>4052</v>
      </c>
      <c r="E839" s="5" t="s">
        <v>36</v>
      </c>
      <c r="F839" s="5" t="s">
        <v>37</v>
      </c>
      <c r="G839" s="5" t="s">
        <v>38</v>
      </c>
      <c r="H839" s="5"/>
      <c r="I839" s="5"/>
      <c r="J839" s="5" t="s">
        <v>39</v>
      </c>
      <c r="K839" s="5" t="s">
        <v>3714</v>
      </c>
      <c r="L839" s="5" t="s">
        <v>148</v>
      </c>
      <c r="M839" s="5" t="s">
        <v>149</v>
      </c>
      <c r="N839" s="5" t="s">
        <v>36</v>
      </c>
      <c r="O839" s="5">
        <v>1</v>
      </c>
      <c r="P839" s="5" t="s">
        <v>43</v>
      </c>
      <c r="Q839" s="5">
        <v>14.99</v>
      </c>
      <c r="R839" s="5"/>
      <c r="S839" s="5"/>
      <c r="T839" s="5"/>
      <c r="U839" s="5"/>
      <c r="V839" s="5"/>
      <c r="W839" s="5"/>
      <c r="X839" s="5"/>
      <c r="Y839" s="5" t="s">
        <v>610</v>
      </c>
      <c r="Z839" s="5" t="s">
        <v>223</v>
      </c>
      <c r="AA839" s="5" t="s">
        <v>4053</v>
      </c>
      <c r="AB839" s="5" t="s">
        <v>46</v>
      </c>
      <c r="AC839" s="5"/>
      <c r="AD839" s="5" t="b">
        <v>0</v>
      </c>
      <c r="AE839" s="5"/>
      <c r="AF839" s="5"/>
      <c r="AG839" s="9">
        <f t="shared" si="13"/>
        <v>43279</v>
      </c>
    </row>
    <row r="840" s="6" customFormat="1" spans="1:33">
      <c r="A840" s="5" t="s">
        <v>4054</v>
      </c>
      <c r="B840" s="5" t="s">
        <v>4054</v>
      </c>
      <c r="C840" s="5" t="s">
        <v>4055</v>
      </c>
      <c r="D840" s="5" t="s">
        <v>4056</v>
      </c>
      <c r="E840" s="5" t="s">
        <v>36</v>
      </c>
      <c r="F840" s="5" t="s">
        <v>37</v>
      </c>
      <c r="G840" s="5" t="s">
        <v>38</v>
      </c>
      <c r="H840" s="5"/>
      <c r="I840" s="5"/>
      <c r="J840" s="5" t="s">
        <v>39</v>
      </c>
      <c r="K840" s="5" t="s">
        <v>4038</v>
      </c>
      <c r="L840" s="5" t="s">
        <v>76</v>
      </c>
      <c r="M840" s="5" t="s">
        <v>77</v>
      </c>
      <c r="N840" s="5" t="s">
        <v>36</v>
      </c>
      <c r="O840" s="5">
        <v>1</v>
      </c>
      <c r="P840" s="5" t="s">
        <v>43</v>
      </c>
      <c r="Q840" s="5">
        <v>12.99</v>
      </c>
      <c r="R840" s="5"/>
      <c r="S840" s="5"/>
      <c r="T840" s="5"/>
      <c r="U840" s="5"/>
      <c r="V840" s="5"/>
      <c r="W840" s="5"/>
      <c r="X840" s="5"/>
      <c r="Y840" s="5" t="s">
        <v>4057</v>
      </c>
      <c r="Z840" s="5" t="s">
        <v>807</v>
      </c>
      <c r="AA840" s="5" t="s">
        <v>4058</v>
      </c>
      <c r="AB840" s="5" t="s">
        <v>46</v>
      </c>
      <c r="AC840" s="5"/>
      <c r="AD840" s="5" t="b">
        <v>0</v>
      </c>
      <c r="AE840" s="5"/>
      <c r="AF840" s="5"/>
      <c r="AG840" s="9">
        <f t="shared" si="13"/>
        <v>43279</v>
      </c>
    </row>
    <row r="841" s="6" customFormat="1" spans="1:33">
      <c r="A841" s="5" t="s">
        <v>4059</v>
      </c>
      <c r="B841" s="5" t="s">
        <v>4059</v>
      </c>
      <c r="C841" s="5" t="s">
        <v>4060</v>
      </c>
      <c r="D841" s="5" t="s">
        <v>4061</v>
      </c>
      <c r="E841" s="5" t="s">
        <v>36</v>
      </c>
      <c r="F841" s="5" t="s">
        <v>37</v>
      </c>
      <c r="G841" s="5" t="s">
        <v>38</v>
      </c>
      <c r="H841" s="5"/>
      <c r="I841" s="5"/>
      <c r="J841" s="5" t="s">
        <v>39</v>
      </c>
      <c r="K841" s="5" t="s">
        <v>3752</v>
      </c>
      <c r="L841" s="5" t="s">
        <v>244</v>
      </c>
      <c r="M841" s="5" t="s">
        <v>245</v>
      </c>
      <c r="N841" s="5" t="s">
        <v>36</v>
      </c>
      <c r="O841" s="5">
        <v>1</v>
      </c>
      <c r="P841" s="5" t="s">
        <v>43</v>
      </c>
      <c r="Q841" s="5">
        <v>18.99</v>
      </c>
      <c r="R841" s="5"/>
      <c r="S841" s="5"/>
      <c r="T841" s="5"/>
      <c r="U841" s="5"/>
      <c r="V841" s="5"/>
      <c r="W841" s="5"/>
      <c r="X841" s="5"/>
      <c r="Y841" s="5" t="s">
        <v>4062</v>
      </c>
      <c r="Z841" s="5" t="s">
        <v>377</v>
      </c>
      <c r="AA841" s="5" t="s">
        <v>4063</v>
      </c>
      <c r="AB841" s="5" t="s">
        <v>46</v>
      </c>
      <c r="AC841" s="5"/>
      <c r="AD841" s="5" t="b">
        <v>0</v>
      </c>
      <c r="AE841" s="5"/>
      <c r="AF841" s="5"/>
      <c r="AG841" s="9">
        <f t="shared" si="13"/>
        <v>43279</v>
      </c>
    </row>
    <row r="842" s="6" customFormat="1" spans="1:33">
      <c r="A842" s="5" t="s">
        <v>4064</v>
      </c>
      <c r="B842" s="5" t="s">
        <v>4064</v>
      </c>
      <c r="C842" s="5" t="s">
        <v>4065</v>
      </c>
      <c r="D842" s="5" t="s">
        <v>4066</v>
      </c>
      <c r="E842" s="5" t="s">
        <v>36</v>
      </c>
      <c r="F842" s="5" t="s">
        <v>37</v>
      </c>
      <c r="G842" s="5" t="s">
        <v>38</v>
      </c>
      <c r="H842" s="5"/>
      <c r="I842" s="5"/>
      <c r="J842" s="5" t="s">
        <v>39</v>
      </c>
      <c r="K842" s="5" t="s">
        <v>58</v>
      </c>
      <c r="L842" s="5" t="s">
        <v>59</v>
      </c>
      <c r="M842" s="5" t="s">
        <v>60</v>
      </c>
      <c r="N842" s="5" t="s">
        <v>36</v>
      </c>
      <c r="O842" s="5">
        <v>1</v>
      </c>
      <c r="P842" s="5" t="s">
        <v>43</v>
      </c>
      <c r="Q842" s="5">
        <v>13.99</v>
      </c>
      <c r="R842" s="5"/>
      <c r="S842" s="5"/>
      <c r="T842" s="5"/>
      <c r="U842" s="5"/>
      <c r="V842" s="5"/>
      <c r="W842" s="5"/>
      <c r="X842" s="5"/>
      <c r="Y842" s="5" t="s">
        <v>437</v>
      </c>
      <c r="Z842" s="5" t="s">
        <v>151</v>
      </c>
      <c r="AA842" s="5" t="s">
        <v>4067</v>
      </c>
      <c r="AB842" s="5" t="s">
        <v>46</v>
      </c>
      <c r="AC842" s="5"/>
      <c r="AD842" s="5" t="b">
        <v>0</v>
      </c>
      <c r="AE842" s="5"/>
      <c r="AF842" s="5"/>
      <c r="AG842" s="9">
        <f t="shared" si="13"/>
        <v>43279</v>
      </c>
    </row>
    <row r="843" s="6" customFormat="1" spans="1:33">
      <c r="A843" s="5" t="s">
        <v>4068</v>
      </c>
      <c r="B843" s="5" t="s">
        <v>4068</v>
      </c>
      <c r="C843" s="5" t="s">
        <v>4069</v>
      </c>
      <c r="D843" s="5" t="s">
        <v>4070</v>
      </c>
      <c r="E843" s="5" t="s">
        <v>36</v>
      </c>
      <c r="F843" s="5" t="s">
        <v>37</v>
      </c>
      <c r="G843" s="5" t="s">
        <v>38</v>
      </c>
      <c r="H843" s="5"/>
      <c r="I843" s="5"/>
      <c r="J843" s="5" t="s">
        <v>39</v>
      </c>
      <c r="K843" s="5" t="s">
        <v>3645</v>
      </c>
      <c r="L843" s="5" t="s">
        <v>51</v>
      </c>
      <c r="M843" s="5" t="s">
        <v>52</v>
      </c>
      <c r="N843" s="5" t="s">
        <v>36</v>
      </c>
      <c r="O843" s="5">
        <v>1</v>
      </c>
      <c r="P843" s="5" t="s">
        <v>43</v>
      </c>
      <c r="Q843" s="5">
        <v>18.99</v>
      </c>
      <c r="R843" s="5"/>
      <c r="S843" s="5"/>
      <c r="T843" s="5"/>
      <c r="U843" s="5"/>
      <c r="V843" s="5"/>
      <c r="W843" s="5"/>
      <c r="X843" s="5"/>
      <c r="Y843" s="5" t="s">
        <v>4071</v>
      </c>
      <c r="Z843" s="5" t="s">
        <v>223</v>
      </c>
      <c r="AA843" s="5" t="s">
        <v>4072</v>
      </c>
      <c r="AB843" s="5" t="s">
        <v>46</v>
      </c>
      <c r="AC843" s="5"/>
      <c r="AD843" s="5" t="b">
        <v>0</v>
      </c>
      <c r="AE843" s="5"/>
      <c r="AF843" s="5"/>
      <c r="AG843" s="9">
        <f t="shared" si="13"/>
        <v>43279</v>
      </c>
    </row>
    <row r="844" s="6" customFormat="1" spans="1:33">
      <c r="A844" s="5" t="s">
        <v>4073</v>
      </c>
      <c r="B844" s="5" t="s">
        <v>4073</v>
      </c>
      <c r="C844" s="5" t="s">
        <v>4074</v>
      </c>
      <c r="D844" s="5" t="s">
        <v>4075</v>
      </c>
      <c r="E844" s="5" t="s">
        <v>36</v>
      </c>
      <c r="F844" s="5" t="s">
        <v>37</v>
      </c>
      <c r="G844" s="5" t="s">
        <v>38</v>
      </c>
      <c r="H844" s="5"/>
      <c r="I844" s="5"/>
      <c r="J844" s="5" t="s">
        <v>39</v>
      </c>
      <c r="K844" s="5" t="s">
        <v>3572</v>
      </c>
      <c r="L844" s="5" t="s">
        <v>3573</v>
      </c>
      <c r="M844" s="5" t="s">
        <v>3574</v>
      </c>
      <c r="N844" s="5" t="s">
        <v>36</v>
      </c>
      <c r="O844" s="5">
        <v>1</v>
      </c>
      <c r="P844" s="5" t="s">
        <v>43</v>
      </c>
      <c r="Q844" s="5">
        <v>10</v>
      </c>
      <c r="R844" s="5"/>
      <c r="S844" s="5"/>
      <c r="T844" s="5"/>
      <c r="U844" s="5"/>
      <c r="V844" s="5"/>
      <c r="W844" s="5">
        <v>1</v>
      </c>
      <c r="X844" s="5"/>
      <c r="Y844" s="5" t="s">
        <v>2981</v>
      </c>
      <c r="Z844" s="5" t="s">
        <v>54</v>
      </c>
      <c r="AA844" s="5" t="s">
        <v>2982</v>
      </c>
      <c r="AB844" s="5" t="s">
        <v>46</v>
      </c>
      <c r="AC844" s="5" t="s">
        <v>553</v>
      </c>
      <c r="AD844" s="5" t="b">
        <v>0</v>
      </c>
      <c r="AE844" s="5"/>
      <c r="AF844" s="5"/>
      <c r="AG844" s="9">
        <f t="shared" si="13"/>
        <v>43279</v>
      </c>
    </row>
    <row r="845" s="6" customFormat="1" spans="1:33">
      <c r="A845" s="5" t="s">
        <v>4073</v>
      </c>
      <c r="B845" s="5" t="s">
        <v>4073</v>
      </c>
      <c r="C845" s="5" t="s">
        <v>4074</v>
      </c>
      <c r="D845" s="5" t="s">
        <v>4075</v>
      </c>
      <c r="E845" s="5" t="s">
        <v>36</v>
      </c>
      <c r="F845" s="5" t="s">
        <v>37</v>
      </c>
      <c r="G845" s="5" t="s">
        <v>38</v>
      </c>
      <c r="H845" s="5"/>
      <c r="I845" s="5"/>
      <c r="J845" s="5" t="s">
        <v>39</v>
      </c>
      <c r="K845" s="5" t="s">
        <v>4076</v>
      </c>
      <c r="L845" s="5" t="s">
        <v>4077</v>
      </c>
      <c r="M845" s="5" t="s">
        <v>4078</v>
      </c>
      <c r="N845" s="5" t="s">
        <v>36</v>
      </c>
      <c r="O845" s="5">
        <v>1</v>
      </c>
      <c r="P845" s="5" t="s">
        <v>43</v>
      </c>
      <c r="Q845" s="5">
        <v>10</v>
      </c>
      <c r="R845" s="5"/>
      <c r="S845" s="5"/>
      <c r="T845" s="5"/>
      <c r="U845" s="5"/>
      <c r="V845" s="5"/>
      <c r="W845" s="5">
        <v>1</v>
      </c>
      <c r="X845" s="5"/>
      <c r="Y845" s="5" t="s">
        <v>2981</v>
      </c>
      <c r="Z845" s="5" t="s">
        <v>54</v>
      </c>
      <c r="AA845" s="5" t="s">
        <v>2982</v>
      </c>
      <c r="AB845" s="5" t="s">
        <v>46</v>
      </c>
      <c r="AC845" s="5" t="s">
        <v>553</v>
      </c>
      <c r="AD845" s="5" t="b">
        <v>0</v>
      </c>
      <c r="AE845" s="5"/>
      <c r="AF845" s="5"/>
      <c r="AG845" s="9">
        <f t="shared" si="13"/>
        <v>43279</v>
      </c>
    </row>
    <row r="846" s="6" customFormat="1" spans="1:33">
      <c r="A846" s="5" t="s">
        <v>4073</v>
      </c>
      <c r="B846" s="5" t="s">
        <v>4073</v>
      </c>
      <c r="C846" s="5" t="s">
        <v>4074</v>
      </c>
      <c r="D846" s="5" t="s">
        <v>4075</v>
      </c>
      <c r="E846" s="5" t="s">
        <v>36</v>
      </c>
      <c r="F846" s="5" t="s">
        <v>37</v>
      </c>
      <c r="G846" s="5" t="s">
        <v>38</v>
      </c>
      <c r="H846" s="5"/>
      <c r="I846" s="5"/>
      <c r="J846" s="5" t="s">
        <v>39</v>
      </c>
      <c r="K846" s="5" t="s">
        <v>4079</v>
      </c>
      <c r="L846" s="5" t="s">
        <v>4080</v>
      </c>
      <c r="M846" s="5" t="s">
        <v>4081</v>
      </c>
      <c r="N846" s="5" t="s">
        <v>36</v>
      </c>
      <c r="O846" s="5">
        <v>1</v>
      </c>
      <c r="P846" s="5" t="s">
        <v>43</v>
      </c>
      <c r="Q846" s="5">
        <v>10</v>
      </c>
      <c r="R846" s="5"/>
      <c r="S846" s="5"/>
      <c r="T846" s="5"/>
      <c r="U846" s="5"/>
      <c r="V846" s="5"/>
      <c r="W846" s="5">
        <v>1</v>
      </c>
      <c r="X846" s="5"/>
      <c r="Y846" s="5" t="s">
        <v>2981</v>
      </c>
      <c r="Z846" s="5" t="s">
        <v>54</v>
      </c>
      <c r="AA846" s="5" t="s">
        <v>2982</v>
      </c>
      <c r="AB846" s="5" t="s">
        <v>46</v>
      </c>
      <c r="AC846" s="5" t="s">
        <v>553</v>
      </c>
      <c r="AD846" s="5" t="b">
        <v>0</v>
      </c>
      <c r="AE846" s="5"/>
      <c r="AF846" s="5"/>
      <c r="AG846" s="9">
        <f t="shared" si="13"/>
        <v>43279</v>
      </c>
    </row>
    <row r="847" s="6" customFormat="1" spans="1:33">
      <c r="A847" s="5" t="s">
        <v>4082</v>
      </c>
      <c r="B847" s="5" t="s">
        <v>4082</v>
      </c>
      <c r="C847" s="5" t="s">
        <v>4083</v>
      </c>
      <c r="D847" s="5" t="s">
        <v>4084</v>
      </c>
      <c r="E847" s="5" t="s">
        <v>36</v>
      </c>
      <c r="F847" s="5" t="s">
        <v>37</v>
      </c>
      <c r="G847" s="5" t="s">
        <v>38</v>
      </c>
      <c r="H847" s="5"/>
      <c r="I847" s="5"/>
      <c r="J847" s="5" t="s">
        <v>39</v>
      </c>
      <c r="K847" s="5" t="s">
        <v>4085</v>
      </c>
      <c r="L847" s="5" t="s">
        <v>102</v>
      </c>
      <c r="M847" s="5" t="s">
        <v>103</v>
      </c>
      <c r="N847" s="5" t="s">
        <v>36</v>
      </c>
      <c r="O847" s="5">
        <v>1</v>
      </c>
      <c r="P847" s="5" t="s">
        <v>43</v>
      </c>
      <c r="Q847" s="5">
        <v>12.99</v>
      </c>
      <c r="R847" s="5"/>
      <c r="S847" s="5"/>
      <c r="T847" s="5"/>
      <c r="U847" s="5"/>
      <c r="V847" s="5"/>
      <c r="W847" s="5"/>
      <c r="X847" s="5"/>
      <c r="Y847" s="5" t="s">
        <v>4086</v>
      </c>
      <c r="Z847" s="5" t="s">
        <v>142</v>
      </c>
      <c r="AA847" s="5" t="s">
        <v>4087</v>
      </c>
      <c r="AB847" s="5" t="s">
        <v>46</v>
      </c>
      <c r="AC847" s="5"/>
      <c r="AD847" s="5" t="b">
        <v>0</v>
      </c>
      <c r="AE847" s="5"/>
      <c r="AF847" s="5"/>
      <c r="AG847" s="9">
        <f t="shared" si="13"/>
        <v>43279</v>
      </c>
    </row>
    <row r="848" s="6" customFormat="1" spans="1:33">
      <c r="A848" s="5" t="s">
        <v>4088</v>
      </c>
      <c r="B848" s="5" t="s">
        <v>4088</v>
      </c>
      <c r="C848" s="5" t="s">
        <v>4089</v>
      </c>
      <c r="D848" s="5" t="s">
        <v>4090</v>
      </c>
      <c r="E848" s="5" t="s">
        <v>36</v>
      </c>
      <c r="F848" s="5" t="s">
        <v>37</v>
      </c>
      <c r="G848" s="5" t="s">
        <v>38</v>
      </c>
      <c r="H848" s="5"/>
      <c r="I848" s="5"/>
      <c r="J848" s="5" t="s">
        <v>39</v>
      </c>
      <c r="K848" s="5" t="s">
        <v>3752</v>
      </c>
      <c r="L848" s="5" t="s">
        <v>244</v>
      </c>
      <c r="M848" s="5" t="s">
        <v>245</v>
      </c>
      <c r="N848" s="5" t="s">
        <v>36</v>
      </c>
      <c r="O848" s="5">
        <v>1</v>
      </c>
      <c r="P848" s="5" t="s">
        <v>43</v>
      </c>
      <c r="Q848" s="5">
        <v>18.99</v>
      </c>
      <c r="R848" s="5"/>
      <c r="S848" s="5"/>
      <c r="T848" s="5"/>
      <c r="U848" s="5"/>
      <c r="V848" s="5"/>
      <c r="W848" s="5"/>
      <c r="X848" s="5"/>
      <c r="Y848" s="5" t="s">
        <v>1316</v>
      </c>
      <c r="Z848" s="5" t="s">
        <v>54</v>
      </c>
      <c r="AA848" s="5" t="s">
        <v>4091</v>
      </c>
      <c r="AB848" s="5" t="s">
        <v>46</v>
      </c>
      <c r="AC848" s="5"/>
      <c r="AD848" s="5" t="b">
        <v>0</v>
      </c>
      <c r="AE848" s="5"/>
      <c r="AF848" s="5"/>
      <c r="AG848" s="9">
        <f t="shared" si="13"/>
        <v>43279</v>
      </c>
    </row>
    <row r="849" s="6" customFormat="1" spans="1:33">
      <c r="A849" s="5" t="s">
        <v>4092</v>
      </c>
      <c r="B849" s="5" t="s">
        <v>4092</v>
      </c>
      <c r="C849" s="5" t="s">
        <v>4093</v>
      </c>
      <c r="D849" s="5" t="s">
        <v>4094</v>
      </c>
      <c r="E849" s="5" t="s">
        <v>36</v>
      </c>
      <c r="F849" s="5" t="s">
        <v>37</v>
      </c>
      <c r="G849" s="5" t="s">
        <v>38</v>
      </c>
      <c r="H849" s="5"/>
      <c r="I849" s="5"/>
      <c r="J849" s="5" t="s">
        <v>39</v>
      </c>
      <c r="K849" s="5" t="s">
        <v>3668</v>
      </c>
      <c r="L849" s="5" t="s">
        <v>578</v>
      </c>
      <c r="M849" s="5" t="s">
        <v>572</v>
      </c>
      <c r="N849" s="5" t="s">
        <v>36</v>
      </c>
      <c r="O849" s="5">
        <v>1</v>
      </c>
      <c r="P849" s="5" t="s">
        <v>43</v>
      </c>
      <c r="Q849" s="5">
        <v>24.99</v>
      </c>
      <c r="R849" s="5"/>
      <c r="S849" s="5"/>
      <c r="T849" s="5"/>
      <c r="U849" s="5"/>
      <c r="V849" s="5"/>
      <c r="W849" s="5"/>
      <c r="X849" s="5"/>
      <c r="Y849" s="5" t="s">
        <v>2357</v>
      </c>
      <c r="Z849" s="5" t="s">
        <v>247</v>
      </c>
      <c r="AA849" s="5" t="s">
        <v>3179</v>
      </c>
      <c r="AB849" s="5" t="s">
        <v>46</v>
      </c>
      <c r="AC849" s="5"/>
      <c r="AD849" s="5" t="b">
        <v>0</v>
      </c>
      <c r="AE849" s="5"/>
      <c r="AF849" s="5"/>
      <c r="AG849" s="9">
        <f t="shared" si="13"/>
        <v>43279</v>
      </c>
    </row>
    <row r="850" s="6" customFormat="1" spans="1:33">
      <c r="A850" s="5" t="s">
        <v>4095</v>
      </c>
      <c r="B850" s="5" t="s">
        <v>4095</v>
      </c>
      <c r="C850" s="5" t="s">
        <v>4096</v>
      </c>
      <c r="D850" s="5" t="s">
        <v>4097</v>
      </c>
      <c r="E850" s="5" t="s">
        <v>614</v>
      </c>
      <c r="F850" s="5" t="s">
        <v>37</v>
      </c>
      <c r="G850" s="5" t="s">
        <v>38</v>
      </c>
      <c r="H850" s="5"/>
      <c r="I850" s="5"/>
      <c r="J850" s="5" t="s">
        <v>128</v>
      </c>
      <c r="K850" s="5" t="s">
        <v>4038</v>
      </c>
      <c r="L850" s="5" t="s">
        <v>76</v>
      </c>
      <c r="M850" s="5" t="s">
        <v>77</v>
      </c>
      <c r="N850" s="5" t="s">
        <v>614</v>
      </c>
      <c r="O850" s="5">
        <v>0</v>
      </c>
      <c r="P850" s="5"/>
      <c r="Q850" s="5"/>
      <c r="R850" s="5"/>
      <c r="S850" s="5"/>
      <c r="T850" s="5"/>
      <c r="U850" s="5"/>
      <c r="V850" s="5"/>
      <c r="W850" s="5"/>
      <c r="X850" s="5"/>
      <c r="Y850" s="5" t="s">
        <v>4098</v>
      </c>
      <c r="Z850" s="5" t="s">
        <v>4099</v>
      </c>
      <c r="AA850" s="5">
        <v>96819</v>
      </c>
      <c r="AB850" s="5" t="s">
        <v>46</v>
      </c>
      <c r="AC850" s="5"/>
      <c r="AD850" s="5" t="b">
        <v>0</v>
      </c>
      <c r="AE850" s="5"/>
      <c r="AF850" s="5"/>
      <c r="AG850" s="9">
        <f t="shared" si="13"/>
        <v>43279</v>
      </c>
    </row>
    <row r="851" s="6" customFormat="1" spans="1:33">
      <c r="A851" s="5" t="s">
        <v>4100</v>
      </c>
      <c r="B851" s="5" t="s">
        <v>4100</v>
      </c>
      <c r="C851" s="5" t="s">
        <v>4101</v>
      </c>
      <c r="D851" s="5" t="s">
        <v>4102</v>
      </c>
      <c r="E851" s="5" t="s">
        <v>36</v>
      </c>
      <c r="F851" s="5" t="s">
        <v>37</v>
      </c>
      <c r="G851" s="5" t="s">
        <v>38</v>
      </c>
      <c r="H851" s="5"/>
      <c r="I851" s="5"/>
      <c r="J851" s="5" t="s">
        <v>39</v>
      </c>
      <c r="K851" s="5" t="s">
        <v>1625</v>
      </c>
      <c r="L851" s="5" t="s">
        <v>4103</v>
      </c>
      <c r="M851" s="5" t="s">
        <v>4104</v>
      </c>
      <c r="N851" s="5" t="s">
        <v>36</v>
      </c>
      <c r="O851" s="5">
        <v>1</v>
      </c>
      <c r="P851" s="5" t="s">
        <v>43</v>
      </c>
      <c r="Q851" s="5">
        <v>17.9</v>
      </c>
      <c r="R851" s="5"/>
      <c r="S851" s="5"/>
      <c r="T851" s="5"/>
      <c r="U851" s="5"/>
      <c r="V851" s="5"/>
      <c r="W851" s="5"/>
      <c r="X851" s="5"/>
      <c r="Y851" s="5" t="s">
        <v>4105</v>
      </c>
      <c r="Z851" s="5" t="s">
        <v>463</v>
      </c>
      <c r="AA851" s="5" t="s">
        <v>4106</v>
      </c>
      <c r="AB851" s="5" t="s">
        <v>46</v>
      </c>
      <c r="AC851" s="5"/>
      <c r="AD851" s="5" t="b">
        <v>0</v>
      </c>
      <c r="AE851" s="5"/>
      <c r="AF851" s="5"/>
      <c r="AG851" s="9">
        <f t="shared" si="13"/>
        <v>43279</v>
      </c>
    </row>
    <row r="852" s="6" customFormat="1" spans="1:33">
      <c r="A852" s="5" t="s">
        <v>4107</v>
      </c>
      <c r="B852" s="5" t="s">
        <v>4107</v>
      </c>
      <c r="C852" s="5" t="s">
        <v>4108</v>
      </c>
      <c r="D852" s="5" t="s">
        <v>4109</v>
      </c>
      <c r="E852" s="5" t="s">
        <v>36</v>
      </c>
      <c r="F852" s="5" t="s">
        <v>37</v>
      </c>
      <c r="G852" s="5" t="s">
        <v>38</v>
      </c>
      <c r="H852" s="5"/>
      <c r="I852" s="5"/>
      <c r="J852" s="5" t="s">
        <v>156</v>
      </c>
      <c r="K852" s="5" t="s">
        <v>3714</v>
      </c>
      <c r="L852" s="5" t="s">
        <v>148</v>
      </c>
      <c r="M852" s="5" t="s">
        <v>149</v>
      </c>
      <c r="N852" s="5" t="s">
        <v>36</v>
      </c>
      <c r="O852" s="5">
        <v>1</v>
      </c>
      <c r="P852" s="5" t="s">
        <v>43</v>
      </c>
      <c r="Q852" s="5">
        <v>14.99</v>
      </c>
      <c r="R852" s="5">
        <v>0.9</v>
      </c>
      <c r="S852" s="5">
        <v>3.99</v>
      </c>
      <c r="T852" s="5">
        <v>0.24</v>
      </c>
      <c r="U852" s="5"/>
      <c r="V852" s="5"/>
      <c r="W852" s="5"/>
      <c r="X852" s="5"/>
      <c r="Y852" s="5" t="s">
        <v>254</v>
      </c>
      <c r="Z852" s="5" t="s">
        <v>255</v>
      </c>
      <c r="AA852" s="5" t="s">
        <v>4110</v>
      </c>
      <c r="AB852" s="5" t="s">
        <v>46</v>
      </c>
      <c r="AC852" s="5"/>
      <c r="AD852" s="5" t="b">
        <v>0</v>
      </c>
      <c r="AE852" s="5"/>
      <c r="AF852" s="5"/>
      <c r="AG852" s="9">
        <f t="shared" si="13"/>
        <v>43279</v>
      </c>
    </row>
    <row r="853" s="6" customFormat="1" spans="1:33">
      <c r="A853" s="5" t="s">
        <v>4111</v>
      </c>
      <c r="B853" s="5" t="s">
        <v>4111</v>
      </c>
      <c r="C853" s="5" t="s">
        <v>4112</v>
      </c>
      <c r="D853" s="5" t="s">
        <v>4113</v>
      </c>
      <c r="E853" s="5" t="s">
        <v>36</v>
      </c>
      <c r="F853" s="5" t="s">
        <v>37</v>
      </c>
      <c r="G853" s="5" t="s">
        <v>38</v>
      </c>
      <c r="H853" s="5"/>
      <c r="I853" s="5"/>
      <c r="J853" s="5" t="s">
        <v>128</v>
      </c>
      <c r="K853" s="5" t="s">
        <v>4038</v>
      </c>
      <c r="L853" s="5" t="s">
        <v>76</v>
      </c>
      <c r="M853" s="5" t="s">
        <v>77</v>
      </c>
      <c r="N853" s="5" t="s">
        <v>36</v>
      </c>
      <c r="O853" s="5">
        <v>1</v>
      </c>
      <c r="P853" s="5" t="s">
        <v>43</v>
      </c>
      <c r="Q853" s="5">
        <v>12.99</v>
      </c>
      <c r="R853" s="5"/>
      <c r="S853" s="5">
        <v>3.27</v>
      </c>
      <c r="T853" s="5"/>
      <c r="U853" s="5"/>
      <c r="V853" s="5"/>
      <c r="W853" s="5"/>
      <c r="X853" s="5"/>
      <c r="Y853" s="5" t="s">
        <v>4114</v>
      </c>
      <c r="Z853" s="5" t="s">
        <v>282</v>
      </c>
      <c r="AA853" s="5" t="s">
        <v>4115</v>
      </c>
      <c r="AB853" s="5" t="s">
        <v>46</v>
      </c>
      <c r="AC853" s="5"/>
      <c r="AD853" s="5" t="b">
        <v>0</v>
      </c>
      <c r="AE853" s="5"/>
      <c r="AF853" s="5"/>
      <c r="AG853" s="9">
        <f t="shared" si="13"/>
        <v>43279</v>
      </c>
    </row>
    <row r="854" s="6" customFormat="1" spans="1:33">
      <c r="A854" s="5" t="s">
        <v>4116</v>
      </c>
      <c r="B854" s="5" t="s">
        <v>4116</v>
      </c>
      <c r="C854" s="5" t="s">
        <v>4117</v>
      </c>
      <c r="D854" s="5" t="s">
        <v>4118</v>
      </c>
      <c r="E854" s="5" t="s">
        <v>36</v>
      </c>
      <c r="F854" s="5" t="s">
        <v>37</v>
      </c>
      <c r="G854" s="5" t="s">
        <v>38</v>
      </c>
      <c r="H854" s="5"/>
      <c r="I854" s="5"/>
      <c r="J854" s="5" t="s">
        <v>39</v>
      </c>
      <c r="K854" s="5" t="s">
        <v>3745</v>
      </c>
      <c r="L854" s="5" t="s">
        <v>202</v>
      </c>
      <c r="M854" s="5" t="s">
        <v>203</v>
      </c>
      <c r="N854" s="5" t="s">
        <v>36</v>
      </c>
      <c r="O854" s="5">
        <v>1</v>
      </c>
      <c r="P854" s="5" t="s">
        <v>43</v>
      </c>
      <c r="Q854" s="5">
        <v>18.99</v>
      </c>
      <c r="R854" s="5"/>
      <c r="S854" s="5"/>
      <c r="T854" s="5"/>
      <c r="U854" s="5"/>
      <c r="V854" s="5"/>
      <c r="W854" s="5"/>
      <c r="X854" s="5"/>
      <c r="Y854" s="5" t="s">
        <v>4119</v>
      </c>
      <c r="Z854" s="5" t="s">
        <v>4120</v>
      </c>
      <c r="AA854" s="5">
        <v>20777</v>
      </c>
      <c r="AB854" s="5" t="s">
        <v>46</v>
      </c>
      <c r="AC854" s="5"/>
      <c r="AD854" s="5" t="b">
        <v>0</v>
      </c>
      <c r="AE854" s="5"/>
      <c r="AF854" s="5"/>
      <c r="AG854" s="9">
        <f t="shared" si="13"/>
        <v>43279</v>
      </c>
    </row>
    <row r="855" s="6" customFormat="1" spans="1:33">
      <c r="A855" s="5" t="s">
        <v>4121</v>
      </c>
      <c r="B855" s="5" t="s">
        <v>4121</v>
      </c>
      <c r="C855" s="5" t="s">
        <v>4122</v>
      </c>
      <c r="D855" s="5" t="s">
        <v>4123</v>
      </c>
      <c r="E855" s="5" t="s">
        <v>36</v>
      </c>
      <c r="F855" s="5" t="s">
        <v>37</v>
      </c>
      <c r="G855" s="5" t="s">
        <v>38</v>
      </c>
      <c r="H855" s="5"/>
      <c r="I855" s="5"/>
      <c r="J855" s="5" t="s">
        <v>128</v>
      </c>
      <c r="K855" s="5" t="s">
        <v>4085</v>
      </c>
      <c r="L855" s="5" t="s">
        <v>102</v>
      </c>
      <c r="M855" s="5" t="s">
        <v>103</v>
      </c>
      <c r="N855" s="5" t="s">
        <v>36</v>
      </c>
      <c r="O855" s="5">
        <v>1</v>
      </c>
      <c r="P855" s="5" t="s">
        <v>43</v>
      </c>
      <c r="Q855" s="5">
        <v>12.99</v>
      </c>
      <c r="R855" s="5"/>
      <c r="S855" s="5">
        <v>2</v>
      </c>
      <c r="T855" s="5"/>
      <c r="U855" s="5"/>
      <c r="V855" s="5"/>
      <c r="W855" s="5"/>
      <c r="X855" s="5">
        <v>2</v>
      </c>
      <c r="Y855" s="5" t="s">
        <v>4124</v>
      </c>
      <c r="Z855" s="5" t="s">
        <v>105</v>
      </c>
      <c r="AA855" s="5" t="s">
        <v>4125</v>
      </c>
      <c r="AB855" s="5" t="s">
        <v>46</v>
      </c>
      <c r="AC855" s="5" t="s">
        <v>225</v>
      </c>
      <c r="AD855" s="5" t="b">
        <v>0</v>
      </c>
      <c r="AE855" s="5"/>
      <c r="AF855" s="5"/>
      <c r="AG855" s="9">
        <f t="shared" si="13"/>
        <v>43279</v>
      </c>
    </row>
    <row r="856" s="6" customFormat="1" spans="1:33">
      <c r="A856" s="5" t="s">
        <v>4126</v>
      </c>
      <c r="B856" s="5" t="s">
        <v>4126</v>
      </c>
      <c r="C856" s="5" t="s">
        <v>4127</v>
      </c>
      <c r="D856" s="5" t="s">
        <v>4128</v>
      </c>
      <c r="E856" s="5" t="s">
        <v>36</v>
      </c>
      <c r="F856" s="5" t="s">
        <v>37</v>
      </c>
      <c r="G856" s="5" t="s">
        <v>38</v>
      </c>
      <c r="H856" s="5"/>
      <c r="I856" s="5"/>
      <c r="J856" s="5" t="s">
        <v>39</v>
      </c>
      <c r="K856" s="5" t="s">
        <v>3668</v>
      </c>
      <c r="L856" s="5" t="s">
        <v>578</v>
      </c>
      <c r="M856" s="5" t="s">
        <v>572</v>
      </c>
      <c r="N856" s="5" t="s">
        <v>36</v>
      </c>
      <c r="O856" s="5">
        <v>1</v>
      </c>
      <c r="P856" s="5" t="s">
        <v>43</v>
      </c>
      <c r="Q856" s="5">
        <v>24.99</v>
      </c>
      <c r="R856" s="5"/>
      <c r="S856" s="5"/>
      <c r="T856" s="5"/>
      <c r="U856" s="5"/>
      <c r="V856" s="5"/>
      <c r="W856" s="5"/>
      <c r="X856" s="5"/>
      <c r="Y856" s="5" t="s">
        <v>4129</v>
      </c>
      <c r="Z856" s="5" t="s">
        <v>282</v>
      </c>
      <c r="AA856" s="5">
        <v>48612</v>
      </c>
      <c r="AB856" s="5" t="s">
        <v>46</v>
      </c>
      <c r="AC856" s="5"/>
      <c r="AD856" s="5" t="b">
        <v>0</v>
      </c>
      <c r="AE856" s="5"/>
      <c r="AF856" s="5"/>
      <c r="AG856" s="9">
        <f t="shared" si="13"/>
        <v>43279</v>
      </c>
    </row>
    <row r="857" s="6" customFormat="1" spans="1:33">
      <c r="A857" s="5" t="s">
        <v>4130</v>
      </c>
      <c r="B857" s="5" t="s">
        <v>4130</v>
      </c>
      <c r="C857" s="5" t="s">
        <v>4131</v>
      </c>
      <c r="D857" s="5" t="s">
        <v>4132</v>
      </c>
      <c r="E857" s="5" t="s">
        <v>36</v>
      </c>
      <c r="F857" s="5" t="s">
        <v>37</v>
      </c>
      <c r="G857" s="5" t="s">
        <v>38</v>
      </c>
      <c r="H857" s="5"/>
      <c r="I857" s="5"/>
      <c r="J857" s="5" t="s">
        <v>39</v>
      </c>
      <c r="K857" s="5" t="s">
        <v>4076</v>
      </c>
      <c r="L857" s="5" t="s">
        <v>4077</v>
      </c>
      <c r="M857" s="5" t="s">
        <v>4078</v>
      </c>
      <c r="N857" s="5" t="s">
        <v>36</v>
      </c>
      <c r="O857" s="5">
        <v>1</v>
      </c>
      <c r="P857" s="5" t="s">
        <v>43</v>
      </c>
      <c r="Q857" s="5">
        <v>10</v>
      </c>
      <c r="R857" s="5">
        <v>0.77</v>
      </c>
      <c r="S857" s="5"/>
      <c r="T857" s="5"/>
      <c r="U857" s="5"/>
      <c r="V857" s="5"/>
      <c r="W857" s="5"/>
      <c r="X857" s="5"/>
      <c r="Y857" s="5" t="s">
        <v>763</v>
      </c>
      <c r="Z857" s="5" t="s">
        <v>474</v>
      </c>
      <c r="AA857" s="5" t="s">
        <v>4133</v>
      </c>
      <c r="AB857" s="5" t="s">
        <v>46</v>
      </c>
      <c r="AC857" s="5"/>
      <c r="AD857" s="5" t="b">
        <v>0</v>
      </c>
      <c r="AE857" s="5"/>
      <c r="AF857" s="5"/>
      <c r="AG857" s="9">
        <f t="shared" si="13"/>
        <v>43279</v>
      </c>
    </row>
    <row r="858" s="6" customFormat="1" spans="1:33">
      <c r="A858" s="5" t="s">
        <v>4134</v>
      </c>
      <c r="B858" s="5" t="s">
        <v>4134</v>
      </c>
      <c r="C858" s="5" t="s">
        <v>4135</v>
      </c>
      <c r="D858" s="5" t="s">
        <v>4136</v>
      </c>
      <c r="E858" s="5" t="s">
        <v>36</v>
      </c>
      <c r="F858" s="5" t="s">
        <v>37</v>
      </c>
      <c r="G858" s="5" t="s">
        <v>38</v>
      </c>
      <c r="H858" s="5"/>
      <c r="I858" s="5"/>
      <c r="J858" s="5" t="s">
        <v>39</v>
      </c>
      <c r="K858" s="5" t="s">
        <v>3703</v>
      </c>
      <c r="L858" s="5" t="s">
        <v>388</v>
      </c>
      <c r="M858" s="5" t="s">
        <v>389</v>
      </c>
      <c r="N858" s="5" t="s">
        <v>36</v>
      </c>
      <c r="O858" s="5">
        <v>1</v>
      </c>
      <c r="P858" s="5" t="s">
        <v>43</v>
      </c>
      <c r="Q858" s="5">
        <v>18.99</v>
      </c>
      <c r="R858" s="5">
        <v>1.9</v>
      </c>
      <c r="S858" s="5"/>
      <c r="T858" s="5"/>
      <c r="U858" s="5"/>
      <c r="V858" s="5"/>
      <c r="W858" s="5"/>
      <c r="X858" s="5"/>
      <c r="Y858" s="5" t="s">
        <v>4137</v>
      </c>
      <c r="Z858" s="5" t="s">
        <v>474</v>
      </c>
      <c r="AA858" s="5" t="s">
        <v>4138</v>
      </c>
      <c r="AB858" s="5" t="s">
        <v>46</v>
      </c>
      <c r="AC858" s="5"/>
      <c r="AD858" s="5" t="b">
        <v>0</v>
      </c>
      <c r="AE858" s="5"/>
      <c r="AF858" s="5"/>
      <c r="AG858" s="9">
        <f t="shared" si="13"/>
        <v>43279</v>
      </c>
    </row>
    <row r="859" s="6" customFormat="1" spans="1:33">
      <c r="A859" s="5" t="s">
        <v>4139</v>
      </c>
      <c r="B859" s="5" t="s">
        <v>4139</v>
      </c>
      <c r="C859" s="5" t="s">
        <v>4140</v>
      </c>
      <c r="D859" s="5" t="s">
        <v>4141</v>
      </c>
      <c r="E859" s="5" t="s">
        <v>36</v>
      </c>
      <c r="F859" s="5" t="s">
        <v>37</v>
      </c>
      <c r="G859" s="5" t="s">
        <v>38</v>
      </c>
      <c r="H859" s="5"/>
      <c r="I859" s="5"/>
      <c r="J859" s="5" t="s">
        <v>156</v>
      </c>
      <c r="K859" s="5" t="s">
        <v>4142</v>
      </c>
      <c r="L859" s="5" t="s">
        <v>4143</v>
      </c>
      <c r="M859" s="5" t="s">
        <v>4144</v>
      </c>
      <c r="N859" s="5" t="s">
        <v>36</v>
      </c>
      <c r="O859" s="5">
        <v>1</v>
      </c>
      <c r="P859" s="5" t="s">
        <v>43</v>
      </c>
      <c r="Q859" s="5">
        <v>16.98</v>
      </c>
      <c r="R859" s="5"/>
      <c r="S859" s="5">
        <v>3.99</v>
      </c>
      <c r="T859" s="5"/>
      <c r="U859" s="5"/>
      <c r="V859" s="5"/>
      <c r="W859" s="5"/>
      <c r="X859" s="5"/>
      <c r="Y859" s="5" t="s">
        <v>4145</v>
      </c>
      <c r="Z859" s="5" t="s">
        <v>1300</v>
      </c>
      <c r="AA859" s="5" t="s">
        <v>4146</v>
      </c>
      <c r="AB859" s="5" t="s">
        <v>46</v>
      </c>
      <c r="AC859" s="5"/>
      <c r="AD859" s="5" t="b">
        <v>0</v>
      </c>
      <c r="AE859" s="5"/>
      <c r="AF859" s="5"/>
      <c r="AG859" s="9">
        <f t="shared" si="13"/>
        <v>43279</v>
      </c>
    </row>
    <row r="860" s="6" customFormat="1" spans="1:33">
      <c r="A860" s="5" t="s">
        <v>4147</v>
      </c>
      <c r="B860" s="5" t="s">
        <v>4147</v>
      </c>
      <c r="C860" s="5" t="s">
        <v>4148</v>
      </c>
      <c r="D860" s="5" t="s">
        <v>4149</v>
      </c>
      <c r="E860" s="5" t="s">
        <v>614</v>
      </c>
      <c r="F860" s="5" t="s">
        <v>37</v>
      </c>
      <c r="G860" s="5" t="s">
        <v>38</v>
      </c>
      <c r="H860" s="5"/>
      <c r="I860" s="5"/>
      <c r="J860" s="5" t="s">
        <v>39</v>
      </c>
      <c r="K860" s="5" t="s">
        <v>587</v>
      </c>
      <c r="L860" s="5" t="s">
        <v>588</v>
      </c>
      <c r="M860" s="5" t="s">
        <v>589</v>
      </c>
      <c r="N860" s="5" t="s">
        <v>614</v>
      </c>
      <c r="O860" s="5">
        <v>0</v>
      </c>
      <c r="P860" s="5"/>
      <c r="Q860" s="5"/>
      <c r="R860" s="5"/>
      <c r="S860" s="5"/>
      <c r="T860" s="5"/>
      <c r="U860" s="5"/>
      <c r="V860" s="5"/>
      <c r="W860" s="5"/>
      <c r="X860" s="5"/>
      <c r="Y860" s="5" t="s">
        <v>4150</v>
      </c>
      <c r="Z860" s="5" t="s">
        <v>264</v>
      </c>
      <c r="AA860" s="5" t="s">
        <v>4151</v>
      </c>
      <c r="AB860" s="5" t="s">
        <v>46</v>
      </c>
      <c r="AC860" s="5"/>
      <c r="AD860" s="5" t="b">
        <v>0</v>
      </c>
      <c r="AE860" s="5"/>
      <c r="AF860" s="5"/>
      <c r="AG860" s="9">
        <f t="shared" si="13"/>
        <v>43279</v>
      </c>
    </row>
    <row r="861" s="6" customFormat="1" spans="1:33">
      <c r="A861" s="5" t="s">
        <v>4152</v>
      </c>
      <c r="B861" s="5" t="s">
        <v>4152</v>
      </c>
      <c r="C861" s="5" t="s">
        <v>4153</v>
      </c>
      <c r="D861" s="5" t="s">
        <v>4154</v>
      </c>
      <c r="E861" s="5" t="s">
        <v>614</v>
      </c>
      <c r="F861" s="5" t="s">
        <v>37</v>
      </c>
      <c r="G861" s="5" t="s">
        <v>38</v>
      </c>
      <c r="H861" s="5"/>
      <c r="I861" s="5"/>
      <c r="J861" s="5" t="s">
        <v>39</v>
      </c>
      <c r="K861" s="5" t="s">
        <v>4155</v>
      </c>
      <c r="L861" s="5" t="s">
        <v>111</v>
      </c>
      <c r="M861" s="5" t="s">
        <v>112</v>
      </c>
      <c r="N861" s="5" t="s">
        <v>833</v>
      </c>
      <c r="O861" s="5">
        <v>1</v>
      </c>
      <c r="P861" s="5" t="s">
        <v>43</v>
      </c>
      <c r="Q861" s="5">
        <v>12.99</v>
      </c>
      <c r="R861" s="5"/>
      <c r="S861" s="5"/>
      <c r="T861" s="5"/>
      <c r="U861" s="5"/>
      <c r="V861" s="5"/>
      <c r="W861" s="5"/>
      <c r="X861" s="5"/>
      <c r="Y861" s="5" t="s">
        <v>4156</v>
      </c>
      <c r="Z861" s="5" t="s">
        <v>238</v>
      </c>
      <c r="AA861" s="5" t="s">
        <v>4157</v>
      </c>
      <c r="AB861" s="5" t="s">
        <v>46</v>
      </c>
      <c r="AC861" s="5"/>
      <c r="AD861" s="5" t="b">
        <v>0</v>
      </c>
      <c r="AE861" s="5"/>
      <c r="AF861" s="5"/>
      <c r="AG861" s="9">
        <f t="shared" si="13"/>
        <v>43279</v>
      </c>
    </row>
    <row r="862" s="6" customFormat="1" spans="1:33">
      <c r="A862" s="5" t="s">
        <v>4158</v>
      </c>
      <c r="B862" s="5" t="s">
        <v>4158</v>
      </c>
      <c r="C862" s="5" t="s">
        <v>4159</v>
      </c>
      <c r="D862" s="5" t="s">
        <v>4160</v>
      </c>
      <c r="E862" s="5" t="s">
        <v>36</v>
      </c>
      <c r="F862" s="5" t="s">
        <v>37</v>
      </c>
      <c r="G862" s="5" t="s">
        <v>38</v>
      </c>
      <c r="H862" s="5"/>
      <c r="I862" s="5"/>
      <c r="J862" s="5" t="s">
        <v>39</v>
      </c>
      <c r="K862" s="5" t="s">
        <v>587</v>
      </c>
      <c r="L862" s="5" t="s">
        <v>588</v>
      </c>
      <c r="M862" s="5" t="s">
        <v>589</v>
      </c>
      <c r="N862" s="5" t="s">
        <v>36</v>
      </c>
      <c r="O862" s="5">
        <v>1</v>
      </c>
      <c r="P862" s="5" t="s">
        <v>43</v>
      </c>
      <c r="Q862" s="5">
        <v>18.99</v>
      </c>
      <c r="R862" s="5"/>
      <c r="S862" s="5"/>
      <c r="T862" s="5"/>
      <c r="U862" s="5"/>
      <c r="V862" s="5"/>
      <c r="W862" s="5"/>
      <c r="X862" s="5"/>
      <c r="Y862" s="5" t="s">
        <v>4161</v>
      </c>
      <c r="Z862" s="5" t="s">
        <v>183</v>
      </c>
      <c r="AA862" s="5">
        <v>28270</v>
      </c>
      <c r="AB862" s="5" t="s">
        <v>46</v>
      </c>
      <c r="AC862" s="5"/>
      <c r="AD862" s="5" t="b">
        <v>0</v>
      </c>
      <c r="AE862" s="5"/>
      <c r="AF862" s="5"/>
      <c r="AG862" s="9">
        <f t="shared" si="13"/>
        <v>43279</v>
      </c>
    </row>
    <row r="863" s="6" customFormat="1" spans="1:33">
      <c r="A863" s="5" t="s">
        <v>4162</v>
      </c>
      <c r="B863" s="5" t="s">
        <v>4162</v>
      </c>
      <c r="C863" s="5" t="s">
        <v>4163</v>
      </c>
      <c r="D863" s="5" t="s">
        <v>4164</v>
      </c>
      <c r="E863" s="5" t="s">
        <v>36</v>
      </c>
      <c r="F863" s="5" t="s">
        <v>37</v>
      </c>
      <c r="G863" s="5" t="s">
        <v>38</v>
      </c>
      <c r="H863" s="5"/>
      <c r="I863" s="5"/>
      <c r="J863" s="5" t="s">
        <v>128</v>
      </c>
      <c r="K863" s="5" t="s">
        <v>4155</v>
      </c>
      <c r="L863" s="5" t="s">
        <v>111</v>
      </c>
      <c r="M863" s="5" t="s">
        <v>112</v>
      </c>
      <c r="N863" s="5" t="s">
        <v>36</v>
      </c>
      <c r="O863" s="5">
        <v>1</v>
      </c>
      <c r="P863" s="5" t="s">
        <v>43</v>
      </c>
      <c r="Q863" s="5">
        <v>12.99</v>
      </c>
      <c r="R863" s="5"/>
      <c r="S863" s="5"/>
      <c r="T863" s="5"/>
      <c r="U863" s="5"/>
      <c r="V863" s="5"/>
      <c r="W863" s="5"/>
      <c r="X863" s="5"/>
      <c r="Y863" s="5" t="s">
        <v>4165</v>
      </c>
      <c r="Z863" s="5" t="s">
        <v>2544</v>
      </c>
      <c r="AA863" s="5" t="s">
        <v>4166</v>
      </c>
      <c r="AB863" s="5" t="s">
        <v>46</v>
      </c>
      <c r="AC863" s="5"/>
      <c r="AD863" s="5" t="b">
        <v>0</v>
      </c>
      <c r="AE863" s="5"/>
      <c r="AF863" s="5"/>
      <c r="AG863" s="9">
        <f t="shared" si="13"/>
        <v>43279</v>
      </c>
    </row>
    <row r="864" s="6" customFormat="1" spans="1:33">
      <c r="A864" s="5" t="s">
        <v>4167</v>
      </c>
      <c r="B864" s="5" t="s">
        <v>4167</v>
      </c>
      <c r="C864" s="5" t="s">
        <v>4168</v>
      </c>
      <c r="D864" s="5" t="s">
        <v>4169</v>
      </c>
      <c r="E864" s="5" t="s">
        <v>36</v>
      </c>
      <c r="F864" s="5" t="s">
        <v>37</v>
      </c>
      <c r="G864" s="5" t="s">
        <v>38</v>
      </c>
      <c r="H864" s="5"/>
      <c r="I864" s="5"/>
      <c r="J864" s="5" t="s">
        <v>39</v>
      </c>
      <c r="K864" s="5" t="s">
        <v>3703</v>
      </c>
      <c r="L864" s="5" t="s">
        <v>388</v>
      </c>
      <c r="M864" s="5" t="s">
        <v>389</v>
      </c>
      <c r="N864" s="5" t="s">
        <v>36</v>
      </c>
      <c r="O864" s="5">
        <v>1</v>
      </c>
      <c r="P864" s="5" t="s">
        <v>43</v>
      </c>
      <c r="Q864" s="5">
        <v>18.99</v>
      </c>
      <c r="R864" s="5"/>
      <c r="S864" s="5"/>
      <c r="T864" s="5"/>
      <c r="U864" s="5"/>
      <c r="V864" s="5"/>
      <c r="W864" s="5"/>
      <c r="X864" s="5"/>
      <c r="Y864" s="5" t="s">
        <v>3782</v>
      </c>
      <c r="Z864" s="5" t="s">
        <v>463</v>
      </c>
      <c r="AA864" s="5">
        <v>80134</v>
      </c>
      <c r="AB864" s="5" t="s">
        <v>46</v>
      </c>
      <c r="AC864" s="5"/>
      <c r="AD864" s="5" t="b">
        <v>0</v>
      </c>
      <c r="AE864" s="5"/>
      <c r="AF864" s="5"/>
      <c r="AG864" s="9">
        <f t="shared" si="13"/>
        <v>43279</v>
      </c>
    </row>
    <row r="865" s="6" customFormat="1" spans="1:33">
      <c r="A865" s="5" t="s">
        <v>4170</v>
      </c>
      <c r="B865" s="5" t="s">
        <v>4170</v>
      </c>
      <c r="C865" s="5" t="s">
        <v>4171</v>
      </c>
      <c r="D865" s="5" t="s">
        <v>4172</v>
      </c>
      <c r="E865" s="5" t="s">
        <v>36</v>
      </c>
      <c r="F865" s="5" t="s">
        <v>37</v>
      </c>
      <c r="G865" s="5" t="s">
        <v>38</v>
      </c>
      <c r="H865" s="5"/>
      <c r="I865" s="5"/>
      <c r="J865" s="5" t="s">
        <v>39</v>
      </c>
      <c r="K865" s="5" t="s">
        <v>4173</v>
      </c>
      <c r="L865" s="5" t="s">
        <v>1958</v>
      </c>
      <c r="M865" s="5" t="s">
        <v>271</v>
      </c>
      <c r="N865" s="5" t="s">
        <v>36</v>
      </c>
      <c r="O865" s="5">
        <v>1</v>
      </c>
      <c r="P865" s="5" t="s">
        <v>43</v>
      </c>
      <c r="Q865" s="5">
        <v>24.99</v>
      </c>
      <c r="R865" s="5"/>
      <c r="S865" s="5"/>
      <c r="T865" s="5"/>
      <c r="U865" s="5"/>
      <c r="V865" s="5"/>
      <c r="W865" s="5">
        <v>1.25</v>
      </c>
      <c r="X865" s="5"/>
      <c r="Y865" s="5" t="s">
        <v>4174</v>
      </c>
      <c r="Z865" s="5" t="s">
        <v>1039</v>
      </c>
      <c r="AA865" s="5" t="s">
        <v>4175</v>
      </c>
      <c r="AB865" s="5" t="s">
        <v>46</v>
      </c>
      <c r="AC865" s="5" t="s">
        <v>115</v>
      </c>
      <c r="AD865" s="5" t="b">
        <v>0</v>
      </c>
      <c r="AE865" s="5"/>
      <c r="AF865" s="5"/>
      <c r="AG865" s="9">
        <f t="shared" si="13"/>
        <v>43279</v>
      </c>
    </row>
    <row r="866" s="6" customFormat="1" spans="1:33">
      <c r="A866" s="5" t="s">
        <v>4170</v>
      </c>
      <c r="B866" s="5" t="s">
        <v>4170</v>
      </c>
      <c r="C866" s="5" t="s">
        <v>4171</v>
      </c>
      <c r="D866" s="5" t="s">
        <v>4172</v>
      </c>
      <c r="E866" s="5" t="s">
        <v>36</v>
      </c>
      <c r="F866" s="5" t="s">
        <v>37</v>
      </c>
      <c r="G866" s="5" t="s">
        <v>38</v>
      </c>
      <c r="H866" s="5"/>
      <c r="I866" s="5"/>
      <c r="J866" s="5" t="s">
        <v>39</v>
      </c>
      <c r="K866" s="5" t="s">
        <v>3703</v>
      </c>
      <c r="L866" s="5" t="s">
        <v>388</v>
      </c>
      <c r="M866" s="5" t="s">
        <v>389</v>
      </c>
      <c r="N866" s="5" t="s">
        <v>36</v>
      </c>
      <c r="O866" s="5">
        <v>1</v>
      </c>
      <c r="P866" s="5" t="s">
        <v>43</v>
      </c>
      <c r="Q866" s="5">
        <v>18.99</v>
      </c>
      <c r="R866" s="5"/>
      <c r="S866" s="5"/>
      <c r="T866" s="5"/>
      <c r="U866" s="5"/>
      <c r="V866" s="5"/>
      <c r="W866" s="5">
        <v>0.95</v>
      </c>
      <c r="X866" s="5"/>
      <c r="Y866" s="5" t="s">
        <v>4174</v>
      </c>
      <c r="Z866" s="5" t="s">
        <v>1039</v>
      </c>
      <c r="AA866" s="5" t="s">
        <v>4175</v>
      </c>
      <c r="AB866" s="5" t="s">
        <v>46</v>
      </c>
      <c r="AC866" s="5" t="s">
        <v>115</v>
      </c>
      <c r="AD866" s="5" t="b">
        <v>0</v>
      </c>
      <c r="AE866" s="5"/>
      <c r="AF866" s="5"/>
      <c r="AG866" s="9">
        <f t="shared" si="13"/>
        <v>43279</v>
      </c>
    </row>
    <row r="867" s="6" customFormat="1" spans="1:33">
      <c r="A867" s="5" t="s">
        <v>4176</v>
      </c>
      <c r="B867" s="5" t="s">
        <v>4176</v>
      </c>
      <c r="C867" s="5" t="s">
        <v>4177</v>
      </c>
      <c r="D867" s="5" t="s">
        <v>4178</v>
      </c>
      <c r="E867" s="5" t="s">
        <v>36</v>
      </c>
      <c r="F867" s="5" t="s">
        <v>37</v>
      </c>
      <c r="G867" s="5" t="s">
        <v>38</v>
      </c>
      <c r="H867" s="5"/>
      <c r="I867" s="5"/>
      <c r="J867" s="5" t="s">
        <v>39</v>
      </c>
      <c r="K867" s="5" t="s">
        <v>3645</v>
      </c>
      <c r="L867" s="5" t="s">
        <v>51</v>
      </c>
      <c r="M867" s="5" t="s">
        <v>52</v>
      </c>
      <c r="N867" s="5" t="s">
        <v>36</v>
      </c>
      <c r="O867" s="5">
        <v>1</v>
      </c>
      <c r="P867" s="5" t="s">
        <v>43</v>
      </c>
      <c r="Q867" s="5">
        <v>18.99</v>
      </c>
      <c r="R867" s="5"/>
      <c r="S867" s="5"/>
      <c r="T867" s="5"/>
      <c r="U867" s="5"/>
      <c r="V867" s="5"/>
      <c r="W867" s="5"/>
      <c r="X867" s="5"/>
      <c r="Y867" s="5" t="s">
        <v>4179</v>
      </c>
      <c r="Z867" s="5" t="s">
        <v>151</v>
      </c>
      <c r="AA867" s="5" t="s">
        <v>4180</v>
      </c>
      <c r="AB867" s="5" t="s">
        <v>46</v>
      </c>
      <c r="AC867" s="5"/>
      <c r="AD867" s="5" t="b">
        <v>0</v>
      </c>
      <c r="AE867" s="5"/>
      <c r="AF867" s="5"/>
      <c r="AG867" s="9">
        <f t="shared" si="13"/>
        <v>43279</v>
      </c>
    </row>
    <row r="868" s="6" customFormat="1" spans="1:33">
      <c r="A868" s="5" t="s">
        <v>4181</v>
      </c>
      <c r="B868" s="5" t="s">
        <v>4181</v>
      </c>
      <c r="C868" s="5" t="s">
        <v>4182</v>
      </c>
      <c r="D868" s="5" t="s">
        <v>4183</v>
      </c>
      <c r="E868" s="5" t="s">
        <v>36</v>
      </c>
      <c r="F868" s="5" t="s">
        <v>37</v>
      </c>
      <c r="G868" s="5" t="s">
        <v>38</v>
      </c>
      <c r="H868" s="5"/>
      <c r="I868" s="5"/>
      <c r="J868" s="5" t="s">
        <v>39</v>
      </c>
      <c r="K868" s="5" t="s">
        <v>3752</v>
      </c>
      <c r="L868" s="5" t="s">
        <v>244</v>
      </c>
      <c r="M868" s="5" t="s">
        <v>245</v>
      </c>
      <c r="N868" s="5" t="s">
        <v>36</v>
      </c>
      <c r="O868" s="5">
        <v>1</v>
      </c>
      <c r="P868" s="5" t="s">
        <v>43</v>
      </c>
      <c r="Q868" s="5">
        <v>18.99</v>
      </c>
      <c r="R868" s="5"/>
      <c r="S868" s="5"/>
      <c r="T868" s="5"/>
      <c r="U868" s="5"/>
      <c r="V868" s="5"/>
      <c r="W868" s="5"/>
      <c r="X868" s="5"/>
      <c r="Y868" s="5" t="s">
        <v>4184</v>
      </c>
      <c r="Z868" s="5" t="s">
        <v>307</v>
      </c>
      <c r="AA868" s="5" t="s">
        <v>4185</v>
      </c>
      <c r="AB868" s="5" t="s">
        <v>46</v>
      </c>
      <c r="AC868" s="5"/>
      <c r="AD868" s="5" t="b">
        <v>0</v>
      </c>
      <c r="AE868" s="5"/>
      <c r="AF868" s="5"/>
      <c r="AG868" s="9">
        <f t="shared" si="13"/>
        <v>43279</v>
      </c>
    </row>
    <row r="869" s="6" customFormat="1" spans="1:33">
      <c r="A869" s="5" t="s">
        <v>4186</v>
      </c>
      <c r="B869" s="5" t="s">
        <v>4186</v>
      </c>
      <c r="C869" s="5" t="s">
        <v>4187</v>
      </c>
      <c r="D869" s="5" t="s">
        <v>4188</v>
      </c>
      <c r="E869" s="5" t="s">
        <v>36</v>
      </c>
      <c r="F869" s="5" t="s">
        <v>37</v>
      </c>
      <c r="G869" s="5" t="s">
        <v>38</v>
      </c>
      <c r="H869" s="5"/>
      <c r="I869" s="5"/>
      <c r="J869" s="5" t="s">
        <v>39</v>
      </c>
      <c r="K869" s="5" t="s">
        <v>3745</v>
      </c>
      <c r="L869" s="5" t="s">
        <v>202</v>
      </c>
      <c r="M869" s="5" t="s">
        <v>203</v>
      </c>
      <c r="N869" s="5" t="s">
        <v>36</v>
      </c>
      <c r="O869" s="5">
        <v>1</v>
      </c>
      <c r="P869" s="5" t="s">
        <v>43</v>
      </c>
      <c r="Q869" s="5">
        <v>18.99</v>
      </c>
      <c r="R869" s="5"/>
      <c r="S869" s="5"/>
      <c r="T869" s="5"/>
      <c r="U869" s="5"/>
      <c r="V869" s="5"/>
      <c r="W869" s="5"/>
      <c r="X869" s="5"/>
      <c r="Y869" s="5" t="s">
        <v>4189</v>
      </c>
      <c r="Z869" s="5" t="s">
        <v>54</v>
      </c>
      <c r="AA869" s="5" t="s">
        <v>4190</v>
      </c>
      <c r="AB869" s="5" t="s">
        <v>46</v>
      </c>
      <c r="AC869" s="5"/>
      <c r="AD869" s="5" t="b">
        <v>0</v>
      </c>
      <c r="AE869" s="5"/>
      <c r="AF869" s="5"/>
      <c r="AG869" s="9">
        <f t="shared" si="13"/>
        <v>43279</v>
      </c>
    </row>
    <row r="870" s="6" customFormat="1" spans="1:33">
      <c r="A870" s="5" t="s">
        <v>4191</v>
      </c>
      <c r="B870" s="5" t="s">
        <v>4191</v>
      </c>
      <c r="C870" s="5" t="s">
        <v>4192</v>
      </c>
      <c r="D870" s="5" t="s">
        <v>4193</v>
      </c>
      <c r="E870" s="5" t="s">
        <v>36</v>
      </c>
      <c r="F870" s="5" t="s">
        <v>37</v>
      </c>
      <c r="G870" s="5" t="s">
        <v>38</v>
      </c>
      <c r="H870" s="5"/>
      <c r="I870" s="5"/>
      <c r="J870" s="5" t="s">
        <v>156</v>
      </c>
      <c r="K870" s="5" t="s">
        <v>58</v>
      </c>
      <c r="L870" s="5" t="s">
        <v>59</v>
      </c>
      <c r="M870" s="5" t="s">
        <v>60</v>
      </c>
      <c r="N870" s="5" t="s">
        <v>36</v>
      </c>
      <c r="O870" s="5">
        <v>1</v>
      </c>
      <c r="P870" s="5" t="s">
        <v>43</v>
      </c>
      <c r="Q870" s="5">
        <v>13.99</v>
      </c>
      <c r="R870" s="5"/>
      <c r="S870" s="5">
        <v>3.99</v>
      </c>
      <c r="T870" s="5"/>
      <c r="U870" s="5"/>
      <c r="V870" s="5"/>
      <c r="W870" s="5"/>
      <c r="X870" s="5"/>
      <c r="Y870" s="5" t="s">
        <v>536</v>
      </c>
      <c r="Z870" s="5" t="s">
        <v>247</v>
      </c>
      <c r="AA870" s="5" t="s">
        <v>4194</v>
      </c>
      <c r="AB870" s="5" t="s">
        <v>46</v>
      </c>
      <c r="AC870" s="5"/>
      <c r="AD870" s="5" t="b">
        <v>0</v>
      </c>
      <c r="AE870" s="5"/>
      <c r="AF870" s="5"/>
      <c r="AG870" s="9">
        <f t="shared" si="13"/>
        <v>43279</v>
      </c>
    </row>
    <row r="871" s="6" customFormat="1" spans="1:33">
      <c r="A871" s="5" t="s">
        <v>4195</v>
      </c>
      <c r="B871" s="5" t="s">
        <v>4195</v>
      </c>
      <c r="C871" s="5" t="s">
        <v>4196</v>
      </c>
      <c r="D871" s="5" t="s">
        <v>4197</v>
      </c>
      <c r="E871" s="5" t="s">
        <v>36</v>
      </c>
      <c r="F871" s="5" t="s">
        <v>37</v>
      </c>
      <c r="G871" s="5" t="s">
        <v>38</v>
      </c>
      <c r="H871" s="5"/>
      <c r="I871" s="5"/>
      <c r="J871" s="5" t="s">
        <v>39</v>
      </c>
      <c r="K871" s="5" t="s">
        <v>3752</v>
      </c>
      <c r="L871" s="5" t="s">
        <v>244</v>
      </c>
      <c r="M871" s="5" t="s">
        <v>245</v>
      </c>
      <c r="N871" s="5" t="s">
        <v>36</v>
      </c>
      <c r="O871" s="5">
        <v>1</v>
      </c>
      <c r="P871" s="5" t="s">
        <v>43</v>
      </c>
      <c r="Q871" s="5">
        <v>18.99</v>
      </c>
      <c r="R871" s="5"/>
      <c r="S871" s="5"/>
      <c r="T871" s="5"/>
      <c r="U871" s="5"/>
      <c r="V871" s="5"/>
      <c r="W871" s="5">
        <v>0.95</v>
      </c>
      <c r="X871" s="5"/>
      <c r="Y871" s="5" t="s">
        <v>1452</v>
      </c>
      <c r="Z871" s="5" t="s">
        <v>238</v>
      </c>
      <c r="AA871" s="5" t="s">
        <v>4198</v>
      </c>
      <c r="AB871" s="5" t="s">
        <v>46</v>
      </c>
      <c r="AC871" s="5" t="s">
        <v>115</v>
      </c>
      <c r="AD871" s="5" t="b">
        <v>0</v>
      </c>
      <c r="AE871" s="5"/>
      <c r="AF871" s="5"/>
      <c r="AG871" s="9">
        <f t="shared" si="13"/>
        <v>43279</v>
      </c>
    </row>
    <row r="872" s="6" customFormat="1" spans="1:33">
      <c r="A872" s="5" t="s">
        <v>4195</v>
      </c>
      <c r="B872" s="5" t="s">
        <v>4195</v>
      </c>
      <c r="C872" s="5" t="s">
        <v>4196</v>
      </c>
      <c r="D872" s="5" t="s">
        <v>4197</v>
      </c>
      <c r="E872" s="5" t="s">
        <v>36</v>
      </c>
      <c r="F872" s="5" t="s">
        <v>37</v>
      </c>
      <c r="G872" s="5" t="s">
        <v>38</v>
      </c>
      <c r="H872" s="5"/>
      <c r="I872" s="5"/>
      <c r="J872" s="5" t="s">
        <v>39</v>
      </c>
      <c r="K872" s="5" t="s">
        <v>3745</v>
      </c>
      <c r="L872" s="5" t="s">
        <v>202</v>
      </c>
      <c r="M872" s="5" t="s">
        <v>203</v>
      </c>
      <c r="N872" s="5" t="s">
        <v>36</v>
      </c>
      <c r="O872" s="5">
        <v>1</v>
      </c>
      <c r="P872" s="5" t="s">
        <v>43</v>
      </c>
      <c r="Q872" s="5">
        <v>18.99</v>
      </c>
      <c r="R872" s="5"/>
      <c r="S872" s="5"/>
      <c r="T872" s="5"/>
      <c r="U872" s="5"/>
      <c r="V872" s="5"/>
      <c r="W872" s="5">
        <v>0.95</v>
      </c>
      <c r="X872" s="5"/>
      <c r="Y872" s="5" t="s">
        <v>1452</v>
      </c>
      <c r="Z872" s="5" t="s">
        <v>238</v>
      </c>
      <c r="AA872" s="5" t="s">
        <v>4198</v>
      </c>
      <c r="AB872" s="5" t="s">
        <v>46</v>
      </c>
      <c r="AC872" s="5" t="s">
        <v>115</v>
      </c>
      <c r="AD872" s="5" t="b">
        <v>0</v>
      </c>
      <c r="AE872" s="5"/>
      <c r="AF872" s="5"/>
      <c r="AG872" s="9">
        <f t="shared" si="13"/>
        <v>43279</v>
      </c>
    </row>
    <row r="873" s="6" customFormat="1" spans="1:33">
      <c r="A873" s="5" t="s">
        <v>4199</v>
      </c>
      <c r="B873" s="5" t="s">
        <v>4199</v>
      </c>
      <c r="C873" s="5" t="s">
        <v>4200</v>
      </c>
      <c r="D873" s="5" t="s">
        <v>4201</v>
      </c>
      <c r="E873" s="5" t="s">
        <v>36</v>
      </c>
      <c r="F873" s="5" t="s">
        <v>37</v>
      </c>
      <c r="G873" s="5" t="s">
        <v>38</v>
      </c>
      <c r="H873" s="5"/>
      <c r="I873" s="5"/>
      <c r="J873" s="5" t="s">
        <v>39</v>
      </c>
      <c r="K873" s="5" t="s">
        <v>4202</v>
      </c>
      <c r="L873" s="5" t="s">
        <v>4203</v>
      </c>
      <c r="M873" s="5" t="s">
        <v>4204</v>
      </c>
      <c r="N873" s="5" t="s">
        <v>36</v>
      </c>
      <c r="O873" s="5">
        <v>1</v>
      </c>
      <c r="P873" s="5" t="s">
        <v>43</v>
      </c>
      <c r="Q873" s="5">
        <v>8.99</v>
      </c>
      <c r="R873" s="5"/>
      <c r="S873" s="5"/>
      <c r="T873" s="5"/>
      <c r="U873" s="5"/>
      <c r="V873" s="5"/>
      <c r="W873" s="5"/>
      <c r="X873" s="5"/>
      <c r="Y873" s="5" t="s">
        <v>4205</v>
      </c>
      <c r="Z873" s="5" t="s">
        <v>151</v>
      </c>
      <c r="AA873" s="5" t="s">
        <v>4206</v>
      </c>
      <c r="AB873" s="5" t="s">
        <v>46</v>
      </c>
      <c r="AC873" s="5"/>
      <c r="AD873" s="5" t="b">
        <v>0</v>
      </c>
      <c r="AE873" s="5"/>
      <c r="AF873" s="5"/>
      <c r="AG873" s="9">
        <f t="shared" si="13"/>
        <v>43279</v>
      </c>
    </row>
    <row r="874" s="6" customFormat="1" spans="1:33">
      <c r="A874" s="5" t="s">
        <v>4207</v>
      </c>
      <c r="B874" s="5" t="s">
        <v>4207</v>
      </c>
      <c r="C874" s="5" t="s">
        <v>4208</v>
      </c>
      <c r="D874" s="5" t="s">
        <v>4209</v>
      </c>
      <c r="E874" s="5" t="s">
        <v>36</v>
      </c>
      <c r="F874" s="5" t="s">
        <v>37</v>
      </c>
      <c r="G874" s="5" t="s">
        <v>38</v>
      </c>
      <c r="H874" s="5"/>
      <c r="I874" s="5"/>
      <c r="J874" s="5" t="s">
        <v>39</v>
      </c>
      <c r="K874" s="5" t="s">
        <v>3752</v>
      </c>
      <c r="L874" s="5" t="s">
        <v>244</v>
      </c>
      <c r="M874" s="5" t="s">
        <v>245</v>
      </c>
      <c r="N874" s="5" t="s">
        <v>36</v>
      </c>
      <c r="O874" s="5">
        <v>1</v>
      </c>
      <c r="P874" s="5" t="s">
        <v>43</v>
      </c>
      <c r="Q874" s="5">
        <v>18.99</v>
      </c>
      <c r="R874" s="5"/>
      <c r="S874" s="5"/>
      <c r="T874" s="5"/>
      <c r="U874" s="5"/>
      <c r="V874" s="5"/>
      <c r="W874" s="5"/>
      <c r="X874" s="5"/>
      <c r="Y874" s="5" t="s">
        <v>4210</v>
      </c>
      <c r="Z874" s="5" t="s">
        <v>1050</v>
      </c>
      <c r="AA874" s="5" t="s">
        <v>4211</v>
      </c>
      <c r="AB874" s="5" t="s">
        <v>46</v>
      </c>
      <c r="AC874" s="5"/>
      <c r="AD874" s="5" t="b">
        <v>0</v>
      </c>
      <c r="AE874" s="5"/>
      <c r="AF874" s="5"/>
      <c r="AG874" s="9">
        <f t="shared" si="13"/>
        <v>43279</v>
      </c>
    </row>
    <row r="875" s="6" customFormat="1" spans="1:33">
      <c r="A875" s="5" t="s">
        <v>4212</v>
      </c>
      <c r="B875" s="5" t="s">
        <v>4212</v>
      </c>
      <c r="C875" s="5" t="s">
        <v>4213</v>
      </c>
      <c r="D875" s="5" t="s">
        <v>4214</v>
      </c>
      <c r="E875" s="5" t="s">
        <v>36</v>
      </c>
      <c r="F875" s="5" t="s">
        <v>37</v>
      </c>
      <c r="G875" s="5" t="s">
        <v>38</v>
      </c>
      <c r="H875" s="5"/>
      <c r="I875" s="5"/>
      <c r="J875" s="5" t="s">
        <v>39</v>
      </c>
      <c r="K875" s="5" t="s">
        <v>4038</v>
      </c>
      <c r="L875" s="5" t="s">
        <v>76</v>
      </c>
      <c r="M875" s="5" t="s">
        <v>77</v>
      </c>
      <c r="N875" s="5" t="s">
        <v>36</v>
      </c>
      <c r="O875" s="5">
        <v>1</v>
      </c>
      <c r="P875" s="5" t="s">
        <v>43</v>
      </c>
      <c r="Q875" s="5">
        <v>13.99</v>
      </c>
      <c r="R875" s="5"/>
      <c r="S875" s="5"/>
      <c r="T875" s="5"/>
      <c r="U875" s="5"/>
      <c r="V875" s="5"/>
      <c r="W875" s="5"/>
      <c r="X875" s="5"/>
      <c r="Y875" s="5" t="s">
        <v>1316</v>
      </c>
      <c r="Z875" s="5" t="s">
        <v>54</v>
      </c>
      <c r="AA875" s="5" t="s">
        <v>4215</v>
      </c>
      <c r="AB875" s="5" t="s">
        <v>46</v>
      </c>
      <c r="AC875" s="5"/>
      <c r="AD875" s="5" t="b">
        <v>0</v>
      </c>
      <c r="AE875" s="5"/>
      <c r="AF875" s="5"/>
      <c r="AG875" s="9">
        <f t="shared" si="13"/>
        <v>43280</v>
      </c>
    </row>
    <row r="876" s="6" customFormat="1" spans="1:33">
      <c r="A876" s="5" t="s">
        <v>4216</v>
      </c>
      <c r="B876" s="5" t="s">
        <v>4216</v>
      </c>
      <c r="C876" s="5" t="s">
        <v>4217</v>
      </c>
      <c r="D876" s="5" t="s">
        <v>4218</v>
      </c>
      <c r="E876" s="5" t="s">
        <v>36</v>
      </c>
      <c r="F876" s="5" t="s">
        <v>37</v>
      </c>
      <c r="G876" s="5" t="s">
        <v>38</v>
      </c>
      <c r="H876" s="5"/>
      <c r="I876" s="5"/>
      <c r="J876" s="5" t="s">
        <v>128</v>
      </c>
      <c r="K876" s="5" t="s">
        <v>3798</v>
      </c>
      <c r="L876" s="5" t="s">
        <v>1048</v>
      </c>
      <c r="M876" s="5" t="s">
        <v>535</v>
      </c>
      <c r="N876" s="5" t="s">
        <v>36</v>
      </c>
      <c r="O876" s="5">
        <v>1</v>
      </c>
      <c r="P876" s="5" t="s">
        <v>43</v>
      </c>
      <c r="Q876" s="5">
        <v>24.99</v>
      </c>
      <c r="R876" s="5"/>
      <c r="S876" s="5">
        <v>5.99</v>
      </c>
      <c r="T876" s="5"/>
      <c r="U876" s="5"/>
      <c r="V876" s="5"/>
      <c r="W876" s="5"/>
      <c r="X876" s="5"/>
      <c r="Y876" s="5" t="s">
        <v>489</v>
      </c>
      <c r="Z876" s="5" t="s">
        <v>1039</v>
      </c>
      <c r="AA876" s="5" t="s">
        <v>4219</v>
      </c>
      <c r="AB876" s="5" t="s">
        <v>46</v>
      </c>
      <c r="AC876" s="5"/>
      <c r="AD876" s="5" t="b">
        <v>0</v>
      </c>
      <c r="AE876" s="5"/>
      <c r="AF876" s="5"/>
      <c r="AG876" s="9">
        <f t="shared" si="13"/>
        <v>43280</v>
      </c>
    </row>
    <row r="877" s="6" customFormat="1" spans="1:33">
      <c r="A877" s="5" t="s">
        <v>4220</v>
      </c>
      <c r="B877" s="5" t="s">
        <v>4220</v>
      </c>
      <c r="C877" s="5" t="s">
        <v>4221</v>
      </c>
      <c r="D877" s="5" t="s">
        <v>4222</v>
      </c>
      <c r="E877" s="5" t="s">
        <v>36</v>
      </c>
      <c r="F877" s="5" t="s">
        <v>37</v>
      </c>
      <c r="G877" s="5" t="s">
        <v>38</v>
      </c>
      <c r="H877" s="5"/>
      <c r="I877" s="5"/>
      <c r="J877" s="5" t="s">
        <v>39</v>
      </c>
      <c r="K877" s="5" t="s">
        <v>3679</v>
      </c>
      <c r="L877" s="5" t="s">
        <v>1292</v>
      </c>
      <c r="M877" s="5" t="s">
        <v>1293</v>
      </c>
      <c r="N877" s="5" t="s">
        <v>36</v>
      </c>
      <c r="O877" s="5">
        <v>1</v>
      </c>
      <c r="P877" s="5" t="s">
        <v>43</v>
      </c>
      <c r="Q877" s="5">
        <v>12.99</v>
      </c>
      <c r="R877" s="5"/>
      <c r="S877" s="5"/>
      <c r="T877" s="5"/>
      <c r="U877" s="5"/>
      <c r="V877" s="5"/>
      <c r="W877" s="5"/>
      <c r="X877" s="5"/>
      <c r="Y877" s="5" t="s">
        <v>4223</v>
      </c>
      <c r="Z877" s="5" t="s">
        <v>463</v>
      </c>
      <c r="AA877" s="5" t="s">
        <v>4224</v>
      </c>
      <c r="AB877" s="5" t="s">
        <v>46</v>
      </c>
      <c r="AC877" s="5"/>
      <c r="AD877" s="5" t="b">
        <v>0</v>
      </c>
      <c r="AE877" s="5"/>
      <c r="AF877" s="5"/>
      <c r="AG877" s="9">
        <f t="shared" si="13"/>
        <v>43280</v>
      </c>
    </row>
    <row r="878" s="6" customFormat="1" spans="1:33">
      <c r="A878" s="5" t="s">
        <v>4225</v>
      </c>
      <c r="B878" s="5" t="s">
        <v>4225</v>
      </c>
      <c r="C878" s="5" t="s">
        <v>4226</v>
      </c>
      <c r="D878" s="5" t="s">
        <v>4227</v>
      </c>
      <c r="E878" s="5" t="s">
        <v>36</v>
      </c>
      <c r="F878" s="5" t="s">
        <v>37</v>
      </c>
      <c r="G878" s="5" t="s">
        <v>38</v>
      </c>
      <c r="H878" s="5"/>
      <c r="I878" s="5"/>
      <c r="J878" s="5" t="s">
        <v>39</v>
      </c>
      <c r="K878" s="5" t="s">
        <v>3798</v>
      </c>
      <c r="L878" s="5" t="s">
        <v>1048</v>
      </c>
      <c r="M878" s="5" t="s">
        <v>535</v>
      </c>
      <c r="N878" s="5" t="s">
        <v>36</v>
      </c>
      <c r="O878" s="5">
        <v>1</v>
      </c>
      <c r="P878" s="5" t="s">
        <v>43</v>
      </c>
      <c r="Q878" s="5">
        <v>24.99</v>
      </c>
      <c r="R878" s="5"/>
      <c r="S878" s="5"/>
      <c r="T878" s="5"/>
      <c r="U878" s="5"/>
      <c r="V878" s="5"/>
      <c r="W878" s="5"/>
      <c r="X878" s="5"/>
      <c r="Y878" s="5" t="s">
        <v>4228</v>
      </c>
      <c r="Z878" s="5" t="s">
        <v>87</v>
      </c>
      <c r="AA878" s="5" t="s">
        <v>4229</v>
      </c>
      <c r="AB878" s="5" t="s">
        <v>46</v>
      </c>
      <c r="AC878" s="5"/>
      <c r="AD878" s="5" t="b">
        <v>0</v>
      </c>
      <c r="AE878" s="5"/>
      <c r="AF878" s="5"/>
      <c r="AG878" s="9">
        <f t="shared" si="13"/>
        <v>43280</v>
      </c>
    </row>
    <row r="879" s="6" customFormat="1" spans="1:33">
      <c r="A879" s="5" t="s">
        <v>4230</v>
      </c>
      <c r="B879" s="5" t="s">
        <v>4230</v>
      </c>
      <c r="C879" s="5" t="s">
        <v>4231</v>
      </c>
      <c r="D879" s="5" t="s">
        <v>4232</v>
      </c>
      <c r="E879" s="5" t="s">
        <v>36</v>
      </c>
      <c r="F879" s="5" t="s">
        <v>37</v>
      </c>
      <c r="G879" s="5" t="s">
        <v>38</v>
      </c>
      <c r="H879" s="5"/>
      <c r="I879" s="5"/>
      <c r="J879" s="5" t="s">
        <v>39</v>
      </c>
      <c r="K879" s="5" t="s">
        <v>3752</v>
      </c>
      <c r="L879" s="5" t="s">
        <v>244</v>
      </c>
      <c r="M879" s="5" t="s">
        <v>245</v>
      </c>
      <c r="N879" s="5" t="s">
        <v>36</v>
      </c>
      <c r="O879" s="5">
        <v>1</v>
      </c>
      <c r="P879" s="5" t="s">
        <v>43</v>
      </c>
      <c r="Q879" s="5">
        <v>18.99</v>
      </c>
      <c r="R879" s="5"/>
      <c r="S879" s="5"/>
      <c r="T879" s="5"/>
      <c r="U879" s="5"/>
      <c r="V879" s="5"/>
      <c r="W879" s="5"/>
      <c r="X879" s="5"/>
      <c r="Y879" s="5" t="s">
        <v>150</v>
      </c>
      <c r="Z879" s="5" t="s">
        <v>151</v>
      </c>
      <c r="AA879" s="5" t="s">
        <v>4233</v>
      </c>
      <c r="AB879" s="5" t="s">
        <v>46</v>
      </c>
      <c r="AC879" s="5"/>
      <c r="AD879" s="5" t="b">
        <v>0</v>
      </c>
      <c r="AE879" s="5"/>
      <c r="AF879" s="5"/>
      <c r="AG879" s="9">
        <f t="shared" si="13"/>
        <v>43280</v>
      </c>
    </row>
    <row r="880" s="6" customFormat="1" spans="1:33">
      <c r="A880" s="5" t="s">
        <v>4234</v>
      </c>
      <c r="B880" s="5" t="s">
        <v>4234</v>
      </c>
      <c r="C880" s="5" t="s">
        <v>4235</v>
      </c>
      <c r="D880" s="5" t="s">
        <v>4236</v>
      </c>
      <c r="E880" s="5" t="s">
        <v>36</v>
      </c>
      <c r="F880" s="5" t="s">
        <v>37</v>
      </c>
      <c r="G880" s="5" t="s">
        <v>38</v>
      </c>
      <c r="H880" s="5"/>
      <c r="I880" s="5"/>
      <c r="J880" s="5" t="s">
        <v>39</v>
      </c>
      <c r="K880" s="5" t="s">
        <v>3752</v>
      </c>
      <c r="L880" s="5" t="s">
        <v>244</v>
      </c>
      <c r="M880" s="5" t="s">
        <v>245</v>
      </c>
      <c r="N880" s="5" t="s">
        <v>36</v>
      </c>
      <c r="O880" s="5">
        <v>1</v>
      </c>
      <c r="P880" s="5" t="s">
        <v>43</v>
      </c>
      <c r="Q880" s="5">
        <v>18.99</v>
      </c>
      <c r="R880" s="5"/>
      <c r="S880" s="5"/>
      <c r="T880" s="5"/>
      <c r="U880" s="5"/>
      <c r="V880" s="5"/>
      <c r="W880" s="5"/>
      <c r="X880" s="5"/>
      <c r="Y880" s="5" t="s">
        <v>669</v>
      </c>
      <c r="Z880" s="5" t="s">
        <v>54</v>
      </c>
      <c r="AA880" s="5" t="s">
        <v>4237</v>
      </c>
      <c r="AB880" s="5" t="s">
        <v>46</v>
      </c>
      <c r="AC880" s="5"/>
      <c r="AD880" s="5" t="b">
        <v>0</v>
      </c>
      <c r="AE880" s="5"/>
      <c r="AF880" s="5"/>
      <c r="AG880" s="9">
        <f t="shared" si="13"/>
        <v>43280</v>
      </c>
    </row>
    <row r="881" s="6" customFormat="1" spans="1:33">
      <c r="A881" s="5" t="s">
        <v>4238</v>
      </c>
      <c r="B881" s="5" t="s">
        <v>4238</v>
      </c>
      <c r="C881" s="5" t="s">
        <v>4239</v>
      </c>
      <c r="D881" s="5" t="s">
        <v>4240</v>
      </c>
      <c r="E881" s="5" t="s">
        <v>36</v>
      </c>
      <c r="F881" s="5" t="s">
        <v>37</v>
      </c>
      <c r="G881" s="5" t="s">
        <v>38</v>
      </c>
      <c r="H881" s="5"/>
      <c r="I881" s="5"/>
      <c r="J881" s="5" t="s">
        <v>39</v>
      </c>
      <c r="K881" s="5" t="s">
        <v>3745</v>
      </c>
      <c r="L881" s="5" t="s">
        <v>202</v>
      </c>
      <c r="M881" s="5" t="s">
        <v>203</v>
      </c>
      <c r="N881" s="5" t="s">
        <v>36</v>
      </c>
      <c r="O881" s="5">
        <v>1</v>
      </c>
      <c r="P881" s="5" t="s">
        <v>43</v>
      </c>
      <c r="Q881" s="5">
        <v>18.99</v>
      </c>
      <c r="R881" s="5"/>
      <c r="S881" s="5"/>
      <c r="T881" s="5"/>
      <c r="U881" s="5"/>
      <c r="V881" s="5"/>
      <c r="W881" s="5"/>
      <c r="X881" s="5"/>
      <c r="Y881" s="5" t="s">
        <v>4241</v>
      </c>
      <c r="Z881" s="5" t="s">
        <v>282</v>
      </c>
      <c r="AA881" s="5" t="s">
        <v>4242</v>
      </c>
      <c r="AB881" s="5" t="s">
        <v>46</v>
      </c>
      <c r="AC881" s="5"/>
      <c r="AD881" s="5" t="b">
        <v>0</v>
      </c>
      <c r="AE881" s="5"/>
      <c r="AF881" s="5"/>
      <c r="AG881" s="9">
        <f t="shared" si="13"/>
        <v>43280</v>
      </c>
    </row>
    <row r="882" s="6" customFormat="1" spans="1:33">
      <c r="A882" s="5" t="s">
        <v>4243</v>
      </c>
      <c r="B882" s="5" t="s">
        <v>4243</v>
      </c>
      <c r="C882" s="5" t="s">
        <v>4244</v>
      </c>
      <c r="D882" s="5" t="s">
        <v>4245</v>
      </c>
      <c r="E882" s="5" t="s">
        <v>36</v>
      </c>
      <c r="F882" s="5" t="s">
        <v>37</v>
      </c>
      <c r="G882" s="5" t="s">
        <v>38</v>
      </c>
      <c r="H882" s="5"/>
      <c r="I882" s="5"/>
      <c r="J882" s="5" t="s">
        <v>39</v>
      </c>
      <c r="K882" s="5" t="s">
        <v>4155</v>
      </c>
      <c r="L882" s="5" t="s">
        <v>111</v>
      </c>
      <c r="M882" s="5" t="s">
        <v>112</v>
      </c>
      <c r="N882" s="5" t="s">
        <v>36</v>
      </c>
      <c r="O882" s="5">
        <v>1</v>
      </c>
      <c r="P882" s="5" t="s">
        <v>43</v>
      </c>
      <c r="Q882" s="5">
        <v>13.99</v>
      </c>
      <c r="R882" s="5"/>
      <c r="S882" s="5"/>
      <c r="T882" s="5"/>
      <c r="U882" s="5"/>
      <c r="V882" s="5"/>
      <c r="W882" s="5"/>
      <c r="X882" s="5"/>
      <c r="Y882" s="5" t="s">
        <v>4246</v>
      </c>
      <c r="Z882" s="5" t="s">
        <v>87</v>
      </c>
      <c r="AA882" s="5">
        <v>23602</v>
      </c>
      <c r="AB882" s="5" t="s">
        <v>46</v>
      </c>
      <c r="AC882" s="5"/>
      <c r="AD882" s="5" t="b">
        <v>0</v>
      </c>
      <c r="AE882" s="5"/>
      <c r="AF882" s="5"/>
      <c r="AG882" s="9">
        <f t="shared" si="13"/>
        <v>43280</v>
      </c>
    </row>
    <row r="883" s="6" customFormat="1" spans="1:33">
      <c r="A883" s="5" t="s">
        <v>4247</v>
      </c>
      <c r="B883" s="5" t="s">
        <v>4247</v>
      </c>
      <c r="C883" s="5" t="s">
        <v>4248</v>
      </c>
      <c r="D883" s="5" t="s">
        <v>4249</v>
      </c>
      <c r="E883" s="5" t="s">
        <v>36</v>
      </c>
      <c r="F883" s="5" t="s">
        <v>37</v>
      </c>
      <c r="G883" s="5" t="s">
        <v>38</v>
      </c>
      <c r="H883" s="5"/>
      <c r="I883" s="5"/>
      <c r="J883" s="5" t="s">
        <v>39</v>
      </c>
      <c r="K883" s="5" t="s">
        <v>4250</v>
      </c>
      <c r="L883" s="5" t="s">
        <v>4251</v>
      </c>
      <c r="M883" s="5" t="s">
        <v>4252</v>
      </c>
      <c r="N883" s="5" t="s">
        <v>36</v>
      </c>
      <c r="O883" s="5">
        <v>1</v>
      </c>
      <c r="P883" s="5" t="s">
        <v>43</v>
      </c>
      <c r="Q883" s="5">
        <v>12</v>
      </c>
      <c r="R883" s="5"/>
      <c r="S883" s="5"/>
      <c r="T883" s="5"/>
      <c r="U883" s="5"/>
      <c r="V883" s="5"/>
      <c r="W883" s="5"/>
      <c r="X883" s="5"/>
      <c r="Y883" s="5" t="s">
        <v>1273</v>
      </c>
      <c r="Z883" s="5" t="s">
        <v>247</v>
      </c>
      <c r="AA883" s="5" t="s">
        <v>4253</v>
      </c>
      <c r="AB883" s="5" t="s">
        <v>46</v>
      </c>
      <c r="AC883" s="5"/>
      <c r="AD883" s="5" t="b">
        <v>0</v>
      </c>
      <c r="AE883" s="5"/>
      <c r="AF883" s="5"/>
      <c r="AG883" s="9">
        <f t="shared" si="13"/>
        <v>43280</v>
      </c>
    </row>
    <row r="884" s="6" customFormat="1" spans="1:33">
      <c r="A884" s="5" t="s">
        <v>4254</v>
      </c>
      <c r="B884" s="5" t="s">
        <v>4254</v>
      </c>
      <c r="C884" s="5" t="s">
        <v>4255</v>
      </c>
      <c r="D884" s="5" t="s">
        <v>4256</v>
      </c>
      <c r="E884" s="5" t="s">
        <v>36</v>
      </c>
      <c r="F884" s="5" t="s">
        <v>37</v>
      </c>
      <c r="G884" s="5" t="s">
        <v>38</v>
      </c>
      <c r="H884" s="5"/>
      <c r="I884" s="5"/>
      <c r="J884" s="5" t="s">
        <v>39</v>
      </c>
      <c r="K884" s="5" t="s">
        <v>3645</v>
      </c>
      <c r="L884" s="5" t="s">
        <v>51</v>
      </c>
      <c r="M884" s="5" t="s">
        <v>52</v>
      </c>
      <c r="N884" s="5" t="s">
        <v>36</v>
      </c>
      <c r="O884" s="5">
        <v>1</v>
      </c>
      <c r="P884" s="5" t="s">
        <v>43</v>
      </c>
      <c r="Q884" s="5">
        <v>18.99</v>
      </c>
      <c r="R884" s="5"/>
      <c r="S884" s="5"/>
      <c r="T884" s="5"/>
      <c r="U884" s="5"/>
      <c r="V884" s="5"/>
      <c r="W884" s="5"/>
      <c r="X884" s="5"/>
      <c r="Y884" s="5" t="s">
        <v>4257</v>
      </c>
      <c r="Z884" s="5" t="s">
        <v>335</v>
      </c>
      <c r="AA884" s="5" t="s">
        <v>4258</v>
      </c>
      <c r="AB884" s="5" t="s">
        <v>46</v>
      </c>
      <c r="AC884" s="5"/>
      <c r="AD884" s="5" t="b">
        <v>0</v>
      </c>
      <c r="AE884" s="5"/>
      <c r="AF884" s="5"/>
      <c r="AG884" s="9">
        <f t="shared" si="13"/>
        <v>43280</v>
      </c>
    </row>
    <row r="885" s="6" customFormat="1" spans="1:33">
      <c r="A885" s="5" t="s">
        <v>4259</v>
      </c>
      <c r="B885" s="5" t="s">
        <v>4259</v>
      </c>
      <c r="C885" s="5" t="s">
        <v>4260</v>
      </c>
      <c r="D885" s="5" t="s">
        <v>4261</v>
      </c>
      <c r="E885" s="5" t="s">
        <v>36</v>
      </c>
      <c r="F885" s="5" t="s">
        <v>37</v>
      </c>
      <c r="G885" s="5" t="s">
        <v>38</v>
      </c>
      <c r="H885" s="5"/>
      <c r="I885" s="5"/>
      <c r="J885" s="5" t="s">
        <v>39</v>
      </c>
      <c r="K885" s="5" t="s">
        <v>58</v>
      </c>
      <c r="L885" s="5" t="s">
        <v>59</v>
      </c>
      <c r="M885" s="5" t="s">
        <v>60</v>
      </c>
      <c r="N885" s="5" t="s">
        <v>36</v>
      </c>
      <c r="O885" s="5">
        <v>1</v>
      </c>
      <c r="P885" s="5" t="s">
        <v>43</v>
      </c>
      <c r="Q885" s="5">
        <v>13.99</v>
      </c>
      <c r="R885" s="5"/>
      <c r="S885" s="5"/>
      <c r="T885" s="5"/>
      <c r="U885" s="5"/>
      <c r="V885" s="5"/>
      <c r="W885" s="5"/>
      <c r="X885" s="5"/>
      <c r="Y885" s="5" t="s">
        <v>4262</v>
      </c>
      <c r="Z885" s="5" t="s">
        <v>142</v>
      </c>
      <c r="AA885" s="5" t="s">
        <v>4263</v>
      </c>
      <c r="AB885" s="5" t="s">
        <v>46</v>
      </c>
      <c r="AC885" s="5"/>
      <c r="AD885" s="5" t="b">
        <v>0</v>
      </c>
      <c r="AE885" s="5"/>
      <c r="AF885" s="5"/>
      <c r="AG885" s="9">
        <f t="shared" si="13"/>
        <v>43280</v>
      </c>
    </row>
    <row r="886" s="6" customFormat="1" spans="1:33">
      <c r="A886" s="5" t="s">
        <v>4264</v>
      </c>
      <c r="B886" s="5" t="s">
        <v>4264</v>
      </c>
      <c r="C886" s="5" t="s">
        <v>4265</v>
      </c>
      <c r="D886" s="5" t="s">
        <v>4266</v>
      </c>
      <c r="E886" s="5" t="s">
        <v>36</v>
      </c>
      <c r="F886" s="5" t="s">
        <v>37</v>
      </c>
      <c r="G886" s="5" t="s">
        <v>38</v>
      </c>
      <c r="H886" s="5"/>
      <c r="I886" s="5"/>
      <c r="J886" s="5" t="s">
        <v>39</v>
      </c>
      <c r="K886" s="5" t="s">
        <v>3714</v>
      </c>
      <c r="L886" s="5" t="s">
        <v>148</v>
      </c>
      <c r="M886" s="5" t="s">
        <v>149</v>
      </c>
      <c r="N886" s="5" t="s">
        <v>36</v>
      </c>
      <c r="O886" s="5">
        <v>1</v>
      </c>
      <c r="P886" s="5" t="s">
        <v>43</v>
      </c>
      <c r="Q886" s="5">
        <v>13.99</v>
      </c>
      <c r="R886" s="5"/>
      <c r="S886" s="5"/>
      <c r="T886" s="5"/>
      <c r="U886" s="5"/>
      <c r="V886" s="5"/>
      <c r="W886" s="5"/>
      <c r="X886" s="5"/>
      <c r="Y886" s="5" t="s">
        <v>4267</v>
      </c>
      <c r="Z886" s="5" t="s">
        <v>142</v>
      </c>
      <c r="AA886" s="5" t="s">
        <v>4268</v>
      </c>
      <c r="AB886" s="5" t="s">
        <v>46</v>
      </c>
      <c r="AC886" s="5"/>
      <c r="AD886" s="5" t="b">
        <v>0</v>
      </c>
      <c r="AE886" s="5"/>
      <c r="AF886" s="5"/>
      <c r="AG886" s="9">
        <f t="shared" si="13"/>
        <v>43280</v>
      </c>
    </row>
    <row r="887" s="6" customFormat="1" spans="1:33">
      <c r="A887" s="5" t="s">
        <v>4269</v>
      </c>
      <c r="B887" s="5" t="s">
        <v>4269</v>
      </c>
      <c r="C887" s="5" t="s">
        <v>4270</v>
      </c>
      <c r="D887" s="5" t="s">
        <v>4271</v>
      </c>
      <c r="E887" s="5" t="s">
        <v>36</v>
      </c>
      <c r="F887" s="5" t="s">
        <v>37</v>
      </c>
      <c r="G887" s="5" t="s">
        <v>38</v>
      </c>
      <c r="H887" s="5"/>
      <c r="I887" s="5"/>
      <c r="J887" s="5" t="s">
        <v>39</v>
      </c>
      <c r="K887" s="5" t="s">
        <v>3745</v>
      </c>
      <c r="L887" s="5" t="s">
        <v>202</v>
      </c>
      <c r="M887" s="5" t="s">
        <v>203</v>
      </c>
      <c r="N887" s="5" t="s">
        <v>36</v>
      </c>
      <c r="O887" s="5">
        <v>1</v>
      </c>
      <c r="P887" s="5" t="s">
        <v>43</v>
      </c>
      <c r="Q887" s="5">
        <v>18.99</v>
      </c>
      <c r="R887" s="5"/>
      <c r="S887" s="5"/>
      <c r="T887" s="5"/>
      <c r="U887" s="5"/>
      <c r="V887" s="5"/>
      <c r="W887" s="5"/>
      <c r="X887" s="5"/>
      <c r="Y887" s="5" t="s">
        <v>4272</v>
      </c>
      <c r="Z887" s="5" t="s">
        <v>1447</v>
      </c>
      <c r="AA887" s="5" t="s">
        <v>4273</v>
      </c>
      <c r="AB887" s="5" t="s">
        <v>46</v>
      </c>
      <c r="AC887" s="5"/>
      <c r="AD887" s="5" t="b">
        <v>0</v>
      </c>
      <c r="AE887" s="5"/>
      <c r="AF887" s="5"/>
      <c r="AG887" s="9">
        <f t="shared" si="13"/>
        <v>43280</v>
      </c>
    </row>
    <row r="888" s="6" customFormat="1" spans="1:33">
      <c r="A888" s="5" t="s">
        <v>4274</v>
      </c>
      <c r="B888" s="5" t="s">
        <v>4274</v>
      </c>
      <c r="C888" s="5" t="s">
        <v>4275</v>
      </c>
      <c r="D888" s="5" t="s">
        <v>4276</v>
      </c>
      <c r="E888" s="5" t="s">
        <v>36</v>
      </c>
      <c r="F888" s="5" t="s">
        <v>37</v>
      </c>
      <c r="G888" s="5" t="s">
        <v>38</v>
      </c>
      <c r="H888" s="5"/>
      <c r="I888" s="5"/>
      <c r="J888" s="5" t="s">
        <v>39</v>
      </c>
      <c r="K888" s="5" t="s">
        <v>3745</v>
      </c>
      <c r="L888" s="5" t="s">
        <v>202</v>
      </c>
      <c r="M888" s="5" t="s">
        <v>203</v>
      </c>
      <c r="N888" s="5" t="s">
        <v>36</v>
      </c>
      <c r="O888" s="5">
        <v>1</v>
      </c>
      <c r="P888" s="5" t="s">
        <v>43</v>
      </c>
      <c r="Q888" s="5">
        <v>18.99</v>
      </c>
      <c r="R888" s="5"/>
      <c r="S888" s="5"/>
      <c r="T888" s="5"/>
      <c r="U888" s="5"/>
      <c r="V888" s="5"/>
      <c r="W888" s="5"/>
      <c r="X888" s="5"/>
      <c r="Y888" s="5" t="s">
        <v>150</v>
      </c>
      <c r="Z888" s="5" t="s">
        <v>151</v>
      </c>
      <c r="AA888" s="5" t="s">
        <v>4277</v>
      </c>
      <c r="AB888" s="5" t="s">
        <v>46</v>
      </c>
      <c r="AC888" s="5"/>
      <c r="AD888" s="5" t="b">
        <v>0</v>
      </c>
      <c r="AE888" s="5"/>
      <c r="AF888" s="5"/>
      <c r="AG888" s="9">
        <f t="shared" si="13"/>
        <v>43280</v>
      </c>
    </row>
    <row r="889" s="6" customFormat="1" spans="1:33">
      <c r="A889" s="5" t="s">
        <v>4278</v>
      </c>
      <c r="B889" s="5" t="s">
        <v>4278</v>
      </c>
      <c r="C889" s="5" t="s">
        <v>4279</v>
      </c>
      <c r="D889" s="5" t="s">
        <v>4280</v>
      </c>
      <c r="E889" s="5" t="s">
        <v>36</v>
      </c>
      <c r="F889" s="5" t="s">
        <v>37</v>
      </c>
      <c r="G889" s="5" t="s">
        <v>38</v>
      </c>
      <c r="H889" s="5"/>
      <c r="I889" s="5"/>
      <c r="J889" s="5" t="s">
        <v>39</v>
      </c>
      <c r="K889" s="5" t="s">
        <v>3752</v>
      </c>
      <c r="L889" s="5" t="s">
        <v>244</v>
      </c>
      <c r="M889" s="5" t="s">
        <v>245</v>
      </c>
      <c r="N889" s="5" t="s">
        <v>36</v>
      </c>
      <c r="O889" s="5">
        <v>1</v>
      </c>
      <c r="P889" s="5" t="s">
        <v>43</v>
      </c>
      <c r="Q889" s="5">
        <v>18.99</v>
      </c>
      <c r="R889" s="5"/>
      <c r="S889" s="5"/>
      <c r="T889" s="5"/>
      <c r="U889" s="5"/>
      <c r="V889" s="5"/>
      <c r="W889" s="5"/>
      <c r="X889" s="5"/>
      <c r="Y889" s="5" t="s">
        <v>4281</v>
      </c>
      <c r="Z889" s="5" t="s">
        <v>183</v>
      </c>
      <c r="AA889" s="5" t="s">
        <v>4282</v>
      </c>
      <c r="AB889" s="5" t="s">
        <v>46</v>
      </c>
      <c r="AC889" s="5"/>
      <c r="AD889" s="5" t="b">
        <v>0</v>
      </c>
      <c r="AE889" s="5"/>
      <c r="AF889" s="5"/>
      <c r="AG889" s="9">
        <f t="shared" si="13"/>
        <v>43280</v>
      </c>
    </row>
    <row r="890" s="6" customFormat="1" spans="1:33">
      <c r="A890" s="5" t="s">
        <v>4283</v>
      </c>
      <c r="B890" s="5" t="s">
        <v>4283</v>
      </c>
      <c r="C890" s="5" t="s">
        <v>4284</v>
      </c>
      <c r="D890" s="5" t="s">
        <v>4285</v>
      </c>
      <c r="E890" s="5" t="s">
        <v>36</v>
      </c>
      <c r="F890" s="5" t="s">
        <v>37</v>
      </c>
      <c r="G890" s="5" t="s">
        <v>38</v>
      </c>
      <c r="H890" s="5"/>
      <c r="I890" s="5"/>
      <c r="J890" s="5" t="s">
        <v>39</v>
      </c>
      <c r="K890" s="5" t="s">
        <v>4085</v>
      </c>
      <c r="L890" s="5" t="s">
        <v>102</v>
      </c>
      <c r="M890" s="5" t="s">
        <v>103</v>
      </c>
      <c r="N890" s="5" t="s">
        <v>36</v>
      </c>
      <c r="O890" s="5">
        <v>1</v>
      </c>
      <c r="P890" s="5" t="s">
        <v>43</v>
      </c>
      <c r="Q890" s="5">
        <v>13.99</v>
      </c>
      <c r="R890" s="5"/>
      <c r="S890" s="5"/>
      <c r="T890" s="5"/>
      <c r="U890" s="5"/>
      <c r="V890" s="5"/>
      <c r="W890" s="5"/>
      <c r="X890" s="5"/>
      <c r="Y890" s="5" t="s">
        <v>4286</v>
      </c>
      <c r="Z890" s="5" t="s">
        <v>307</v>
      </c>
      <c r="AA890" s="5" t="s">
        <v>4287</v>
      </c>
      <c r="AB890" s="5" t="s">
        <v>46</v>
      </c>
      <c r="AC890" s="5"/>
      <c r="AD890" s="5" t="b">
        <v>0</v>
      </c>
      <c r="AE890" s="5"/>
      <c r="AF890" s="5"/>
      <c r="AG890" s="9">
        <f t="shared" si="13"/>
        <v>43280</v>
      </c>
    </row>
    <row r="891" s="6" customFormat="1" spans="1:33">
      <c r="A891" s="5" t="s">
        <v>4288</v>
      </c>
      <c r="B891" s="5" t="s">
        <v>4288</v>
      </c>
      <c r="C891" s="5" t="s">
        <v>4289</v>
      </c>
      <c r="D891" s="5" t="s">
        <v>4290</v>
      </c>
      <c r="E891" s="5" t="s">
        <v>36</v>
      </c>
      <c r="F891" s="5" t="s">
        <v>37</v>
      </c>
      <c r="G891" s="5" t="s">
        <v>38</v>
      </c>
      <c r="H891" s="5"/>
      <c r="I891" s="5"/>
      <c r="J891" s="5" t="s">
        <v>287</v>
      </c>
      <c r="K891" s="5" t="s">
        <v>3798</v>
      </c>
      <c r="L891" s="5" t="s">
        <v>1048</v>
      </c>
      <c r="M891" s="5" t="s">
        <v>535</v>
      </c>
      <c r="N891" s="5" t="s">
        <v>36</v>
      </c>
      <c r="O891" s="5">
        <v>1</v>
      </c>
      <c r="P891" s="5" t="s">
        <v>43</v>
      </c>
      <c r="Q891" s="5">
        <v>24.99</v>
      </c>
      <c r="R891" s="5"/>
      <c r="S891" s="5">
        <v>5.99</v>
      </c>
      <c r="T891" s="5"/>
      <c r="U891" s="5"/>
      <c r="V891" s="5"/>
      <c r="W891" s="5"/>
      <c r="X891" s="5"/>
      <c r="Y891" s="5" t="s">
        <v>4291</v>
      </c>
      <c r="Z891" s="5" t="s">
        <v>142</v>
      </c>
      <c r="AA891" s="5" t="s">
        <v>4292</v>
      </c>
      <c r="AB891" s="5" t="s">
        <v>46</v>
      </c>
      <c r="AC891" s="5"/>
      <c r="AD891" s="5" t="b">
        <v>0</v>
      </c>
      <c r="AE891" s="5"/>
      <c r="AF891" s="5"/>
      <c r="AG891" s="9">
        <f t="shared" si="13"/>
        <v>43280</v>
      </c>
    </row>
    <row r="892" s="6" customFormat="1" spans="1:33">
      <c r="A892" s="5" t="s">
        <v>4293</v>
      </c>
      <c r="B892" s="5" t="s">
        <v>4293</v>
      </c>
      <c r="C892" s="5" t="s">
        <v>4294</v>
      </c>
      <c r="D892" s="5" t="s">
        <v>4295</v>
      </c>
      <c r="E892" s="5" t="s">
        <v>36</v>
      </c>
      <c r="F892" s="5" t="s">
        <v>37</v>
      </c>
      <c r="G892" s="5" t="s">
        <v>38</v>
      </c>
      <c r="H892" s="5"/>
      <c r="I892" s="5"/>
      <c r="J892" s="5" t="s">
        <v>128</v>
      </c>
      <c r="K892" s="5" t="s">
        <v>1763</v>
      </c>
      <c r="L892" s="5" t="s">
        <v>1764</v>
      </c>
      <c r="M892" s="5" t="s">
        <v>1765</v>
      </c>
      <c r="N892" s="5" t="s">
        <v>36</v>
      </c>
      <c r="O892" s="5">
        <v>1</v>
      </c>
      <c r="P892" s="5" t="s">
        <v>43</v>
      </c>
      <c r="Q892" s="5">
        <v>29.99</v>
      </c>
      <c r="R892" s="5"/>
      <c r="S892" s="5">
        <v>3.15</v>
      </c>
      <c r="T892" s="5"/>
      <c r="U892" s="5"/>
      <c r="V892" s="5"/>
      <c r="W892" s="5"/>
      <c r="X892" s="5">
        <v>3.15</v>
      </c>
      <c r="Y892" s="5" t="s">
        <v>1326</v>
      </c>
      <c r="Z892" s="5" t="s">
        <v>247</v>
      </c>
      <c r="AA892" s="5" t="s">
        <v>4296</v>
      </c>
      <c r="AB892" s="5" t="s">
        <v>46</v>
      </c>
      <c r="AC892" s="5" t="s">
        <v>225</v>
      </c>
      <c r="AD892" s="5" t="b">
        <v>0</v>
      </c>
      <c r="AE892" s="5"/>
      <c r="AF892" s="5"/>
      <c r="AG892" s="9">
        <f t="shared" si="13"/>
        <v>43280</v>
      </c>
    </row>
    <row r="893" s="6" customFormat="1" spans="1:33">
      <c r="A893" s="5" t="s">
        <v>4297</v>
      </c>
      <c r="B893" s="5" t="s">
        <v>4297</v>
      </c>
      <c r="C893" s="5" t="s">
        <v>4298</v>
      </c>
      <c r="D893" s="5" t="s">
        <v>4299</v>
      </c>
      <c r="E893" s="5" t="s">
        <v>36</v>
      </c>
      <c r="F893" s="5" t="s">
        <v>37</v>
      </c>
      <c r="G893" s="5" t="s">
        <v>38</v>
      </c>
      <c r="H893" s="5"/>
      <c r="I893" s="5"/>
      <c r="J893" s="5" t="s">
        <v>39</v>
      </c>
      <c r="K893" s="5" t="s">
        <v>409</v>
      </c>
      <c r="L893" s="5" t="s">
        <v>4300</v>
      </c>
      <c r="M893" s="5" t="s">
        <v>4301</v>
      </c>
      <c r="N893" s="5" t="s">
        <v>36</v>
      </c>
      <c r="O893" s="5">
        <v>1</v>
      </c>
      <c r="P893" s="5" t="s">
        <v>43</v>
      </c>
      <c r="Q893" s="5">
        <v>9.9</v>
      </c>
      <c r="R893" s="5"/>
      <c r="S893" s="5"/>
      <c r="T893" s="5"/>
      <c r="U893" s="5"/>
      <c r="V893" s="5"/>
      <c r="W893" s="5"/>
      <c r="X893" s="5"/>
      <c r="Y893" s="5" t="s">
        <v>4302</v>
      </c>
      <c r="Z893" s="5" t="s">
        <v>96</v>
      </c>
      <c r="AA893" s="5" t="s">
        <v>4303</v>
      </c>
      <c r="AB893" s="5" t="s">
        <v>46</v>
      </c>
      <c r="AC893" s="5"/>
      <c r="AD893" s="5" t="b">
        <v>0</v>
      </c>
      <c r="AE893" s="5"/>
      <c r="AF893" s="5"/>
      <c r="AG893" s="9">
        <f t="shared" si="13"/>
        <v>43280</v>
      </c>
    </row>
    <row r="894" s="6" customFormat="1" spans="1:33">
      <c r="A894" s="5" t="s">
        <v>4304</v>
      </c>
      <c r="B894" s="5" t="s">
        <v>4304</v>
      </c>
      <c r="C894" s="5" t="s">
        <v>4305</v>
      </c>
      <c r="D894" s="5" t="s">
        <v>4306</v>
      </c>
      <c r="E894" s="5" t="s">
        <v>36</v>
      </c>
      <c r="F894" s="5" t="s">
        <v>37</v>
      </c>
      <c r="G894" s="5" t="s">
        <v>38</v>
      </c>
      <c r="H894" s="5"/>
      <c r="I894" s="5"/>
      <c r="J894" s="5" t="s">
        <v>39</v>
      </c>
      <c r="K894" s="5" t="s">
        <v>4307</v>
      </c>
      <c r="L894" s="5" t="s">
        <v>1227</v>
      </c>
      <c r="M894" s="5" t="s">
        <v>262</v>
      </c>
      <c r="N894" s="5" t="s">
        <v>36</v>
      </c>
      <c r="O894" s="5">
        <v>1</v>
      </c>
      <c r="P894" s="5" t="s">
        <v>43</v>
      </c>
      <c r="Q894" s="5">
        <v>18.99</v>
      </c>
      <c r="R894" s="5"/>
      <c r="S894" s="5"/>
      <c r="T894" s="5"/>
      <c r="U894" s="5"/>
      <c r="V894" s="5"/>
      <c r="W894" s="5"/>
      <c r="X894" s="5"/>
      <c r="Y894" s="5" t="s">
        <v>4308</v>
      </c>
      <c r="Z894" s="5" t="s">
        <v>1050</v>
      </c>
      <c r="AA894" s="5" t="s">
        <v>4309</v>
      </c>
      <c r="AB894" s="5" t="s">
        <v>46</v>
      </c>
      <c r="AC894" s="5"/>
      <c r="AD894" s="5" t="b">
        <v>0</v>
      </c>
      <c r="AE894" s="5"/>
      <c r="AF894" s="5"/>
      <c r="AG894" s="9">
        <f t="shared" si="13"/>
        <v>43280</v>
      </c>
    </row>
    <row r="895" s="6" customFormat="1" spans="1:33">
      <c r="A895" s="5" t="s">
        <v>4310</v>
      </c>
      <c r="B895" s="5" t="s">
        <v>4310</v>
      </c>
      <c r="C895" s="5" t="s">
        <v>4311</v>
      </c>
      <c r="D895" s="5" t="s">
        <v>4312</v>
      </c>
      <c r="E895" s="5" t="s">
        <v>36</v>
      </c>
      <c r="F895" s="5" t="s">
        <v>37</v>
      </c>
      <c r="G895" s="5" t="s">
        <v>38</v>
      </c>
      <c r="H895" s="5"/>
      <c r="I895" s="5"/>
      <c r="J895" s="5" t="s">
        <v>39</v>
      </c>
      <c r="K895" s="5" t="s">
        <v>1613</v>
      </c>
      <c r="L895" s="5" t="s">
        <v>1614</v>
      </c>
      <c r="M895" s="5" t="s">
        <v>1615</v>
      </c>
      <c r="N895" s="5" t="s">
        <v>36</v>
      </c>
      <c r="O895" s="5">
        <v>1</v>
      </c>
      <c r="P895" s="5" t="s">
        <v>43</v>
      </c>
      <c r="Q895" s="5">
        <v>10</v>
      </c>
      <c r="R895" s="5"/>
      <c r="S895" s="5"/>
      <c r="T895" s="5"/>
      <c r="U895" s="5"/>
      <c r="V895" s="5"/>
      <c r="W895" s="5"/>
      <c r="X895" s="5"/>
      <c r="Y895" s="5" t="s">
        <v>4313</v>
      </c>
      <c r="Z895" s="5" t="s">
        <v>170</v>
      </c>
      <c r="AA895" s="5" t="s">
        <v>4314</v>
      </c>
      <c r="AB895" s="5" t="s">
        <v>46</v>
      </c>
      <c r="AC895" s="5"/>
      <c r="AD895" s="5" t="b">
        <v>0</v>
      </c>
      <c r="AE895" s="5"/>
      <c r="AF895" s="5"/>
      <c r="AG895" s="9">
        <f t="shared" si="13"/>
        <v>43280</v>
      </c>
    </row>
    <row r="896" s="6" customFormat="1" spans="1:33">
      <c r="A896" s="5" t="s">
        <v>4315</v>
      </c>
      <c r="B896" s="5" t="s">
        <v>4315</v>
      </c>
      <c r="C896" s="5" t="s">
        <v>4316</v>
      </c>
      <c r="D896" s="5" t="s">
        <v>4317</v>
      </c>
      <c r="E896" s="5" t="s">
        <v>36</v>
      </c>
      <c r="F896" s="5" t="s">
        <v>37</v>
      </c>
      <c r="G896" s="5" t="s">
        <v>38</v>
      </c>
      <c r="H896" s="5"/>
      <c r="I896" s="5"/>
      <c r="J896" s="5" t="s">
        <v>287</v>
      </c>
      <c r="K896" s="5" t="s">
        <v>434</v>
      </c>
      <c r="L896" s="5" t="s">
        <v>435</v>
      </c>
      <c r="M896" s="5" t="s">
        <v>436</v>
      </c>
      <c r="N896" s="5" t="s">
        <v>36</v>
      </c>
      <c r="O896" s="5">
        <v>1</v>
      </c>
      <c r="P896" s="5" t="s">
        <v>43</v>
      </c>
      <c r="Q896" s="5">
        <v>13.99</v>
      </c>
      <c r="R896" s="5"/>
      <c r="S896" s="5">
        <v>5.99</v>
      </c>
      <c r="T896" s="5"/>
      <c r="U896" s="5"/>
      <c r="V896" s="5"/>
      <c r="W896" s="5"/>
      <c r="X896" s="5">
        <v>5.99</v>
      </c>
      <c r="Y896" s="5" t="s">
        <v>4156</v>
      </c>
      <c r="Z896" s="5" t="s">
        <v>238</v>
      </c>
      <c r="AA896" s="5" t="s">
        <v>4318</v>
      </c>
      <c r="AB896" s="5" t="s">
        <v>46</v>
      </c>
      <c r="AC896" s="5"/>
      <c r="AD896" s="5" t="b">
        <v>0</v>
      </c>
      <c r="AE896" s="5"/>
      <c r="AF896" s="5"/>
      <c r="AG896" s="9">
        <f t="shared" si="13"/>
        <v>43280</v>
      </c>
    </row>
    <row r="897" s="6" customFormat="1" spans="1:33">
      <c r="A897" s="5" t="s">
        <v>4319</v>
      </c>
      <c r="B897" s="5" t="s">
        <v>4319</v>
      </c>
      <c r="C897" s="5" t="s">
        <v>4320</v>
      </c>
      <c r="D897" s="5" t="s">
        <v>4321</v>
      </c>
      <c r="E897" s="5" t="s">
        <v>36</v>
      </c>
      <c r="F897" s="5" t="s">
        <v>37</v>
      </c>
      <c r="G897" s="5" t="s">
        <v>38</v>
      </c>
      <c r="H897" s="5"/>
      <c r="I897" s="5"/>
      <c r="J897" s="5" t="s">
        <v>39</v>
      </c>
      <c r="K897" s="5" t="s">
        <v>4038</v>
      </c>
      <c r="L897" s="5" t="s">
        <v>76</v>
      </c>
      <c r="M897" s="5" t="s">
        <v>77</v>
      </c>
      <c r="N897" s="5" t="s">
        <v>36</v>
      </c>
      <c r="O897" s="5">
        <v>1</v>
      </c>
      <c r="P897" s="5" t="s">
        <v>43</v>
      </c>
      <c r="Q897" s="5">
        <v>13.99</v>
      </c>
      <c r="R897" s="5"/>
      <c r="S897" s="5"/>
      <c r="T897" s="5"/>
      <c r="U897" s="5"/>
      <c r="V897" s="5"/>
      <c r="W897" s="5"/>
      <c r="X897" s="5"/>
      <c r="Y897" s="5" t="s">
        <v>3935</v>
      </c>
      <c r="Z897" s="5" t="s">
        <v>151</v>
      </c>
      <c r="AA897" s="5" t="s">
        <v>4322</v>
      </c>
      <c r="AB897" s="5" t="s">
        <v>46</v>
      </c>
      <c r="AC897" s="5"/>
      <c r="AD897" s="5" t="b">
        <v>0</v>
      </c>
      <c r="AE897" s="5"/>
      <c r="AF897" s="5"/>
      <c r="AG897" s="9">
        <f t="shared" si="13"/>
        <v>43280</v>
      </c>
    </row>
    <row r="898" s="6" customFormat="1" spans="1:33">
      <c r="A898" s="5" t="s">
        <v>4323</v>
      </c>
      <c r="B898" s="5" t="s">
        <v>4323</v>
      </c>
      <c r="C898" s="5" t="s">
        <v>4324</v>
      </c>
      <c r="D898" s="5" t="s">
        <v>4325</v>
      </c>
      <c r="E898" s="5" t="s">
        <v>36</v>
      </c>
      <c r="F898" s="5" t="s">
        <v>37</v>
      </c>
      <c r="G898" s="5" t="s">
        <v>38</v>
      </c>
      <c r="H898" s="5"/>
      <c r="I898" s="5"/>
      <c r="J898" s="5" t="s">
        <v>39</v>
      </c>
      <c r="K898" s="5" t="s">
        <v>3645</v>
      </c>
      <c r="L898" s="5" t="s">
        <v>51</v>
      </c>
      <c r="M898" s="5" t="s">
        <v>52</v>
      </c>
      <c r="N898" s="5" t="s">
        <v>36</v>
      </c>
      <c r="O898" s="5">
        <v>1</v>
      </c>
      <c r="P898" s="5" t="s">
        <v>43</v>
      </c>
      <c r="Q898" s="5">
        <v>18.99</v>
      </c>
      <c r="R898" s="5"/>
      <c r="S898" s="5"/>
      <c r="T898" s="5"/>
      <c r="U898" s="5"/>
      <c r="V898" s="5"/>
      <c r="W898" s="5"/>
      <c r="X898" s="5"/>
      <c r="Y898" s="5" t="s">
        <v>4326</v>
      </c>
      <c r="Z898" s="5" t="s">
        <v>732</v>
      </c>
      <c r="AA898" s="5" t="s">
        <v>4327</v>
      </c>
      <c r="AB898" s="5" t="s">
        <v>46</v>
      </c>
      <c r="AC898" s="5"/>
      <c r="AD898" s="5" t="b">
        <v>0</v>
      </c>
      <c r="AE898" s="5"/>
      <c r="AF898" s="5"/>
      <c r="AG898" s="9">
        <f t="shared" ref="AG898:AG961" si="14">DATEVALUE(LEFT(C898,10))</f>
        <v>43280</v>
      </c>
    </row>
    <row r="899" s="6" customFormat="1" spans="1:33">
      <c r="A899" s="5" t="s">
        <v>4328</v>
      </c>
      <c r="B899" s="5" t="s">
        <v>4328</v>
      </c>
      <c r="C899" s="5" t="s">
        <v>4329</v>
      </c>
      <c r="D899" s="5" t="s">
        <v>4330</v>
      </c>
      <c r="E899" s="5" t="s">
        <v>36</v>
      </c>
      <c r="F899" s="5" t="s">
        <v>37</v>
      </c>
      <c r="G899" s="5" t="s">
        <v>38</v>
      </c>
      <c r="H899" s="5"/>
      <c r="I899" s="5"/>
      <c r="J899" s="5" t="s">
        <v>287</v>
      </c>
      <c r="K899" s="5" t="s">
        <v>3719</v>
      </c>
      <c r="L899" s="5" t="s">
        <v>84</v>
      </c>
      <c r="M899" s="5" t="s">
        <v>85</v>
      </c>
      <c r="N899" s="5" t="s">
        <v>36</v>
      </c>
      <c r="O899" s="5">
        <v>1</v>
      </c>
      <c r="P899" s="5" t="s">
        <v>43</v>
      </c>
      <c r="Q899" s="5">
        <v>12.99</v>
      </c>
      <c r="R899" s="5"/>
      <c r="S899" s="5">
        <v>1.2</v>
      </c>
      <c r="T899" s="5"/>
      <c r="U899" s="5"/>
      <c r="V899" s="5"/>
      <c r="W899" s="5">
        <v>0.65</v>
      </c>
      <c r="X899" s="5">
        <v>1.2</v>
      </c>
      <c r="Y899" s="5" t="s">
        <v>4331</v>
      </c>
      <c r="Z899" s="5" t="s">
        <v>105</v>
      </c>
      <c r="AA899" s="5">
        <v>7083</v>
      </c>
      <c r="AB899" s="5" t="s">
        <v>46</v>
      </c>
      <c r="AC899" s="5" t="s">
        <v>115</v>
      </c>
      <c r="AD899" s="5" t="b">
        <v>0</v>
      </c>
      <c r="AE899" s="5"/>
      <c r="AF899" s="5"/>
      <c r="AG899" s="9">
        <f t="shared" si="14"/>
        <v>43280</v>
      </c>
    </row>
    <row r="900" s="6" customFormat="1" spans="1:33">
      <c r="A900" s="5" t="s">
        <v>4328</v>
      </c>
      <c r="B900" s="5" t="s">
        <v>4328</v>
      </c>
      <c r="C900" s="5" t="s">
        <v>4329</v>
      </c>
      <c r="D900" s="5" t="s">
        <v>4330</v>
      </c>
      <c r="E900" s="5" t="s">
        <v>36</v>
      </c>
      <c r="F900" s="5" t="s">
        <v>37</v>
      </c>
      <c r="G900" s="5" t="s">
        <v>38</v>
      </c>
      <c r="H900" s="5"/>
      <c r="I900" s="5"/>
      <c r="J900" s="5" t="s">
        <v>287</v>
      </c>
      <c r="K900" s="5" t="s">
        <v>4173</v>
      </c>
      <c r="L900" s="5" t="s">
        <v>1958</v>
      </c>
      <c r="M900" s="5" t="s">
        <v>271</v>
      </c>
      <c r="N900" s="5" t="s">
        <v>36</v>
      </c>
      <c r="O900" s="5">
        <v>1</v>
      </c>
      <c r="P900" s="5" t="s">
        <v>43</v>
      </c>
      <c r="Q900" s="5">
        <v>24.99</v>
      </c>
      <c r="R900" s="5"/>
      <c r="S900" s="5">
        <v>1.19</v>
      </c>
      <c r="T900" s="5"/>
      <c r="U900" s="5"/>
      <c r="V900" s="5"/>
      <c r="W900" s="5">
        <v>1.25</v>
      </c>
      <c r="X900" s="5">
        <v>1.19</v>
      </c>
      <c r="Y900" s="5" t="s">
        <v>4331</v>
      </c>
      <c r="Z900" s="5" t="s">
        <v>105</v>
      </c>
      <c r="AA900" s="5">
        <v>7083</v>
      </c>
      <c r="AB900" s="5" t="s">
        <v>46</v>
      </c>
      <c r="AC900" s="5" t="s">
        <v>115</v>
      </c>
      <c r="AD900" s="5" t="b">
        <v>0</v>
      </c>
      <c r="AE900" s="5"/>
      <c r="AF900" s="5"/>
      <c r="AG900" s="9">
        <f t="shared" si="14"/>
        <v>43280</v>
      </c>
    </row>
    <row r="901" s="6" customFormat="1" spans="1:33">
      <c r="A901" s="5" t="s">
        <v>4332</v>
      </c>
      <c r="B901" s="5" t="s">
        <v>4332</v>
      </c>
      <c r="C901" s="5" t="s">
        <v>4333</v>
      </c>
      <c r="D901" s="5" t="s">
        <v>4334</v>
      </c>
      <c r="E901" s="5" t="s">
        <v>36</v>
      </c>
      <c r="F901" s="5" t="s">
        <v>37</v>
      </c>
      <c r="G901" s="5" t="s">
        <v>38</v>
      </c>
      <c r="H901" s="5"/>
      <c r="I901" s="5"/>
      <c r="J901" s="5" t="s">
        <v>39</v>
      </c>
      <c r="K901" s="5" t="s">
        <v>4085</v>
      </c>
      <c r="L901" s="5" t="s">
        <v>102</v>
      </c>
      <c r="M901" s="5" t="s">
        <v>103</v>
      </c>
      <c r="N901" s="5" t="s">
        <v>36</v>
      </c>
      <c r="O901" s="5">
        <v>1</v>
      </c>
      <c r="P901" s="5" t="s">
        <v>43</v>
      </c>
      <c r="Q901" s="5">
        <v>13.99</v>
      </c>
      <c r="R901" s="5"/>
      <c r="S901" s="5"/>
      <c r="T901" s="5"/>
      <c r="U901" s="5"/>
      <c r="V901" s="5"/>
      <c r="W901" s="5"/>
      <c r="X901" s="5"/>
      <c r="Y901" s="5" t="s">
        <v>4335</v>
      </c>
      <c r="Z901" s="5" t="s">
        <v>247</v>
      </c>
      <c r="AA901" s="5" t="s">
        <v>4336</v>
      </c>
      <c r="AB901" s="5" t="s">
        <v>46</v>
      </c>
      <c r="AC901" s="5"/>
      <c r="AD901" s="5" t="b">
        <v>0</v>
      </c>
      <c r="AE901" s="5"/>
      <c r="AF901" s="5"/>
      <c r="AG901" s="9">
        <f t="shared" si="14"/>
        <v>43280</v>
      </c>
    </row>
    <row r="902" s="6" customFormat="1" spans="1:33">
      <c r="A902" s="5" t="s">
        <v>4337</v>
      </c>
      <c r="B902" s="5" t="s">
        <v>4337</v>
      </c>
      <c r="C902" s="5" t="s">
        <v>4338</v>
      </c>
      <c r="D902" s="5" t="s">
        <v>4339</v>
      </c>
      <c r="E902" s="5" t="s">
        <v>36</v>
      </c>
      <c r="F902" s="5" t="s">
        <v>37</v>
      </c>
      <c r="G902" s="5" t="s">
        <v>38</v>
      </c>
      <c r="H902" s="5"/>
      <c r="I902" s="5"/>
      <c r="J902" s="5" t="s">
        <v>39</v>
      </c>
      <c r="K902" s="5" t="s">
        <v>3645</v>
      </c>
      <c r="L902" s="5" t="s">
        <v>51</v>
      </c>
      <c r="M902" s="5" t="s">
        <v>52</v>
      </c>
      <c r="N902" s="5" t="s">
        <v>36</v>
      </c>
      <c r="O902" s="5">
        <v>1</v>
      </c>
      <c r="P902" s="5" t="s">
        <v>43</v>
      </c>
      <c r="Q902" s="5">
        <v>18.99</v>
      </c>
      <c r="R902" s="5">
        <v>1.14</v>
      </c>
      <c r="S902" s="5"/>
      <c r="T902" s="5"/>
      <c r="U902" s="5"/>
      <c r="V902" s="5"/>
      <c r="W902" s="5"/>
      <c r="X902" s="5"/>
      <c r="Y902" s="5" t="s">
        <v>4340</v>
      </c>
      <c r="Z902" s="5" t="s">
        <v>255</v>
      </c>
      <c r="AA902" s="5" t="s">
        <v>4341</v>
      </c>
      <c r="AB902" s="5" t="s">
        <v>46</v>
      </c>
      <c r="AC902" s="5"/>
      <c r="AD902" s="5" t="b">
        <v>0</v>
      </c>
      <c r="AE902" s="5"/>
      <c r="AF902" s="5"/>
      <c r="AG902" s="9">
        <f t="shared" si="14"/>
        <v>43280</v>
      </c>
    </row>
    <row r="903" s="6" customFormat="1" spans="1:33">
      <c r="A903" s="5" t="s">
        <v>4342</v>
      </c>
      <c r="B903" s="5" t="s">
        <v>4342</v>
      </c>
      <c r="C903" s="5" t="s">
        <v>4343</v>
      </c>
      <c r="D903" s="5" t="s">
        <v>4344</v>
      </c>
      <c r="E903" s="5" t="s">
        <v>36</v>
      </c>
      <c r="F903" s="5" t="s">
        <v>37</v>
      </c>
      <c r="G903" s="5" t="s">
        <v>38</v>
      </c>
      <c r="H903" s="5"/>
      <c r="I903" s="5"/>
      <c r="J903" s="5" t="s">
        <v>287</v>
      </c>
      <c r="K903" s="5" t="s">
        <v>3940</v>
      </c>
      <c r="L903" s="5" t="s">
        <v>2099</v>
      </c>
      <c r="M903" s="5" t="s">
        <v>121</v>
      </c>
      <c r="N903" s="5" t="s">
        <v>36</v>
      </c>
      <c r="O903" s="5">
        <v>1</v>
      </c>
      <c r="P903" s="5" t="s">
        <v>43</v>
      </c>
      <c r="Q903" s="5">
        <v>24.99</v>
      </c>
      <c r="R903" s="5"/>
      <c r="S903" s="5">
        <v>8.99</v>
      </c>
      <c r="T903" s="5"/>
      <c r="U903" s="5"/>
      <c r="V903" s="5"/>
      <c r="W903" s="5"/>
      <c r="X903" s="5"/>
      <c r="Y903" s="5" t="s">
        <v>4345</v>
      </c>
      <c r="Z903" s="5" t="s">
        <v>4346</v>
      </c>
      <c r="AA903" s="5" t="s">
        <v>4347</v>
      </c>
      <c r="AB903" s="5" t="s">
        <v>46</v>
      </c>
      <c r="AC903" s="5"/>
      <c r="AD903" s="5" t="b">
        <v>1</v>
      </c>
      <c r="AE903" s="5" t="s">
        <v>4348</v>
      </c>
      <c r="AF903" s="5"/>
      <c r="AG903" s="9">
        <f t="shared" si="14"/>
        <v>43280</v>
      </c>
    </row>
    <row r="904" s="6" customFormat="1" spans="1:33">
      <c r="A904" s="5" t="s">
        <v>4349</v>
      </c>
      <c r="B904" s="5" t="s">
        <v>4349</v>
      </c>
      <c r="C904" s="5" t="s">
        <v>4350</v>
      </c>
      <c r="D904" s="5" t="s">
        <v>4351</v>
      </c>
      <c r="E904" s="5" t="s">
        <v>36</v>
      </c>
      <c r="F904" s="5" t="s">
        <v>37</v>
      </c>
      <c r="G904" s="5" t="s">
        <v>38</v>
      </c>
      <c r="H904" s="5"/>
      <c r="I904" s="5"/>
      <c r="J904" s="5" t="s">
        <v>128</v>
      </c>
      <c r="K904" s="5" t="s">
        <v>587</v>
      </c>
      <c r="L904" s="5" t="s">
        <v>588</v>
      </c>
      <c r="M904" s="5" t="s">
        <v>589</v>
      </c>
      <c r="N904" s="5" t="s">
        <v>36</v>
      </c>
      <c r="O904" s="5">
        <v>1</v>
      </c>
      <c r="P904" s="5" t="s">
        <v>43</v>
      </c>
      <c r="Q904" s="5">
        <v>18.99</v>
      </c>
      <c r="R904" s="5"/>
      <c r="S904" s="5">
        <v>2.52</v>
      </c>
      <c r="T904" s="5"/>
      <c r="U904" s="5"/>
      <c r="V904" s="5"/>
      <c r="W904" s="5"/>
      <c r="X904" s="5">
        <v>2.52</v>
      </c>
      <c r="Y904" s="5" t="s">
        <v>4352</v>
      </c>
      <c r="Z904" s="5" t="s">
        <v>307</v>
      </c>
      <c r="AA904" s="5" t="s">
        <v>4353</v>
      </c>
      <c r="AB904" s="5" t="s">
        <v>46</v>
      </c>
      <c r="AC904" s="5" t="s">
        <v>225</v>
      </c>
      <c r="AD904" s="5" t="b">
        <v>0</v>
      </c>
      <c r="AE904" s="5"/>
      <c r="AF904" s="5"/>
      <c r="AG904" s="9">
        <f t="shared" si="14"/>
        <v>43280</v>
      </c>
    </row>
    <row r="905" s="6" customFormat="1" spans="1:33">
      <c r="A905" s="5" t="s">
        <v>4354</v>
      </c>
      <c r="B905" s="5" t="s">
        <v>4354</v>
      </c>
      <c r="C905" s="5" t="s">
        <v>4355</v>
      </c>
      <c r="D905" s="5" t="s">
        <v>4356</v>
      </c>
      <c r="E905" s="5" t="s">
        <v>36</v>
      </c>
      <c r="F905" s="5" t="s">
        <v>37</v>
      </c>
      <c r="G905" s="5" t="s">
        <v>38</v>
      </c>
      <c r="H905" s="5"/>
      <c r="I905" s="5"/>
      <c r="J905" s="5" t="s">
        <v>39</v>
      </c>
      <c r="K905" s="5" t="s">
        <v>67</v>
      </c>
      <c r="L905" s="5" t="s">
        <v>68</v>
      </c>
      <c r="M905" s="5" t="s">
        <v>69</v>
      </c>
      <c r="N905" s="5" t="s">
        <v>36</v>
      </c>
      <c r="O905" s="5">
        <v>1</v>
      </c>
      <c r="P905" s="5" t="s">
        <v>43</v>
      </c>
      <c r="Q905" s="5">
        <v>24.99</v>
      </c>
      <c r="R905" s="5"/>
      <c r="S905" s="5"/>
      <c r="T905" s="5"/>
      <c r="U905" s="5"/>
      <c r="V905" s="5"/>
      <c r="W905" s="5"/>
      <c r="X905" s="5"/>
      <c r="Y905" s="5" t="s">
        <v>4357</v>
      </c>
      <c r="Z905" s="5" t="s">
        <v>606</v>
      </c>
      <c r="AA905" s="5" t="s">
        <v>4358</v>
      </c>
      <c r="AB905" s="5" t="s">
        <v>46</v>
      </c>
      <c r="AC905" s="5"/>
      <c r="AD905" s="5" t="b">
        <v>0</v>
      </c>
      <c r="AE905" s="5"/>
      <c r="AF905" s="5"/>
      <c r="AG905" s="9">
        <f t="shared" si="14"/>
        <v>43280</v>
      </c>
    </row>
    <row r="906" s="6" customFormat="1" spans="1:33">
      <c r="A906" s="5" t="s">
        <v>4359</v>
      </c>
      <c r="B906" s="5" t="s">
        <v>4359</v>
      </c>
      <c r="C906" s="5" t="s">
        <v>4360</v>
      </c>
      <c r="D906" s="5" t="s">
        <v>4361</v>
      </c>
      <c r="E906" s="5" t="s">
        <v>36</v>
      </c>
      <c r="F906" s="5" t="s">
        <v>37</v>
      </c>
      <c r="G906" s="5" t="s">
        <v>38</v>
      </c>
      <c r="H906" s="5"/>
      <c r="I906" s="5"/>
      <c r="J906" s="5" t="s">
        <v>39</v>
      </c>
      <c r="K906" s="5" t="s">
        <v>1756</v>
      </c>
      <c r="L906" s="5" t="s">
        <v>1757</v>
      </c>
      <c r="M906" s="5" t="s">
        <v>1758</v>
      </c>
      <c r="N906" s="5" t="s">
        <v>36</v>
      </c>
      <c r="O906" s="5">
        <v>1</v>
      </c>
      <c r="P906" s="5" t="s">
        <v>43</v>
      </c>
      <c r="Q906" s="5">
        <v>29.99</v>
      </c>
      <c r="R906" s="5"/>
      <c r="S906" s="5"/>
      <c r="T906" s="5"/>
      <c r="U906" s="5"/>
      <c r="V906" s="5"/>
      <c r="W906" s="5"/>
      <c r="X906" s="5"/>
      <c r="Y906" s="5" t="s">
        <v>4362</v>
      </c>
      <c r="Z906" s="5" t="s">
        <v>183</v>
      </c>
      <c r="AA906" s="5" t="s">
        <v>4363</v>
      </c>
      <c r="AB906" s="5" t="s">
        <v>46</v>
      </c>
      <c r="AC906" s="5"/>
      <c r="AD906" s="5" t="b">
        <v>0</v>
      </c>
      <c r="AE906" s="5"/>
      <c r="AF906" s="5"/>
      <c r="AG906" s="9">
        <f t="shared" si="14"/>
        <v>43280</v>
      </c>
    </row>
    <row r="907" s="6" customFormat="1" spans="1:33">
      <c r="A907" s="5" t="s">
        <v>4364</v>
      </c>
      <c r="B907" s="5" t="s">
        <v>4364</v>
      </c>
      <c r="C907" s="5" t="s">
        <v>4365</v>
      </c>
      <c r="D907" s="5" t="s">
        <v>4366</v>
      </c>
      <c r="E907" s="5" t="s">
        <v>36</v>
      </c>
      <c r="F907" s="5" t="s">
        <v>37</v>
      </c>
      <c r="G907" s="5" t="s">
        <v>38</v>
      </c>
      <c r="H907" s="5"/>
      <c r="I907" s="5"/>
      <c r="J907" s="5" t="s">
        <v>39</v>
      </c>
      <c r="K907" s="5" t="s">
        <v>4085</v>
      </c>
      <c r="L907" s="5" t="s">
        <v>102</v>
      </c>
      <c r="M907" s="5" t="s">
        <v>103</v>
      </c>
      <c r="N907" s="5" t="s">
        <v>36</v>
      </c>
      <c r="O907" s="5">
        <v>1</v>
      </c>
      <c r="P907" s="5" t="s">
        <v>43</v>
      </c>
      <c r="Q907" s="5">
        <v>12.99</v>
      </c>
      <c r="R907" s="5"/>
      <c r="S907" s="5"/>
      <c r="T907" s="5"/>
      <c r="U907" s="5"/>
      <c r="V907" s="5"/>
      <c r="W907" s="5"/>
      <c r="X907" s="5"/>
      <c r="Y907" s="5" t="s">
        <v>4367</v>
      </c>
      <c r="Z907" s="5" t="s">
        <v>130</v>
      </c>
      <c r="AA907" s="5" t="s">
        <v>4368</v>
      </c>
      <c r="AB907" s="5" t="s">
        <v>46</v>
      </c>
      <c r="AC907" s="5"/>
      <c r="AD907" s="5" t="b">
        <v>0</v>
      </c>
      <c r="AE907" s="5"/>
      <c r="AF907" s="5"/>
      <c r="AG907" s="9">
        <f t="shared" si="14"/>
        <v>43280</v>
      </c>
    </row>
    <row r="908" s="6" customFormat="1" spans="1:33">
      <c r="A908" s="5" t="s">
        <v>4369</v>
      </c>
      <c r="B908" s="5" t="s">
        <v>4369</v>
      </c>
      <c r="C908" s="5" t="s">
        <v>4370</v>
      </c>
      <c r="D908" s="5" t="s">
        <v>4371</v>
      </c>
      <c r="E908" s="5" t="s">
        <v>36</v>
      </c>
      <c r="F908" s="5" t="s">
        <v>37</v>
      </c>
      <c r="G908" s="5" t="s">
        <v>38</v>
      </c>
      <c r="H908" s="5"/>
      <c r="I908" s="5"/>
      <c r="J908" s="5" t="s">
        <v>287</v>
      </c>
      <c r="K908" s="5" t="s">
        <v>4038</v>
      </c>
      <c r="L908" s="5" t="s">
        <v>76</v>
      </c>
      <c r="M908" s="5" t="s">
        <v>77</v>
      </c>
      <c r="N908" s="5" t="s">
        <v>36</v>
      </c>
      <c r="O908" s="5">
        <v>1</v>
      </c>
      <c r="P908" s="5" t="s">
        <v>43</v>
      </c>
      <c r="Q908" s="5">
        <v>12.99</v>
      </c>
      <c r="R908" s="5"/>
      <c r="S908" s="5">
        <v>1.5</v>
      </c>
      <c r="T908" s="5"/>
      <c r="U908" s="5"/>
      <c r="V908" s="5"/>
      <c r="W908" s="5"/>
      <c r="X908" s="5">
        <v>1.5</v>
      </c>
      <c r="Y908" s="5" t="s">
        <v>1571</v>
      </c>
      <c r="Z908" s="5" t="s">
        <v>923</v>
      </c>
      <c r="AA908" s="5" t="s">
        <v>4372</v>
      </c>
      <c r="AB908" s="5" t="s">
        <v>46</v>
      </c>
      <c r="AC908" s="5"/>
      <c r="AD908" s="5" t="b">
        <v>0</v>
      </c>
      <c r="AE908" s="5"/>
      <c r="AF908" s="5"/>
      <c r="AG908" s="9">
        <f t="shared" si="14"/>
        <v>43280</v>
      </c>
    </row>
    <row r="909" s="6" customFormat="1" spans="1:33">
      <c r="A909" s="5" t="s">
        <v>4373</v>
      </c>
      <c r="B909" s="5" t="s">
        <v>4373</v>
      </c>
      <c r="C909" s="5" t="s">
        <v>4374</v>
      </c>
      <c r="D909" s="5" t="s">
        <v>4375</v>
      </c>
      <c r="E909" s="5" t="s">
        <v>36</v>
      </c>
      <c r="F909" s="5" t="s">
        <v>37</v>
      </c>
      <c r="G909" s="5" t="s">
        <v>38</v>
      </c>
      <c r="H909" s="5"/>
      <c r="I909" s="5"/>
      <c r="J909" s="5" t="s">
        <v>39</v>
      </c>
      <c r="K909" s="5" t="s">
        <v>3679</v>
      </c>
      <c r="L909" s="5" t="s">
        <v>4376</v>
      </c>
      <c r="M909" s="5" t="s">
        <v>1293</v>
      </c>
      <c r="N909" s="5" t="s">
        <v>36</v>
      </c>
      <c r="O909" s="5">
        <v>1</v>
      </c>
      <c r="P909" s="5" t="s">
        <v>43</v>
      </c>
      <c r="Q909" s="5">
        <v>12.99</v>
      </c>
      <c r="R909" s="5"/>
      <c r="S909" s="5"/>
      <c r="T909" s="5"/>
      <c r="U909" s="5"/>
      <c r="V909" s="5"/>
      <c r="W909" s="5"/>
      <c r="X909" s="5"/>
      <c r="Y909" s="5" t="s">
        <v>157</v>
      </c>
      <c r="Z909" s="5" t="s">
        <v>96</v>
      </c>
      <c r="AA909" s="5" t="s">
        <v>4377</v>
      </c>
      <c r="AB909" s="5" t="s">
        <v>46</v>
      </c>
      <c r="AC909" s="5"/>
      <c r="AD909" s="5" t="b">
        <v>0</v>
      </c>
      <c r="AE909" s="5"/>
      <c r="AF909" s="5"/>
      <c r="AG909" s="9">
        <f t="shared" si="14"/>
        <v>43280</v>
      </c>
    </row>
    <row r="910" s="6" customFormat="1" spans="1:33">
      <c r="A910" s="5" t="s">
        <v>4378</v>
      </c>
      <c r="B910" s="5" t="s">
        <v>4378</v>
      </c>
      <c r="C910" s="5" t="s">
        <v>4379</v>
      </c>
      <c r="D910" s="5" t="s">
        <v>4380</v>
      </c>
      <c r="E910" s="5" t="s">
        <v>36</v>
      </c>
      <c r="F910" s="5" t="s">
        <v>37</v>
      </c>
      <c r="G910" s="5" t="s">
        <v>38</v>
      </c>
      <c r="H910" s="5"/>
      <c r="I910" s="5"/>
      <c r="J910" s="5" t="s">
        <v>39</v>
      </c>
      <c r="K910" s="5" t="s">
        <v>3714</v>
      </c>
      <c r="L910" s="5" t="s">
        <v>148</v>
      </c>
      <c r="M910" s="5" t="s">
        <v>149</v>
      </c>
      <c r="N910" s="5" t="s">
        <v>36</v>
      </c>
      <c r="O910" s="5">
        <v>1</v>
      </c>
      <c r="P910" s="5" t="s">
        <v>43</v>
      </c>
      <c r="Q910" s="5">
        <v>14.99</v>
      </c>
      <c r="R910" s="5"/>
      <c r="S910" s="5"/>
      <c r="T910" s="5"/>
      <c r="U910" s="5"/>
      <c r="V910" s="5"/>
      <c r="W910" s="5"/>
      <c r="X910" s="5"/>
      <c r="Y910" s="5" t="s">
        <v>4381</v>
      </c>
      <c r="Z910" s="5" t="s">
        <v>732</v>
      </c>
      <c r="AA910" s="5" t="s">
        <v>4382</v>
      </c>
      <c r="AB910" s="5" t="s">
        <v>46</v>
      </c>
      <c r="AC910" s="5"/>
      <c r="AD910" s="5" t="b">
        <v>0</v>
      </c>
      <c r="AE910" s="5"/>
      <c r="AF910" s="5"/>
      <c r="AG910" s="9">
        <f t="shared" si="14"/>
        <v>43280</v>
      </c>
    </row>
    <row r="911" s="6" customFormat="1" spans="1:33">
      <c r="A911" s="5" t="s">
        <v>4383</v>
      </c>
      <c r="B911" s="5" t="s">
        <v>4383</v>
      </c>
      <c r="C911" s="5" t="s">
        <v>4384</v>
      </c>
      <c r="D911" s="5" t="s">
        <v>4385</v>
      </c>
      <c r="E911" s="5" t="s">
        <v>36</v>
      </c>
      <c r="F911" s="5" t="s">
        <v>37</v>
      </c>
      <c r="G911" s="5" t="s">
        <v>38</v>
      </c>
      <c r="H911" s="5"/>
      <c r="I911" s="5"/>
      <c r="J911" s="5" t="s">
        <v>128</v>
      </c>
      <c r="K911" s="5" t="s">
        <v>3752</v>
      </c>
      <c r="L911" s="5" t="s">
        <v>244</v>
      </c>
      <c r="M911" s="5" t="s">
        <v>245</v>
      </c>
      <c r="N911" s="5" t="s">
        <v>36</v>
      </c>
      <c r="O911" s="5">
        <v>1</v>
      </c>
      <c r="P911" s="5" t="s">
        <v>43</v>
      </c>
      <c r="Q911" s="5">
        <v>18.99</v>
      </c>
      <c r="R911" s="5"/>
      <c r="S911" s="5">
        <v>3.36</v>
      </c>
      <c r="T911" s="5"/>
      <c r="U911" s="5"/>
      <c r="V911" s="5"/>
      <c r="W911" s="5"/>
      <c r="X911" s="5">
        <v>3.36</v>
      </c>
      <c r="Y911" s="5" t="s">
        <v>4386</v>
      </c>
      <c r="Z911" s="5" t="s">
        <v>1447</v>
      </c>
      <c r="AA911" s="5" t="s">
        <v>4387</v>
      </c>
      <c r="AB911" s="5" t="s">
        <v>46</v>
      </c>
      <c r="AC911" s="5" t="s">
        <v>225</v>
      </c>
      <c r="AD911" s="5" t="b">
        <v>0</v>
      </c>
      <c r="AE911" s="5"/>
      <c r="AF911" s="5"/>
      <c r="AG911" s="9">
        <f t="shared" si="14"/>
        <v>43280</v>
      </c>
    </row>
    <row r="912" s="6" customFormat="1" spans="1:33">
      <c r="A912" s="5" t="s">
        <v>4388</v>
      </c>
      <c r="B912" s="5" t="s">
        <v>4388</v>
      </c>
      <c r="C912" s="5" t="s">
        <v>4389</v>
      </c>
      <c r="D912" s="5" t="s">
        <v>4390</v>
      </c>
      <c r="E912" s="5" t="s">
        <v>36</v>
      </c>
      <c r="F912" s="5" t="s">
        <v>37</v>
      </c>
      <c r="G912" s="5" t="s">
        <v>38</v>
      </c>
      <c r="H912" s="5"/>
      <c r="I912" s="5"/>
      <c r="J912" s="5" t="s">
        <v>39</v>
      </c>
      <c r="K912" s="5" t="s">
        <v>3651</v>
      </c>
      <c r="L912" s="5" t="s">
        <v>3652</v>
      </c>
      <c r="M912" s="5" t="s">
        <v>3653</v>
      </c>
      <c r="N912" s="5" t="s">
        <v>36</v>
      </c>
      <c r="O912" s="5">
        <v>1</v>
      </c>
      <c r="P912" s="5" t="s">
        <v>43</v>
      </c>
      <c r="Q912" s="5">
        <v>35.99</v>
      </c>
      <c r="R912" s="5"/>
      <c r="S912" s="5"/>
      <c r="T912" s="5"/>
      <c r="U912" s="5"/>
      <c r="V912" s="5"/>
      <c r="W912" s="5"/>
      <c r="X912" s="5"/>
      <c r="Y912" s="5" t="s">
        <v>4391</v>
      </c>
      <c r="Z912" s="5" t="s">
        <v>1594</v>
      </c>
      <c r="AA912" s="5" t="s">
        <v>4392</v>
      </c>
      <c r="AB912" s="5" t="s">
        <v>46</v>
      </c>
      <c r="AC912" s="5"/>
      <c r="AD912" s="5" t="b">
        <v>0</v>
      </c>
      <c r="AE912" s="5"/>
      <c r="AF912" s="5"/>
      <c r="AG912" s="9">
        <f t="shared" si="14"/>
        <v>43280</v>
      </c>
    </row>
    <row r="913" s="6" customFormat="1" spans="1:33">
      <c r="A913" s="5" t="s">
        <v>4393</v>
      </c>
      <c r="B913" s="5" t="s">
        <v>4393</v>
      </c>
      <c r="C913" s="5" t="s">
        <v>4394</v>
      </c>
      <c r="D913" s="5" t="s">
        <v>4395</v>
      </c>
      <c r="E913" s="5" t="s">
        <v>36</v>
      </c>
      <c r="F913" s="5" t="s">
        <v>37</v>
      </c>
      <c r="G913" s="5" t="s">
        <v>38</v>
      </c>
      <c r="H913" s="5"/>
      <c r="I913" s="5"/>
      <c r="J913" s="5" t="s">
        <v>39</v>
      </c>
      <c r="K913" s="5" t="s">
        <v>4038</v>
      </c>
      <c r="L913" s="5" t="s">
        <v>76</v>
      </c>
      <c r="M913" s="5" t="s">
        <v>77</v>
      </c>
      <c r="N913" s="5" t="s">
        <v>36</v>
      </c>
      <c r="O913" s="5">
        <v>1</v>
      </c>
      <c r="P913" s="5" t="s">
        <v>43</v>
      </c>
      <c r="Q913" s="5">
        <v>12.99</v>
      </c>
      <c r="R913" s="5"/>
      <c r="S913" s="5"/>
      <c r="T913" s="5"/>
      <c r="U913" s="5"/>
      <c r="V913" s="5"/>
      <c r="W913" s="5"/>
      <c r="X913" s="5"/>
      <c r="Y913" s="5" t="s">
        <v>4396</v>
      </c>
      <c r="Z913" s="5" t="s">
        <v>732</v>
      </c>
      <c r="AA913" s="5" t="s">
        <v>4397</v>
      </c>
      <c r="AB913" s="5" t="s">
        <v>46</v>
      </c>
      <c r="AC913" s="5"/>
      <c r="AD913" s="5" t="b">
        <v>0</v>
      </c>
      <c r="AE913" s="5"/>
      <c r="AF913" s="5"/>
      <c r="AG913" s="9">
        <f t="shared" si="14"/>
        <v>43280</v>
      </c>
    </row>
    <row r="914" s="6" customFormat="1" spans="1:33">
      <c r="A914" s="5" t="s">
        <v>4398</v>
      </c>
      <c r="B914" s="5" t="s">
        <v>4398</v>
      </c>
      <c r="C914" s="5" t="s">
        <v>4399</v>
      </c>
      <c r="D914" s="5" t="s">
        <v>4400</v>
      </c>
      <c r="E914" s="5" t="s">
        <v>36</v>
      </c>
      <c r="F914" s="5" t="s">
        <v>37</v>
      </c>
      <c r="G914" s="5" t="s">
        <v>38</v>
      </c>
      <c r="H914" s="5"/>
      <c r="I914" s="5"/>
      <c r="J914" s="5" t="s">
        <v>39</v>
      </c>
      <c r="K914" s="5" t="s">
        <v>1756</v>
      </c>
      <c r="L914" s="5" t="s">
        <v>1757</v>
      </c>
      <c r="M914" s="5" t="s">
        <v>1758</v>
      </c>
      <c r="N914" s="5" t="s">
        <v>36</v>
      </c>
      <c r="O914" s="5">
        <v>1</v>
      </c>
      <c r="P914" s="5" t="s">
        <v>43</v>
      </c>
      <c r="Q914" s="5">
        <v>29.99</v>
      </c>
      <c r="R914" s="5"/>
      <c r="S914" s="5"/>
      <c r="T914" s="5"/>
      <c r="U914" s="5"/>
      <c r="V914" s="5"/>
      <c r="W914" s="5"/>
      <c r="X914" s="5"/>
      <c r="Y914" s="5" t="s">
        <v>4401</v>
      </c>
      <c r="Z914" s="5" t="s">
        <v>4402</v>
      </c>
      <c r="AA914" s="5">
        <v>63019</v>
      </c>
      <c r="AB914" s="5" t="s">
        <v>46</v>
      </c>
      <c r="AC914" s="5"/>
      <c r="AD914" s="5" t="b">
        <v>0</v>
      </c>
      <c r="AE914" s="5"/>
      <c r="AF914" s="5"/>
      <c r="AG914" s="9">
        <f t="shared" si="14"/>
        <v>43280</v>
      </c>
    </row>
    <row r="915" s="6" customFormat="1" spans="1:33">
      <c r="A915" s="5" t="s">
        <v>4403</v>
      </c>
      <c r="B915" s="5" t="s">
        <v>4403</v>
      </c>
      <c r="C915" s="5" t="s">
        <v>4404</v>
      </c>
      <c r="D915" s="5" t="s">
        <v>4405</v>
      </c>
      <c r="E915" s="5" t="s">
        <v>36</v>
      </c>
      <c r="F915" s="5" t="s">
        <v>37</v>
      </c>
      <c r="G915" s="5" t="s">
        <v>38</v>
      </c>
      <c r="H915" s="5"/>
      <c r="I915" s="5"/>
      <c r="J915" s="5" t="s">
        <v>39</v>
      </c>
      <c r="K915" s="5" t="s">
        <v>4173</v>
      </c>
      <c r="L915" s="5" t="s">
        <v>1958</v>
      </c>
      <c r="M915" s="5" t="s">
        <v>271</v>
      </c>
      <c r="N915" s="5" t="s">
        <v>36</v>
      </c>
      <c r="O915" s="5">
        <v>1</v>
      </c>
      <c r="P915" s="5" t="s">
        <v>43</v>
      </c>
      <c r="Q915" s="5">
        <v>24.99</v>
      </c>
      <c r="R915" s="5"/>
      <c r="S915" s="5"/>
      <c r="T915" s="5"/>
      <c r="U915" s="5"/>
      <c r="V915" s="5"/>
      <c r="W915" s="5"/>
      <c r="X915" s="5"/>
      <c r="Y915" s="5" t="s">
        <v>536</v>
      </c>
      <c r="Z915" s="5" t="s">
        <v>247</v>
      </c>
      <c r="AA915" s="5" t="s">
        <v>4406</v>
      </c>
      <c r="AB915" s="5" t="s">
        <v>46</v>
      </c>
      <c r="AC915" s="5"/>
      <c r="AD915" s="5" t="b">
        <v>0</v>
      </c>
      <c r="AE915" s="5"/>
      <c r="AF915" s="5"/>
      <c r="AG915" s="9">
        <f t="shared" si="14"/>
        <v>43280</v>
      </c>
    </row>
    <row r="916" s="6" customFormat="1" spans="1:33">
      <c r="A916" s="5" t="s">
        <v>4407</v>
      </c>
      <c r="B916" s="5" t="s">
        <v>4407</v>
      </c>
      <c r="C916" s="5" t="s">
        <v>4408</v>
      </c>
      <c r="D916" s="5" t="s">
        <v>4409</v>
      </c>
      <c r="E916" s="5" t="s">
        <v>36</v>
      </c>
      <c r="F916" s="5" t="s">
        <v>37</v>
      </c>
      <c r="G916" s="5" t="s">
        <v>38</v>
      </c>
      <c r="H916" s="5"/>
      <c r="I916" s="5"/>
      <c r="J916" s="5" t="s">
        <v>39</v>
      </c>
      <c r="K916" s="5" t="s">
        <v>3714</v>
      </c>
      <c r="L916" s="5" t="s">
        <v>148</v>
      </c>
      <c r="M916" s="5" t="s">
        <v>149</v>
      </c>
      <c r="N916" s="5" t="s">
        <v>36</v>
      </c>
      <c r="O916" s="5">
        <v>1</v>
      </c>
      <c r="P916" s="5" t="s">
        <v>43</v>
      </c>
      <c r="Q916" s="5">
        <v>14.99</v>
      </c>
      <c r="R916" s="5"/>
      <c r="S916" s="5"/>
      <c r="T916" s="5"/>
      <c r="U916" s="5"/>
      <c r="V916" s="5"/>
      <c r="W916" s="5"/>
      <c r="X916" s="5"/>
      <c r="Y916" s="5" t="s">
        <v>3553</v>
      </c>
      <c r="Z916" s="5" t="s">
        <v>247</v>
      </c>
      <c r="AA916" s="5" t="s">
        <v>4410</v>
      </c>
      <c r="AB916" s="5" t="s">
        <v>46</v>
      </c>
      <c r="AC916" s="5"/>
      <c r="AD916" s="5" t="b">
        <v>0</v>
      </c>
      <c r="AE916" s="5"/>
      <c r="AF916" s="5"/>
      <c r="AG916" s="9">
        <f t="shared" si="14"/>
        <v>43280</v>
      </c>
    </row>
    <row r="917" s="6" customFormat="1" spans="1:33">
      <c r="A917" s="5" t="s">
        <v>4411</v>
      </c>
      <c r="B917" s="5" t="s">
        <v>4411</v>
      </c>
      <c r="C917" s="5" t="s">
        <v>4412</v>
      </c>
      <c r="D917" s="5" t="s">
        <v>4413</v>
      </c>
      <c r="E917" s="5" t="s">
        <v>36</v>
      </c>
      <c r="F917" s="5" t="s">
        <v>37</v>
      </c>
      <c r="G917" s="5" t="s">
        <v>38</v>
      </c>
      <c r="H917" s="5"/>
      <c r="I917" s="5"/>
      <c r="J917" s="5" t="s">
        <v>39</v>
      </c>
      <c r="K917" s="5" t="s">
        <v>3668</v>
      </c>
      <c r="L917" s="5" t="s">
        <v>578</v>
      </c>
      <c r="M917" s="5" t="s">
        <v>572</v>
      </c>
      <c r="N917" s="5" t="s">
        <v>36</v>
      </c>
      <c r="O917" s="5">
        <v>1</v>
      </c>
      <c r="P917" s="5" t="s">
        <v>43</v>
      </c>
      <c r="Q917" s="5">
        <v>24.99</v>
      </c>
      <c r="R917" s="5"/>
      <c r="S917" s="5"/>
      <c r="T917" s="5"/>
      <c r="U917" s="5"/>
      <c r="V917" s="5"/>
      <c r="W917" s="5"/>
      <c r="X917" s="5"/>
      <c r="Y917" s="5" t="s">
        <v>4414</v>
      </c>
      <c r="Z917" s="5" t="s">
        <v>377</v>
      </c>
      <c r="AA917" s="5" t="s">
        <v>4415</v>
      </c>
      <c r="AB917" s="5" t="s">
        <v>46</v>
      </c>
      <c r="AC917" s="5"/>
      <c r="AD917" s="5" t="b">
        <v>0</v>
      </c>
      <c r="AE917" s="5"/>
      <c r="AF917" s="5"/>
      <c r="AG917" s="9">
        <f t="shared" si="14"/>
        <v>43280</v>
      </c>
    </row>
    <row r="918" s="6" customFormat="1" spans="1:33">
      <c r="A918" s="5" t="s">
        <v>4416</v>
      </c>
      <c r="B918" s="5" t="s">
        <v>4416</v>
      </c>
      <c r="C918" s="5" t="s">
        <v>4417</v>
      </c>
      <c r="D918" s="5" t="s">
        <v>4418</v>
      </c>
      <c r="E918" s="5" t="s">
        <v>36</v>
      </c>
      <c r="F918" s="5" t="s">
        <v>37</v>
      </c>
      <c r="G918" s="5" t="s">
        <v>38</v>
      </c>
      <c r="H918" s="5"/>
      <c r="I918" s="5"/>
      <c r="J918" s="5" t="s">
        <v>39</v>
      </c>
      <c r="K918" s="5" t="s">
        <v>4038</v>
      </c>
      <c r="L918" s="5" t="s">
        <v>76</v>
      </c>
      <c r="M918" s="5" t="s">
        <v>77</v>
      </c>
      <c r="N918" s="5" t="s">
        <v>36</v>
      </c>
      <c r="O918" s="5">
        <v>3</v>
      </c>
      <c r="P918" s="5" t="s">
        <v>43</v>
      </c>
      <c r="Q918" s="5">
        <v>38.97</v>
      </c>
      <c r="R918" s="5"/>
      <c r="S918" s="5"/>
      <c r="T918" s="5"/>
      <c r="U918" s="5"/>
      <c r="V918" s="5"/>
      <c r="W918" s="5">
        <v>1.95</v>
      </c>
      <c r="X918" s="5"/>
      <c r="Y918" s="5" t="s">
        <v>4419</v>
      </c>
      <c r="Z918" s="5" t="s">
        <v>183</v>
      </c>
      <c r="AA918" s="5">
        <v>28715</v>
      </c>
      <c r="AB918" s="5" t="s">
        <v>46</v>
      </c>
      <c r="AC918" s="5" t="s">
        <v>115</v>
      </c>
      <c r="AD918" s="5" t="b">
        <v>0</v>
      </c>
      <c r="AE918" s="5"/>
      <c r="AF918" s="5"/>
      <c r="AG918" s="9">
        <f t="shared" si="14"/>
        <v>43280</v>
      </c>
    </row>
    <row r="919" s="6" customFormat="1" spans="1:33">
      <c r="A919" s="5" t="s">
        <v>4420</v>
      </c>
      <c r="B919" s="5" t="s">
        <v>4420</v>
      </c>
      <c r="C919" s="5" t="s">
        <v>4421</v>
      </c>
      <c r="D919" s="5" t="s">
        <v>4422</v>
      </c>
      <c r="E919" s="5" t="s">
        <v>36</v>
      </c>
      <c r="F919" s="5" t="s">
        <v>37</v>
      </c>
      <c r="G919" s="5" t="s">
        <v>38</v>
      </c>
      <c r="H919" s="5"/>
      <c r="I919" s="5"/>
      <c r="J919" s="5" t="s">
        <v>39</v>
      </c>
      <c r="K919" s="5" t="s">
        <v>3923</v>
      </c>
      <c r="L919" s="5" t="s">
        <v>2578</v>
      </c>
      <c r="M919" s="5" t="s">
        <v>314</v>
      </c>
      <c r="N919" s="5" t="s">
        <v>36</v>
      </c>
      <c r="O919" s="5">
        <v>1</v>
      </c>
      <c r="P919" s="5" t="s">
        <v>43</v>
      </c>
      <c r="Q919" s="5">
        <v>23.99</v>
      </c>
      <c r="R919" s="5"/>
      <c r="S919" s="5"/>
      <c r="T919" s="5"/>
      <c r="U919" s="5"/>
      <c r="V919" s="5"/>
      <c r="W919" s="5"/>
      <c r="X919" s="5"/>
      <c r="Y919" s="5" t="s">
        <v>4423</v>
      </c>
      <c r="Z919" s="5" t="s">
        <v>54</v>
      </c>
      <c r="AA919" s="5">
        <v>94550</v>
      </c>
      <c r="AB919" s="5" t="s">
        <v>46</v>
      </c>
      <c r="AC919" s="5"/>
      <c r="AD919" s="5" t="b">
        <v>0</v>
      </c>
      <c r="AE919" s="5"/>
      <c r="AF919" s="5"/>
      <c r="AG919" s="9">
        <f t="shared" si="14"/>
        <v>43280</v>
      </c>
    </row>
    <row r="920" s="6" customFormat="1" spans="1:33">
      <c r="A920" s="5" t="s">
        <v>4424</v>
      </c>
      <c r="B920" s="5" t="s">
        <v>4424</v>
      </c>
      <c r="C920" s="5" t="s">
        <v>4425</v>
      </c>
      <c r="D920" s="5" t="s">
        <v>4426</v>
      </c>
      <c r="E920" s="5" t="s">
        <v>36</v>
      </c>
      <c r="F920" s="5" t="s">
        <v>37</v>
      </c>
      <c r="G920" s="5" t="s">
        <v>38</v>
      </c>
      <c r="H920" s="5"/>
      <c r="I920" s="5"/>
      <c r="J920" s="5" t="s">
        <v>39</v>
      </c>
      <c r="K920" s="5" t="s">
        <v>3923</v>
      </c>
      <c r="L920" s="5" t="s">
        <v>2578</v>
      </c>
      <c r="M920" s="5" t="s">
        <v>314</v>
      </c>
      <c r="N920" s="5" t="s">
        <v>36</v>
      </c>
      <c r="O920" s="5">
        <v>2</v>
      </c>
      <c r="P920" s="5" t="s">
        <v>43</v>
      </c>
      <c r="Q920" s="5">
        <v>47.98</v>
      </c>
      <c r="R920" s="5"/>
      <c r="S920" s="5"/>
      <c r="T920" s="5"/>
      <c r="U920" s="5"/>
      <c r="V920" s="5"/>
      <c r="W920" s="5">
        <v>2.4</v>
      </c>
      <c r="X920" s="5"/>
      <c r="Y920" s="5" t="s">
        <v>4427</v>
      </c>
      <c r="Z920" s="5" t="s">
        <v>377</v>
      </c>
      <c r="AA920" s="5" t="s">
        <v>4428</v>
      </c>
      <c r="AB920" s="5" t="s">
        <v>46</v>
      </c>
      <c r="AC920" s="5" t="s">
        <v>115</v>
      </c>
      <c r="AD920" s="5" t="b">
        <v>0</v>
      </c>
      <c r="AE920" s="5"/>
      <c r="AF920" s="5"/>
      <c r="AG920" s="9">
        <f t="shared" si="14"/>
        <v>43280</v>
      </c>
    </row>
    <row r="921" s="6" customFormat="1" spans="1:33">
      <c r="A921" s="5" t="s">
        <v>4429</v>
      </c>
      <c r="B921" s="5" t="s">
        <v>4429</v>
      </c>
      <c r="C921" s="5" t="s">
        <v>4430</v>
      </c>
      <c r="D921" s="5" t="s">
        <v>4431</v>
      </c>
      <c r="E921" s="5" t="s">
        <v>36</v>
      </c>
      <c r="F921" s="5" t="s">
        <v>37</v>
      </c>
      <c r="G921" s="5" t="s">
        <v>38</v>
      </c>
      <c r="H921" s="5"/>
      <c r="I921" s="5"/>
      <c r="J921" s="5" t="s">
        <v>39</v>
      </c>
      <c r="K921" s="5" t="s">
        <v>587</v>
      </c>
      <c r="L921" s="5" t="s">
        <v>588</v>
      </c>
      <c r="M921" s="5" t="s">
        <v>589</v>
      </c>
      <c r="N921" s="5" t="s">
        <v>36</v>
      </c>
      <c r="O921" s="5">
        <v>1</v>
      </c>
      <c r="P921" s="5" t="s">
        <v>43</v>
      </c>
      <c r="Q921" s="5">
        <v>18.99</v>
      </c>
      <c r="R921" s="5"/>
      <c r="S921" s="5"/>
      <c r="T921" s="5"/>
      <c r="U921" s="5"/>
      <c r="V921" s="5"/>
      <c r="W921" s="5"/>
      <c r="X921" s="5"/>
      <c r="Y921" s="5" t="s">
        <v>150</v>
      </c>
      <c r="Z921" s="5" t="s">
        <v>151</v>
      </c>
      <c r="AA921" s="5" t="s">
        <v>4432</v>
      </c>
      <c r="AB921" s="5" t="s">
        <v>46</v>
      </c>
      <c r="AC921" s="5"/>
      <c r="AD921" s="5" t="b">
        <v>0</v>
      </c>
      <c r="AE921" s="5"/>
      <c r="AF921" s="5"/>
      <c r="AG921" s="9">
        <f t="shared" si="14"/>
        <v>43280</v>
      </c>
    </row>
    <row r="922" s="6" customFormat="1" spans="1:33">
      <c r="A922" s="5" t="s">
        <v>4433</v>
      </c>
      <c r="B922" s="5" t="s">
        <v>4433</v>
      </c>
      <c r="C922" s="5" t="s">
        <v>4434</v>
      </c>
      <c r="D922" s="5" t="s">
        <v>4435</v>
      </c>
      <c r="E922" s="5" t="s">
        <v>36</v>
      </c>
      <c r="F922" s="5" t="s">
        <v>37</v>
      </c>
      <c r="G922" s="5" t="s">
        <v>38</v>
      </c>
      <c r="H922" s="5"/>
      <c r="I922" s="5"/>
      <c r="J922" s="5" t="s">
        <v>39</v>
      </c>
      <c r="K922" s="5" t="s">
        <v>409</v>
      </c>
      <c r="L922" s="5" t="s">
        <v>423</v>
      </c>
      <c r="M922" s="5" t="s">
        <v>424</v>
      </c>
      <c r="N922" s="5" t="s">
        <v>36</v>
      </c>
      <c r="O922" s="5">
        <v>1</v>
      </c>
      <c r="P922" s="5" t="s">
        <v>43</v>
      </c>
      <c r="Q922" s="5">
        <v>9.9</v>
      </c>
      <c r="R922" s="5"/>
      <c r="S922" s="5">
        <v>3.77</v>
      </c>
      <c r="T922" s="5"/>
      <c r="U922" s="5"/>
      <c r="V922" s="5"/>
      <c r="W922" s="5"/>
      <c r="X922" s="5"/>
      <c r="Y922" s="5" t="s">
        <v>4436</v>
      </c>
      <c r="Z922" s="5" t="s">
        <v>391</v>
      </c>
      <c r="AA922" s="5" t="s">
        <v>4437</v>
      </c>
      <c r="AB922" s="5" t="s">
        <v>46</v>
      </c>
      <c r="AC922" s="5"/>
      <c r="AD922" s="5" t="b">
        <v>0</v>
      </c>
      <c r="AE922" s="5"/>
      <c r="AF922" s="5"/>
      <c r="AG922" s="9">
        <f t="shared" si="14"/>
        <v>43280</v>
      </c>
    </row>
    <row r="923" s="6" customFormat="1" spans="1:33">
      <c r="A923" s="5" t="s">
        <v>4438</v>
      </c>
      <c r="B923" s="5" t="s">
        <v>4438</v>
      </c>
      <c r="C923" s="5" t="s">
        <v>4439</v>
      </c>
      <c r="D923" s="5" t="s">
        <v>4440</v>
      </c>
      <c r="E923" s="5" t="s">
        <v>36</v>
      </c>
      <c r="F923" s="5" t="s">
        <v>37</v>
      </c>
      <c r="G923" s="5" t="s">
        <v>38</v>
      </c>
      <c r="H923" s="5"/>
      <c r="I923" s="5"/>
      <c r="J923" s="5" t="s">
        <v>39</v>
      </c>
      <c r="K923" s="5" t="s">
        <v>3745</v>
      </c>
      <c r="L923" s="5" t="s">
        <v>202</v>
      </c>
      <c r="M923" s="5" t="s">
        <v>203</v>
      </c>
      <c r="N923" s="5" t="s">
        <v>36</v>
      </c>
      <c r="O923" s="5">
        <v>1</v>
      </c>
      <c r="P923" s="5" t="s">
        <v>43</v>
      </c>
      <c r="Q923" s="5">
        <v>18.99</v>
      </c>
      <c r="R923" s="5"/>
      <c r="S923" s="5"/>
      <c r="T923" s="5"/>
      <c r="U923" s="5"/>
      <c r="V923" s="5"/>
      <c r="W923" s="5"/>
      <c r="X923" s="5"/>
      <c r="Y923" s="5" t="s">
        <v>4441</v>
      </c>
      <c r="Z923" s="5" t="s">
        <v>4442</v>
      </c>
      <c r="AA923" s="5">
        <v>55449</v>
      </c>
      <c r="AB923" s="5" t="s">
        <v>46</v>
      </c>
      <c r="AC923" s="5"/>
      <c r="AD923" s="5" t="b">
        <v>0</v>
      </c>
      <c r="AE923" s="5"/>
      <c r="AF923" s="5"/>
      <c r="AG923" s="9">
        <f t="shared" si="14"/>
        <v>43280</v>
      </c>
    </row>
    <row r="924" s="6" customFormat="1" spans="1:33">
      <c r="A924" s="5" t="s">
        <v>4443</v>
      </c>
      <c r="B924" s="5" t="s">
        <v>4443</v>
      </c>
      <c r="C924" s="5" t="s">
        <v>4444</v>
      </c>
      <c r="D924" s="5" t="s">
        <v>4445</v>
      </c>
      <c r="E924" s="5" t="s">
        <v>36</v>
      </c>
      <c r="F924" s="5" t="s">
        <v>37</v>
      </c>
      <c r="G924" s="5" t="s">
        <v>38</v>
      </c>
      <c r="H924" s="5"/>
      <c r="I924" s="5"/>
      <c r="J924" s="5" t="s">
        <v>39</v>
      </c>
      <c r="K924" s="5" t="s">
        <v>4446</v>
      </c>
      <c r="L924" s="5" t="s">
        <v>4447</v>
      </c>
      <c r="M924" s="5" t="s">
        <v>4448</v>
      </c>
      <c r="N924" s="5" t="s">
        <v>36</v>
      </c>
      <c r="O924" s="5">
        <v>1</v>
      </c>
      <c r="P924" s="5" t="s">
        <v>43</v>
      </c>
      <c r="Q924" s="5">
        <v>25.99</v>
      </c>
      <c r="R924" s="5"/>
      <c r="S924" s="5"/>
      <c r="T924" s="5"/>
      <c r="U924" s="5"/>
      <c r="V924" s="5"/>
      <c r="W924" s="5"/>
      <c r="X924" s="5"/>
      <c r="Y924" s="5" t="s">
        <v>3720</v>
      </c>
      <c r="Z924" s="5" t="s">
        <v>130</v>
      </c>
      <c r="AA924" s="5" t="s">
        <v>3721</v>
      </c>
      <c r="AB924" s="5" t="s">
        <v>46</v>
      </c>
      <c r="AC924" s="5"/>
      <c r="AD924" s="5" t="b">
        <v>0</v>
      </c>
      <c r="AE924" s="5"/>
      <c r="AF924" s="5"/>
      <c r="AG924" s="9">
        <f t="shared" si="14"/>
        <v>43280</v>
      </c>
    </row>
    <row r="925" s="6" customFormat="1" spans="1:33">
      <c r="A925" s="5" t="s">
        <v>4449</v>
      </c>
      <c r="B925" s="5" t="s">
        <v>4449</v>
      </c>
      <c r="C925" s="5" t="s">
        <v>4450</v>
      </c>
      <c r="D925" s="5" t="s">
        <v>4451</v>
      </c>
      <c r="E925" s="5" t="s">
        <v>36</v>
      </c>
      <c r="F925" s="5" t="s">
        <v>37</v>
      </c>
      <c r="G925" s="5" t="s">
        <v>38</v>
      </c>
      <c r="H925" s="5"/>
      <c r="I925" s="5"/>
      <c r="J925" s="5" t="s">
        <v>39</v>
      </c>
      <c r="K925" s="5" t="s">
        <v>3714</v>
      </c>
      <c r="L925" s="5" t="s">
        <v>148</v>
      </c>
      <c r="M925" s="5" t="s">
        <v>149</v>
      </c>
      <c r="N925" s="5" t="s">
        <v>36</v>
      </c>
      <c r="O925" s="5">
        <v>1</v>
      </c>
      <c r="P925" s="5" t="s">
        <v>43</v>
      </c>
      <c r="Q925" s="5">
        <v>14.99</v>
      </c>
      <c r="R925" s="5"/>
      <c r="S925" s="5"/>
      <c r="T925" s="5"/>
      <c r="U925" s="5"/>
      <c r="V925" s="5"/>
      <c r="W925" s="5"/>
      <c r="X925" s="5"/>
      <c r="Y925" s="5" t="s">
        <v>4452</v>
      </c>
      <c r="Z925" s="5" t="s">
        <v>96</v>
      </c>
      <c r="AA925" s="5" t="s">
        <v>4453</v>
      </c>
      <c r="AB925" s="5" t="s">
        <v>46</v>
      </c>
      <c r="AC925" s="5"/>
      <c r="AD925" s="5" t="b">
        <v>0</v>
      </c>
      <c r="AE925" s="5"/>
      <c r="AF925" s="5"/>
      <c r="AG925" s="9">
        <f t="shared" si="14"/>
        <v>43280</v>
      </c>
    </row>
    <row r="926" s="6" customFormat="1" spans="1:33">
      <c r="A926" s="5" t="s">
        <v>4454</v>
      </c>
      <c r="B926" s="5" t="s">
        <v>4454</v>
      </c>
      <c r="C926" s="5" t="s">
        <v>4455</v>
      </c>
      <c r="D926" s="5" t="s">
        <v>4456</v>
      </c>
      <c r="E926" s="5" t="s">
        <v>36</v>
      </c>
      <c r="F926" s="5" t="s">
        <v>37</v>
      </c>
      <c r="G926" s="5" t="s">
        <v>38</v>
      </c>
      <c r="H926" s="5"/>
      <c r="I926" s="5"/>
      <c r="J926" s="5" t="s">
        <v>39</v>
      </c>
      <c r="K926" s="5" t="s">
        <v>4155</v>
      </c>
      <c r="L926" s="5" t="s">
        <v>111</v>
      </c>
      <c r="M926" s="5" t="s">
        <v>112</v>
      </c>
      <c r="N926" s="5" t="s">
        <v>36</v>
      </c>
      <c r="O926" s="5">
        <v>1</v>
      </c>
      <c r="P926" s="5" t="s">
        <v>43</v>
      </c>
      <c r="Q926" s="5">
        <v>12.99</v>
      </c>
      <c r="R926" s="5"/>
      <c r="S926" s="5"/>
      <c r="T926" s="5"/>
      <c r="U926" s="5"/>
      <c r="V926" s="5"/>
      <c r="W926" s="5"/>
      <c r="X926" s="5"/>
      <c r="Y926" s="5" t="s">
        <v>4457</v>
      </c>
      <c r="Z926" s="5" t="s">
        <v>54</v>
      </c>
      <c r="AA926" s="5" t="s">
        <v>4458</v>
      </c>
      <c r="AB926" s="5" t="s">
        <v>46</v>
      </c>
      <c r="AC926" s="5"/>
      <c r="AD926" s="5" t="b">
        <v>0</v>
      </c>
      <c r="AE926" s="5"/>
      <c r="AF926" s="5"/>
      <c r="AG926" s="9">
        <f t="shared" si="14"/>
        <v>43280</v>
      </c>
    </row>
    <row r="927" s="6" customFormat="1" spans="1:33">
      <c r="A927" s="5" t="s">
        <v>4459</v>
      </c>
      <c r="B927" s="5" t="s">
        <v>4459</v>
      </c>
      <c r="C927" s="5" t="s">
        <v>4460</v>
      </c>
      <c r="D927" s="5" t="s">
        <v>4461</v>
      </c>
      <c r="E927" s="5" t="s">
        <v>36</v>
      </c>
      <c r="F927" s="5" t="s">
        <v>37</v>
      </c>
      <c r="G927" s="5" t="s">
        <v>38</v>
      </c>
      <c r="H927" s="5"/>
      <c r="I927" s="5"/>
      <c r="J927" s="5" t="s">
        <v>39</v>
      </c>
      <c r="K927" s="5" t="s">
        <v>2197</v>
      </c>
      <c r="L927" s="5" t="s">
        <v>2198</v>
      </c>
      <c r="M927" s="5" t="s">
        <v>2199</v>
      </c>
      <c r="N927" s="5" t="s">
        <v>36</v>
      </c>
      <c r="O927" s="5">
        <v>1</v>
      </c>
      <c r="P927" s="5" t="s">
        <v>43</v>
      </c>
      <c r="Q927" s="5">
        <v>24.99</v>
      </c>
      <c r="R927" s="5"/>
      <c r="S927" s="5"/>
      <c r="T927" s="5"/>
      <c r="U927" s="5"/>
      <c r="V927" s="5"/>
      <c r="W927" s="5"/>
      <c r="X927" s="5"/>
      <c r="Y927" s="5" t="s">
        <v>4462</v>
      </c>
      <c r="Z927" s="5" t="s">
        <v>54</v>
      </c>
      <c r="AA927" s="5" t="s">
        <v>4463</v>
      </c>
      <c r="AB927" s="5" t="s">
        <v>46</v>
      </c>
      <c r="AC927" s="5"/>
      <c r="AD927" s="5" t="b">
        <v>0</v>
      </c>
      <c r="AE927" s="5"/>
      <c r="AF927" s="5"/>
      <c r="AG927" s="9">
        <f t="shared" si="14"/>
        <v>43281</v>
      </c>
    </row>
    <row r="928" s="6" customFormat="1" spans="1:33">
      <c r="A928" s="5" t="s">
        <v>4464</v>
      </c>
      <c r="B928" s="5" t="s">
        <v>4464</v>
      </c>
      <c r="C928" s="5" t="s">
        <v>4465</v>
      </c>
      <c r="D928" s="5" t="s">
        <v>4466</v>
      </c>
      <c r="E928" s="5" t="s">
        <v>36</v>
      </c>
      <c r="F928" s="5" t="s">
        <v>37</v>
      </c>
      <c r="G928" s="5" t="s">
        <v>38</v>
      </c>
      <c r="H928" s="5"/>
      <c r="I928" s="5"/>
      <c r="J928" s="5" t="s">
        <v>39</v>
      </c>
      <c r="K928" s="5" t="s">
        <v>3645</v>
      </c>
      <c r="L928" s="5" t="s">
        <v>51</v>
      </c>
      <c r="M928" s="5" t="s">
        <v>52</v>
      </c>
      <c r="N928" s="5" t="s">
        <v>36</v>
      </c>
      <c r="O928" s="5">
        <v>1</v>
      </c>
      <c r="P928" s="5" t="s">
        <v>43</v>
      </c>
      <c r="Q928" s="5">
        <v>18.99</v>
      </c>
      <c r="R928" s="5"/>
      <c r="S928" s="5"/>
      <c r="T928" s="5"/>
      <c r="U928" s="5"/>
      <c r="V928" s="5"/>
      <c r="W928" s="5"/>
      <c r="X928" s="5"/>
      <c r="Y928" s="5" t="s">
        <v>4467</v>
      </c>
      <c r="Z928" s="5" t="s">
        <v>282</v>
      </c>
      <c r="AA928" s="5" t="s">
        <v>4468</v>
      </c>
      <c r="AB928" s="5" t="s">
        <v>46</v>
      </c>
      <c r="AC928" s="5"/>
      <c r="AD928" s="5" t="b">
        <v>0</v>
      </c>
      <c r="AE928" s="5"/>
      <c r="AF928" s="5"/>
      <c r="AG928" s="9">
        <f t="shared" si="14"/>
        <v>43281</v>
      </c>
    </row>
    <row r="929" s="6" customFormat="1" spans="1:33">
      <c r="A929" s="5" t="s">
        <v>4469</v>
      </c>
      <c r="B929" s="5" t="s">
        <v>4469</v>
      </c>
      <c r="C929" s="5" t="s">
        <v>4470</v>
      </c>
      <c r="D929" s="5" t="s">
        <v>4471</v>
      </c>
      <c r="E929" s="5" t="s">
        <v>36</v>
      </c>
      <c r="F929" s="5" t="s">
        <v>37</v>
      </c>
      <c r="G929" s="5" t="s">
        <v>38</v>
      </c>
      <c r="H929" s="5"/>
      <c r="I929" s="5"/>
      <c r="J929" s="5" t="s">
        <v>39</v>
      </c>
      <c r="K929" s="5" t="s">
        <v>4472</v>
      </c>
      <c r="L929" s="5" t="s">
        <v>712</v>
      </c>
      <c r="M929" s="5" t="s">
        <v>713</v>
      </c>
      <c r="N929" s="5" t="s">
        <v>36</v>
      </c>
      <c r="O929" s="5">
        <v>1</v>
      </c>
      <c r="P929" s="5" t="s">
        <v>43</v>
      </c>
      <c r="Q929" s="5">
        <v>12.98</v>
      </c>
      <c r="R929" s="5"/>
      <c r="S929" s="5"/>
      <c r="T929" s="5"/>
      <c r="U929" s="5"/>
      <c r="V929" s="5"/>
      <c r="W929" s="5"/>
      <c r="X929" s="5"/>
      <c r="Y929" s="5" t="s">
        <v>4473</v>
      </c>
      <c r="Z929" s="5" t="s">
        <v>151</v>
      </c>
      <c r="AA929" s="5" t="s">
        <v>4474</v>
      </c>
      <c r="AB929" s="5" t="s">
        <v>46</v>
      </c>
      <c r="AC929" s="5"/>
      <c r="AD929" s="5" t="b">
        <v>0</v>
      </c>
      <c r="AE929" s="5"/>
      <c r="AF929" s="5"/>
      <c r="AG929" s="9">
        <f t="shared" si="14"/>
        <v>43281</v>
      </c>
    </row>
    <row r="930" s="6" customFormat="1" spans="1:33">
      <c r="A930" s="5" t="s">
        <v>4475</v>
      </c>
      <c r="B930" s="5" t="s">
        <v>4475</v>
      </c>
      <c r="C930" s="5" t="s">
        <v>4476</v>
      </c>
      <c r="D930" s="5" t="s">
        <v>4477</v>
      </c>
      <c r="E930" s="5" t="s">
        <v>36</v>
      </c>
      <c r="F930" s="5" t="s">
        <v>37</v>
      </c>
      <c r="G930" s="5" t="s">
        <v>38</v>
      </c>
      <c r="H930" s="5"/>
      <c r="I930" s="5"/>
      <c r="J930" s="5" t="s">
        <v>287</v>
      </c>
      <c r="K930" s="5" t="s">
        <v>3645</v>
      </c>
      <c r="L930" s="5" t="s">
        <v>51</v>
      </c>
      <c r="M930" s="5" t="s">
        <v>52</v>
      </c>
      <c r="N930" s="5" t="s">
        <v>36</v>
      </c>
      <c r="O930" s="5">
        <v>1</v>
      </c>
      <c r="P930" s="5" t="s">
        <v>43</v>
      </c>
      <c r="Q930" s="5">
        <v>18.99</v>
      </c>
      <c r="R930" s="5"/>
      <c r="S930" s="5">
        <v>2</v>
      </c>
      <c r="T930" s="5"/>
      <c r="U930" s="5"/>
      <c r="V930" s="5"/>
      <c r="W930" s="5"/>
      <c r="X930" s="5">
        <v>2</v>
      </c>
      <c r="Y930" s="5" t="s">
        <v>1326</v>
      </c>
      <c r="Z930" s="5" t="s">
        <v>247</v>
      </c>
      <c r="AA930" s="5" t="s">
        <v>4478</v>
      </c>
      <c r="AB930" s="5" t="s">
        <v>46</v>
      </c>
      <c r="AC930" s="5"/>
      <c r="AD930" s="5" t="b">
        <v>0</v>
      </c>
      <c r="AE930" s="5"/>
      <c r="AF930" s="5"/>
      <c r="AG930" s="9">
        <f t="shared" si="14"/>
        <v>43281</v>
      </c>
    </row>
    <row r="931" s="6" customFormat="1" spans="1:33">
      <c r="A931" s="5" t="s">
        <v>4479</v>
      </c>
      <c r="B931" s="5" t="s">
        <v>4479</v>
      </c>
      <c r="C931" s="5" t="s">
        <v>4480</v>
      </c>
      <c r="D931" s="5" t="s">
        <v>4481</v>
      </c>
      <c r="E931" s="5" t="s">
        <v>36</v>
      </c>
      <c r="F931" s="5" t="s">
        <v>37</v>
      </c>
      <c r="G931" s="5" t="s">
        <v>38</v>
      </c>
      <c r="H931" s="5"/>
      <c r="I931" s="5"/>
      <c r="J931" s="5" t="s">
        <v>39</v>
      </c>
      <c r="K931" s="5" t="s">
        <v>4038</v>
      </c>
      <c r="L931" s="5" t="s">
        <v>76</v>
      </c>
      <c r="M931" s="5" t="s">
        <v>77</v>
      </c>
      <c r="N931" s="5" t="s">
        <v>36</v>
      </c>
      <c r="O931" s="5">
        <v>1</v>
      </c>
      <c r="P931" s="5" t="s">
        <v>43</v>
      </c>
      <c r="Q931" s="5">
        <v>13.99</v>
      </c>
      <c r="R931" s="5"/>
      <c r="S931" s="5"/>
      <c r="T931" s="5"/>
      <c r="U931" s="5"/>
      <c r="V931" s="5"/>
      <c r="W931" s="5"/>
      <c r="X931" s="5"/>
      <c r="Y931" s="5" t="s">
        <v>4482</v>
      </c>
      <c r="Z931" s="5" t="s">
        <v>142</v>
      </c>
      <c r="AA931" s="5" t="s">
        <v>4483</v>
      </c>
      <c r="AB931" s="5" t="s">
        <v>46</v>
      </c>
      <c r="AC931" s="5"/>
      <c r="AD931" s="5" t="b">
        <v>0</v>
      </c>
      <c r="AE931" s="5"/>
      <c r="AF931" s="5"/>
      <c r="AG931" s="9">
        <f t="shared" si="14"/>
        <v>43281</v>
      </c>
    </row>
    <row r="932" s="6" customFormat="1" spans="1:33">
      <c r="A932" s="5" t="s">
        <v>4484</v>
      </c>
      <c r="B932" s="5" t="s">
        <v>4484</v>
      </c>
      <c r="C932" s="5" t="s">
        <v>4485</v>
      </c>
      <c r="D932" s="5" t="s">
        <v>4486</v>
      </c>
      <c r="E932" s="5" t="s">
        <v>36</v>
      </c>
      <c r="F932" s="5" t="s">
        <v>37</v>
      </c>
      <c r="G932" s="5" t="s">
        <v>38</v>
      </c>
      <c r="H932" s="5"/>
      <c r="I932" s="5"/>
      <c r="J932" s="5" t="s">
        <v>39</v>
      </c>
      <c r="K932" s="5" t="s">
        <v>409</v>
      </c>
      <c r="L932" s="5" t="s">
        <v>4300</v>
      </c>
      <c r="M932" s="5" t="s">
        <v>4301</v>
      </c>
      <c r="N932" s="5" t="s">
        <v>36</v>
      </c>
      <c r="O932" s="5">
        <v>1</v>
      </c>
      <c r="P932" s="5" t="s">
        <v>43</v>
      </c>
      <c r="Q932" s="5">
        <v>9.9</v>
      </c>
      <c r="R932" s="5"/>
      <c r="S932" s="5"/>
      <c r="T932" s="5"/>
      <c r="U932" s="5"/>
      <c r="V932" s="5"/>
      <c r="W932" s="5"/>
      <c r="X932" s="5"/>
      <c r="Y932" s="5" t="s">
        <v>4487</v>
      </c>
      <c r="Z932" s="5" t="s">
        <v>247</v>
      </c>
      <c r="AA932" s="5" t="s">
        <v>4488</v>
      </c>
      <c r="AB932" s="5" t="s">
        <v>46</v>
      </c>
      <c r="AC932" s="5"/>
      <c r="AD932" s="5" t="b">
        <v>0</v>
      </c>
      <c r="AE932" s="5"/>
      <c r="AF932" s="5"/>
      <c r="AG932" s="9">
        <f t="shared" si="14"/>
        <v>43281</v>
      </c>
    </row>
    <row r="933" s="6" customFormat="1" spans="1:33">
      <c r="A933" s="5" t="s">
        <v>4489</v>
      </c>
      <c r="B933" s="5" t="s">
        <v>4489</v>
      </c>
      <c r="C933" s="5" t="s">
        <v>4490</v>
      </c>
      <c r="D933" s="5" t="s">
        <v>4491</v>
      </c>
      <c r="E933" s="5" t="s">
        <v>36</v>
      </c>
      <c r="F933" s="5" t="s">
        <v>37</v>
      </c>
      <c r="G933" s="5" t="s">
        <v>38</v>
      </c>
      <c r="H933" s="5"/>
      <c r="I933" s="5"/>
      <c r="J933" s="5" t="s">
        <v>39</v>
      </c>
      <c r="K933" s="5" t="s">
        <v>4155</v>
      </c>
      <c r="L933" s="5" t="s">
        <v>111</v>
      </c>
      <c r="M933" s="5" t="s">
        <v>112</v>
      </c>
      <c r="N933" s="5" t="s">
        <v>36</v>
      </c>
      <c r="O933" s="5">
        <v>2</v>
      </c>
      <c r="P933" s="5" t="s">
        <v>43</v>
      </c>
      <c r="Q933" s="5">
        <v>27.98</v>
      </c>
      <c r="R933" s="5"/>
      <c r="S933" s="5"/>
      <c r="T933" s="5"/>
      <c r="U933" s="5"/>
      <c r="V933" s="5"/>
      <c r="W933" s="5">
        <v>1.4</v>
      </c>
      <c r="X933" s="5"/>
      <c r="Y933" s="5" t="s">
        <v>4492</v>
      </c>
      <c r="Z933" s="5" t="s">
        <v>247</v>
      </c>
      <c r="AA933" s="5">
        <v>77523</v>
      </c>
      <c r="AB933" s="5" t="s">
        <v>46</v>
      </c>
      <c r="AC933" s="5" t="s">
        <v>115</v>
      </c>
      <c r="AD933" s="5" t="b">
        <v>0</v>
      </c>
      <c r="AE933" s="5"/>
      <c r="AF933" s="5"/>
      <c r="AG933" s="9">
        <f t="shared" si="14"/>
        <v>43281</v>
      </c>
    </row>
    <row r="934" s="6" customFormat="1" spans="1:33">
      <c r="A934" s="5" t="s">
        <v>4493</v>
      </c>
      <c r="B934" s="5" t="s">
        <v>4493</v>
      </c>
      <c r="C934" s="5" t="s">
        <v>4494</v>
      </c>
      <c r="D934" s="5" t="s">
        <v>4495</v>
      </c>
      <c r="E934" s="5" t="s">
        <v>36</v>
      </c>
      <c r="F934" s="5" t="s">
        <v>37</v>
      </c>
      <c r="G934" s="5" t="s">
        <v>38</v>
      </c>
      <c r="H934" s="5"/>
      <c r="I934" s="5"/>
      <c r="J934" s="5" t="s">
        <v>39</v>
      </c>
      <c r="K934" s="5" t="s">
        <v>67</v>
      </c>
      <c r="L934" s="5" t="s">
        <v>68</v>
      </c>
      <c r="M934" s="5" t="s">
        <v>69</v>
      </c>
      <c r="N934" s="5" t="s">
        <v>36</v>
      </c>
      <c r="O934" s="5">
        <v>1</v>
      </c>
      <c r="P934" s="5" t="s">
        <v>43</v>
      </c>
      <c r="Q934" s="5">
        <v>24.99</v>
      </c>
      <c r="R934" s="5">
        <v>1.9</v>
      </c>
      <c r="S934" s="5"/>
      <c r="T934" s="5"/>
      <c r="U934" s="5"/>
      <c r="V934" s="5"/>
      <c r="W934" s="5"/>
      <c r="X934" s="5"/>
      <c r="Y934" s="5" t="s">
        <v>4496</v>
      </c>
      <c r="Z934" s="5" t="s">
        <v>474</v>
      </c>
      <c r="AA934" s="5" t="s">
        <v>4497</v>
      </c>
      <c r="AB934" s="5" t="s">
        <v>46</v>
      </c>
      <c r="AC934" s="5"/>
      <c r="AD934" s="5" t="b">
        <v>0</v>
      </c>
      <c r="AE934" s="5"/>
      <c r="AF934" s="5"/>
      <c r="AG934" s="9">
        <f t="shared" si="14"/>
        <v>43281</v>
      </c>
    </row>
    <row r="935" s="6" customFormat="1" spans="1:33">
      <c r="A935" s="5" t="s">
        <v>4498</v>
      </c>
      <c r="B935" s="5" t="s">
        <v>4498</v>
      </c>
      <c r="C935" s="5" t="s">
        <v>4499</v>
      </c>
      <c r="D935" s="5" t="s">
        <v>4500</v>
      </c>
      <c r="E935" s="5" t="s">
        <v>36</v>
      </c>
      <c r="F935" s="5" t="s">
        <v>37</v>
      </c>
      <c r="G935" s="5" t="s">
        <v>38</v>
      </c>
      <c r="H935" s="5"/>
      <c r="I935" s="5"/>
      <c r="J935" s="5" t="s">
        <v>39</v>
      </c>
      <c r="K935" s="5" t="s">
        <v>4501</v>
      </c>
      <c r="L935" s="5" t="s">
        <v>4502</v>
      </c>
      <c r="M935" s="5" t="s">
        <v>4503</v>
      </c>
      <c r="N935" s="5" t="s">
        <v>36</v>
      </c>
      <c r="O935" s="5">
        <v>1</v>
      </c>
      <c r="P935" s="5" t="s">
        <v>43</v>
      </c>
      <c r="Q935" s="5">
        <v>12.98</v>
      </c>
      <c r="R935" s="5"/>
      <c r="S935" s="5"/>
      <c r="T935" s="5"/>
      <c r="U935" s="5"/>
      <c r="V935" s="5"/>
      <c r="W935" s="5"/>
      <c r="X935" s="5"/>
      <c r="Y935" s="5" t="s">
        <v>4267</v>
      </c>
      <c r="Z935" s="5" t="s">
        <v>142</v>
      </c>
      <c r="AA935" s="5" t="s">
        <v>4504</v>
      </c>
      <c r="AB935" s="5" t="s">
        <v>46</v>
      </c>
      <c r="AC935" s="5"/>
      <c r="AD935" s="5" t="b">
        <v>0</v>
      </c>
      <c r="AE935" s="5"/>
      <c r="AF935" s="5"/>
      <c r="AG935" s="9">
        <f t="shared" si="14"/>
        <v>43281</v>
      </c>
    </row>
    <row r="936" s="6" customFormat="1" spans="1:33">
      <c r="A936" s="5" t="s">
        <v>4505</v>
      </c>
      <c r="B936" s="5" t="s">
        <v>4505</v>
      </c>
      <c r="C936" s="5" t="s">
        <v>4506</v>
      </c>
      <c r="D936" s="5" t="s">
        <v>4507</v>
      </c>
      <c r="E936" s="5" t="s">
        <v>36</v>
      </c>
      <c r="F936" s="5" t="s">
        <v>37</v>
      </c>
      <c r="G936" s="5" t="s">
        <v>38</v>
      </c>
      <c r="H936" s="5"/>
      <c r="I936" s="5"/>
      <c r="J936" s="5" t="s">
        <v>39</v>
      </c>
      <c r="K936" s="5" t="s">
        <v>434</v>
      </c>
      <c r="L936" s="5" t="s">
        <v>435</v>
      </c>
      <c r="M936" s="5" t="s">
        <v>436</v>
      </c>
      <c r="N936" s="5" t="s">
        <v>36</v>
      </c>
      <c r="O936" s="5">
        <v>1</v>
      </c>
      <c r="P936" s="5" t="s">
        <v>43</v>
      </c>
      <c r="Q936" s="5">
        <v>13.99</v>
      </c>
      <c r="R936" s="5"/>
      <c r="S936" s="5"/>
      <c r="T936" s="5"/>
      <c r="U936" s="5"/>
      <c r="V936" s="5"/>
      <c r="W936" s="5"/>
      <c r="X936" s="5"/>
      <c r="Y936" s="5" t="s">
        <v>2596</v>
      </c>
      <c r="Z936" s="5" t="s">
        <v>142</v>
      </c>
      <c r="AA936" s="5" t="s">
        <v>4508</v>
      </c>
      <c r="AB936" s="5" t="s">
        <v>46</v>
      </c>
      <c r="AC936" s="5"/>
      <c r="AD936" s="5" t="b">
        <v>0</v>
      </c>
      <c r="AE936" s="5"/>
      <c r="AF936" s="5"/>
      <c r="AG936" s="9">
        <f t="shared" si="14"/>
        <v>43281</v>
      </c>
    </row>
    <row r="937" s="6" customFormat="1" spans="1:33">
      <c r="A937" s="5" t="s">
        <v>4509</v>
      </c>
      <c r="B937" s="5" t="s">
        <v>4509</v>
      </c>
      <c r="C937" s="5" t="s">
        <v>4510</v>
      </c>
      <c r="D937" s="5" t="s">
        <v>4511</v>
      </c>
      <c r="E937" s="5" t="s">
        <v>36</v>
      </c>
      <c r="F937" s="5" t="s">
        <v>37</v>
      </c>
      <c r="G937" s="5" t="s">
        <v>38</v>
      </c>
      <c r="H937" s="5"/>
      <c r="I937" s="5"/>
      <c r="J937" s="5" t="s">
        <v>39</v>
      </c>
      <c r="K937" s="5" t="s">
        <v>3745</v>
      </c>
      <c r="L937" s="5" t="s">
        <v>202</v>
      </c>
      <c r="M937" s="5" t="s">
        <v>203</v>
      </c>
      <c r="N937" s="5" t="s">
        <v>36</v>
      </c>
      <c r="O937" s="5">
        <v>1</v>
      </c>
      <c r="P937" s="5" t="s">
        <v>43</v>
      </c>
      <c r="Q937" s="5">
        <v>18.99</v>
      </c>
      <c r="R937" s="5"/>
      <c r="S937" s="5"/>
      <c r="T937" s="5"/>
      <c r="U937" s="5"/>
      <c r="V937" s="5"/>
      <c r="W937" s="5"/>
      <c r="X937" s="5"/>
      <c r="Y937" s="5" t="s">
        <v>4512</v>
      </c>
      <c r="Z937" s="5" t="s">
        <v>923</v>
      </c>
      <c r="AA937" s="5" t="s">
        <v>4513</v>
      </c>
      <c r="AB937" s="5" t="s">
        <v>46</v>
      </c>
      <c r="AC937" s="5"/>
      <c r="AD937" s="5" t="b">
        <v>0</v>
      </c>
      <c r="AE937" s="5"/>
      <c r="AF937" s="5"/>
      <c r="AG937" s="9">
        <f t="shared" si="14"/>
        <v>43281</v>
      </c>
    </row>
    <row r="938" s="6" customFormat="1" spans="1:33">
      <c r="A938" s="5" t="s">
        <v>4514</v>
      </c>
      <c r="B938" s="5" t="s">
        <v>4514</v>
      </c>
      <c r="C938" s="5" t="s">
        <v>4515</v>
      </c>
      <c r="D938" s="5" t="s">
        <v>4516</v>
      </c>
      <c r="E938" s="5" t="s">
        <v>36</v>
      </c>
      <c r="F938" s="5" t="s">
        <v>37</v>
      </c>
      <c r="G938" s="5" t="s">
        <v>38</v>
      </c>
      <c r="H938" s="5"/>
      <c r="I938" s="5"/>
      <c r="J938" s="5" t="s">
        <v>39</v>
      </c>
      <c r="K938" s="5" t="s">
        <v>3703</v>
      </c>
      <c r="L938" s="5" t="s">
        <v>388</v>
      </c>
      <c r="M938" s="5" t="s">
        <v>389</v>
      </c>
      <c r="N938" s="5" t="s">
        <v>36</v>
      </c>
      <c r="O938" s="5">
        <v>1</v>
      </c>
      <c r="P938" s="5" t="s">
        <v>43</v>
      </c>
      <c r="Q938" s="5">
        <v>18.99</v>
      </c>
      <c r="R938" s="5"/>
      <c r="S938" s="5"/>
      <c r="T938" s="5"/>
      <c r="U938" s="5"/>
      <c r="V938" s="5"/>
      <c r="W938" s="5"/>
      <c r="X938" s="5"/>
      <c r="Y938" s="5" t="s">
        <v>4517</v>
      </c>
      <c r="Z938" s="5" t="s">
        <v>54</v>
      </c>
      <c r="AA938" s="5" t="s">
        <v>4518</v>
      </c>
      <c r="AB938" s="5" t="s">
        <v>46</v>
      </c>
      <c r="AC938" s="5"/>
      <c r="AD938" s="5" t="b">
        <v>0</v>
      </c>
      <c r="AE938" s="5"/>
      <c r="AF938" s="5"/>
      <c r="AG938" s="9">
        <f t="shared" si="14"/>
        <v>43281</v>
      </c>
    </row>
    <row r="939" s="6" customFormat="1" spans="1:33">
      <c r="A939" s="5" t="s">
        <v>4519</v>
      </c>
      <c r="B939" s="5" t="s">
        <v>4519</v>
      </c>
      <c r="C939" s="5" t="s">
        <v>4520</v>
      </c>
      <c r="D939" s="5" t="s">
        <v>4521</v>
      </c>
      <c r="E939" s="5" t="s">
        <v>36</v>
      </c>
      <c r="F939" s="5" t="s">
        <v>37</v>
      </c>
      <c r="G939" s="5" t="s">
        <v>38</v>
      </c>
      <c r="H939" s="5"/>
      <c r="I939" s="5"/>
      <c r="J939" s="5" t="s">
        <v>287</v>
      </c>
      <c r="K939" s="5" t="s">
        <v>3752</v>
      </c>
      <c r="L939" s="5" t="s">
        <v>244</v>
      </c>
      <c r="M939" s="5" t="s">
        <v>245</v>
      </c>
      <c r="N939" s="5" t="s">
        <v>36</v>
      </c>
      <c r="O939" s="5">
        <v>1</v>
      </c>
      <c r="P939" s="5" t="s">
        <v>43</v>
      </c>
      <c r="Q939" s="5">
        <v>18.99</v>
      </c>
      <c r="R939" s="5"/>
      <c r="S939" s="5">
        <v>2.99</v>
      </c>
      <c r="T939" s="5"/>
      <c r="U939" s="5"/>
      <c r="V939" s="5"/>
      <c r="W939" s="5"/>
      <c r="X939" s="5">
        <v>2.99</v>
      </c>
      <c r="Y939" s="5" t="s">
        <v>4522</v>
      </c>
      <c r="Z939" s="5" t="s">
        <v>54</v>
      </c>
      <c r="AA939" s="5" t="s">
        <v>4523</v>
      </c>
      <c r="AB939" s="5" t="s">
        <v>46</v>
      </c>
      <c r="AC939" s="5"/>
      <c r="AD939" s="5" t="b">
        <v>0</v>
      </c>
      <c r="AE939" s="5"/>
      <c r="AF939" s="5"/>
      <c r="AG939" s="9">
        <f t="shared" si="14"/>
        <v>43281</v>
      </c>
    </row>
    <row r="940" s="6" customFormat="1" spans="1:33">
      <c r="A940" s="5" t="s">
        <v>4524</v>
      </c>
      <c r="B940" s="5" t="s">
        <v>4524</v>
      </c>
      <c r="C940" s="5" t="s">
        <v>4525</v>
      </c>
      <c r="D940" s="5" t="s">
        <v>4526</v>
      </c>
      <c r="E940" s="5" t="s">
        <v>36</v>
      </c>
      <c r="F940" s="5" t="s">
        <v>37</v>
      </c>
      <c r="G940" s="5" t="s">
        <v>38</v>
      </c>
      <c r="H940" s="5"/>
      <c r="I940" s="5"/>
      <c r="J940" s="5" t="s">
        <v>39</v>
      </c>
      <c r="K940" s="5" t="s">
        <v>3798</v>
      </c>
      <c r="L940" s="5" t="s">
        <v>1048</v>
      </c>
      <c r="M940" s="5" t="s">
        <v>535</v>
      </c>
      <c r="N940" s="5" t="s">
        <v>36</v>
      </c>
      <c r="O940" s="5">
        <v>1</v>
      </c>
      <c r="P940" s="5" t="s">
        <v>43</v>
      </c>
      <c r="Q940" s="5">
        <v>24.99</v>
      </c>
      <c r="R940" s="5"/>
      <c r="S940" s="5"/>
      <c r="T940" s="5"/>
      <c r="U940" s="5"/>
      <c r="V940" s="5"/>
      <c r="W940" s="5"/>
      <c r="X940" s="5"/>
      <c r="Y940" s="5" t="s">
        <v>946</v>
      </c>
      <c r="Z940" s="5" t="s">
        <v>247</v>
      </c>
      <c r="AA940" s="5" t="s">
        <v>4527</v>
      </c>
      <c r="AB940" s="5" t="s">
        <v>46</v>
      </c>
      <c r="AC940" s="5"/>
      <c r="AD940" s="5" t="b">
        <v>0</v>
      </c>
      <c r="AE940" s="5"/>
      <c r="AF940" s="5"/>
      <c r="AG940" s="9">
        <f t="shared" si="14"/>
        <v>43281</v>
      </c>
    </row>
    <row r="941" s="6" customFormat="1" spans="1:33">
      <c r="A941" s="5" t="s">
        <v>4528</v>
      </c>
      <c r="B941" s="5" t="s">
        <v>4528</v>
      </c>
      <c r="C941" s="5" t="s">
        <v>4529</v>
      </c>
      <c r="D941" s="5" t="s">
        <v>4530</v>
      </c>
      <c r="E941" s="5" t="s">
        <v>36</v>
      </c>
      <c r="F941" s="5" t="s">
        <v>37</v>
      </c>
      <c r="G941" s="5" t="s">
        <v>38</v>
      </c>
      <c r="H941" s="5"/>
      <c r="I941" s="5"/>
      <c r="J941" s="5" t="s">
        <v>39</v>
      </c>
      <c r="K941" s="5" t="s">
        <v>4531</v>
      </c>
      <c r="L941" s="5" t="s">
        <v>4532</v>
      </c>
      <c r="M941" s="5" t="s">
        <v>4533</v>
      </c>
      <c r="N941" s="5" t="s">
        <v>36</v>
      </c>
      <c r="O941" s="5">
        <v>1</v>
      </c>
      <c r="P941" s="5" t="s">
        <v>43</v>
      </c>
      <c r="Q941" s="5">
        <v>12</v>
      </c>
      <c r="R941" s="5"/>
      <c r="S941" s="5"/>
      <c r="T941" s="5"/>
      <c r="U941" s="5"/>
      <c r="V941" s="5"/>
      <c r="W941" s="5"/>
      <c r="X941" s="5"/>
      <c r="Y941" s="5" t="s">
        <v>4534</v>
      </c>
      <c r="Z941" s="5" t="s">
        <v>96</v>
      </c>
      <c r="AA941" s="5" t="s">
        <v>4535</v>
      </c>
      <c r="AB941" s="5" t="s">
        <v>46</v>
      </c>
      <c r="AC941" s="5"/>
      <c r="AD941" s="5" t="b">
        <v>0</v>
      </c>
      <c r="AE941" s="5"/>
      <c r="AF941" s="5"/>
      <c r="AG941" s="9">
        <f t="shared" si="14"/>
        <v>43281</v>
      </c>
    </row>
    <row r="942" s="6" customFormat="1" spans="1:33">
      <c r="A942" s="5" t="s">
        <v>4536</v>
      </c>
      <c r="B942" s="5" t="s">
        <v>4536</v>
      </c>
      <c r="C942" s="5" t="s">
        <v>4537</v>
      </c>
      <c r="D942" s="5" t="s">
        <v>4538</v>
      </c>
      <c r="E942" s="5" t="s">
        <v>36</v>
      </c>
      <c r="F942" s="5" t="s">
        <v>37</v>
      </c>
      <c r="G942" s="5" t="s">
        <v>38</v>
      </c>
      <c r="H942" s="5"/>
      <c r="I942" s="5"/>
      <c r="J942" s="5" t="s">
        <v>39</v>
      </c>
      <c r="K942" s="5" t="s">
        <v>67</v>
      </c>
      <c r="L942" s="5" t="s">
        <v>68</v>
      </c>
      <c r="M942" s="5" t="s">
        <v>69</v>
      </c>
      <c r="N942" s="5" t="s">
        <v>36</v>
      </c>
      <c r="O942" s="5">
        <v>1</v>
      </c>
      <c r="P942" s="5" t="s">
        <v>43</v>
      </c>
      <c r="Q942" s="5">
        <v>24.99</v>
      </c>
      <c r="R942" s="5"/>
      <c r="S942" s="5"/>
      <c r="T942" s="5"/>
      <c r="U942" s="5"/>
      <c r="V942" s="5"/>
      <c r="W942" s="5"/>
      <c r="X942" s="5"/>
      <c r="Y942" s="5" t="s">
        <v>4539</v>
      </c>
      <c r="Z942" s="5" t="s">
        <v>54</v>
      </c>
      <c r="AA942" s="5" t="s">
        <v>4540</v>
      </c>
      <c r="AB942" s="5" t="s">
        <v>46</v>
      </c>
      <c r="AC942" s="5"/>
      <c r="AD942" s="5" t="b">
        <v>0</v>
      </c>
      <c r="AE942" s="5"/>
      <c r="AF942" s="5"/>
      <c r="AG942" s="9">
        <f t="shared" si="14"/>
        <v>43281</v>
      </c>
    </row>
    <row r="943" s="6" customFormat="1" spans="1:33">
      <c r="A943" s="5" t="s">
        <v>4541</v>
      </c>
      <c r="B943" s="5" t="s">
        <v>4541</v>
      </c>
      <c r="C943" s="5" t="s">
        <v>4542</v>
      </c>
      <c r="D943" s="5" t="s">
        <v>4543</v>
      </c>
      <c r="E943" s="5" t="s">
        <v>36</v>
      </c>
      <c r="F943" s="5" t="s">
        <v>37</v>
      </c>
      <c r="G943" s="5" t="s">
        <v>38</v>
      </c>
      <c r="H943" s="5"/>
      <c r="I943" s="5"/>
      <c r="J943" s="5" t="s">
        <v>39</v>
      </c>
      <c r="K943" s="5" t="s">
        <v>409</v>
      </c>
      <c r="L943" s="5" t="s">
        <v>410</v>
      </c>
      <c r="M943" s="5" t="s">
        <v>411</v>
      </c>
      <c r="N943" s="5" t="s">
        <v>36</v>
      </c>
      <c r="O943" s="5">
        <v>1</v>
      </c>
      <c r="P943" s="5" t="s">
        <v>43</v>
      </c>
      <c r="Q943" s="5">
        <v>9.9</v>
      </c>
      <c r="R943" s="5"/>
      <c r="S943" s="5"/>
      <c r="T943" s="5"/>
      <c r="U943" s="5"/>
      <c r="V943" s="5"/>
      <c r="W943" s="5"/>
      <c r="X943" s="5"/>
      <c r="Y943" s="5" t="s">
        <v>328</v>
      </c>
      <c r="Z943" s="5" t="s">
        <v>329</v>
      </c>
      <c r="AA943" s="5" t="s">
        <v>4544</v>
      </c>
      <c r="AB943" s="5" t="s">
        <v>46</v>
      </c>
      <c r="AC943" s="5"/>
      <c r="AD943" s="5" t="b">
        <v>0</v>
      </c>
      <c r="AE943" s="5"/>
      <c r="AF943" s="5"/>
      <c r="AG943" s="9">
        <f t="shared" si="14"/>
        <v>43281</v>
      </c>
    </row>
    <row r="944" s="6" customFormat="1" spans="1:33">
      <c r="A944" s="5" t="s">
        <v>4545</v>
      </c>
      <c r="B944" s="5" t="s">
        <v>4545</v>
      </c>
      <c r="C944" s="5" t="s">
        <v>4546</v>
      </c>
      <c r="D944" s="5" t="s">
        <v>4547</v>
      </c>
      <c r="E944" s="5" t="s">
        <v>36</v>
      </c>
      <c r="F944" s="5" t="s">
        <v>37</v>
      </c>
      <c r="G944" s="5" t="s">
        <v>38</v>
      </c>
      <c r="H944" s="5"/>
      <c r="I944" s="5"/>
      <c r="J944" s="5" t="s">
        <v>39</v>
      </c>
      <c r="K944" s="5" t="s">
        <v>4155</v>
      </c>
      <c r="L944" s="5" t="s">
        <v>111</v>
      </c>
      <c r="M944" s="5" t="s">
        <v>112</v>
      </c>
      <c r="N944" s="5" t="s">
        <v>36</v>
      </c>
      <c r="O944" s="5">
        <v>1</v>
      </c>
      <c r="P944" s="5" t="s">
        <v>43</v>
      </c>
      <c r="Q944" s="5">
        <v>13.99</v>
      </c>
      <c r="R944" s="5"/>
      <c r="S944" s="5"/>
      <c r="T944" s="5"/>
      <c r="U944" s="5"/>
      <c r="V944" s="5"/>
      <c r="W944" s="5"/>
      <c r="X944" s="5"/>
      <c r="Y944" s="5" t="s">
        <v>1232</v>
      </c>
      <c r="Z944" s="5" t="s">
        <v>87</v>
      </c>
      <c r="AA944" s="5" t="s">
        <v>4548</v>
      </c>
      <c r="AB944" s="5" t="s">
        <v>46</v>
      </c>
      <c r="AC944" s="5"/>
      <c r="AD944" s="5" t="b">
        <v>0</v>
      </c>
      <c r="AE944" s="5"/>
      <c r="AF944" s="5"/>
      <c r="AG944" s="9">
        <f t="shared" si="14"/>
        <v>43281</v>
      </c>
    </row>
    <row r="945" s="6" customFormat="1" spans="1:33">
      <c r="A945" s="5" t="s">
        <v>4549</v>
      </c>
      <c r="B945" s="5" t="s">
        <v>4549</v>
      </c>
      <c r="C945" s="5" t="s">
        <v>4550</v>
      </c>
      <c r="D945" s="5" t="s">
        <v>4551</v>
      </c>
      <c r="E945" s="5" t="s">
        <v>36</v>
      </c>
      <c r="F945" s="5" t="s">
        <v>37</v>
      </c>
      <c r="G945" s="5" t="s">
        <v>38</v>
      </c>
      <c r="H945" s="5"/>
      <c r="I945" s="5"/>
      <c r="J945" s="5" t="s">
        <v>39</v>
      </c>
      <c r="K945" s="5" t="s">
        <v>4552</v>
      </c>
      <c r="L945" s="5" t="s">
        <v>3245</v>
      </c>
      <c r="M945" s="5" t="s">
        <v>280</v>
      </c>
      <c r="N945" s="5" t="s">
        <v>36</v>
      </c>
      <c r="O945" s="5">
        <v>1</v>
      </c>
      <c r="P945" s="5" t="s">
        <v>43</v>
      </c>
      <c r="Q945" s="5">
        <v>24.99</v>
      </c>
      <c r="R945" s="5"/>
      <c r="S945" s="5"/>
      <c r="T945" s="5"/>
      <c r="U945" s="5"/>
      <c r="V945" s="5"/>
      <c r="W945" s="5"/>
      <c r="X945" s="5"/>
      <c r="Y945" s="5" t="s">
        <v>4553</v>
      </c>
      <c r="Z945" s="5" t="s">
        <v>96</v>
      </c>
      <c r="AA945" s="5">
        <v>61080</v>
      </c>
      <c r="AB945" s="5" t="s">
        <v>46</v>
      </c>
      <c r="AC945" s="5"/>
      <c r="AD945" s="5" t="b">
        <v>0</v>
      </c>
      <c r="AE945" s="5"/>
      <c r="AF945" s="5"/>
      <c r="AG945" s="9">
        <f t="shared" si="14"/>
        <v>43281</v>
      </c>
    </row>
    <row r="946" s="6" customFormat="1" spans="1:33">
      <c r="A946" s="5" t="s">
        <v>4554</v>
      </c>
      <c r="B946" s="5" t="s">
        <v>4554</v>
      </c>
      <c r="C946" s="5" t="s">
        <v>4555</v>
      </c>
      <c r="D946" s="5" t="s">
        <v>4556</v>
      </c>
      <c r="E946" s="5" t="s">
        <v>36</v>
      </c>
      <c r="F946" s="5" t="s">
        <v>37</v>
      </c>
      <c r="G946" s="5" t="s">
        <v>38</v>
      </c>
      <c r="H946" s="5"/>
      <c r="I946" s="5"/>
      <c r="J946" s="5" t="s">
        <v>287</v>
      </c>
      <c r="K946" s="5" t="s">
        <v>3798</v>
      </c>
      <c r="L946" s="5" t="s">
        <v>1048</v>
      </c>
      <c r="M946" s="5" t="s">
        <v>535</v>
      </c>
      <c r="N946" s="5" t="s">
        <v>36</v>
      </c>
      <c r="O946" s="5">
        <v>2</v>
      </c>
      <c r="P946" s="5" t="s">
        <v>43</v>
      </c>
      <c r="Q946" s="5">
        <v>49.98</v>
      </c>
      <c r="R946" s="5"/>
      <c r="S946" s="5">
        <v>11.98</v>
      </c>
      <c r="T946" s="5"/>
      <c r="U946" s="5"/>
      <c r="V946" s="5"/>
      <c r="W946" s="5">
        <v>2.5</v>
      </c>
      <c r="X946" s="5">
        <v>11.98</v>
      </c>
      <c r="Y946" s="5" t="s">
        <v>4557</v>
      </c>
      <c r="Z946" s="5" t="s">
        <v>1785</v>
      </c>
      <c r="AA946" s="5">
        <v>8088</v>
      </c>
      <c r="AB946" s="5" t="s">
        <v>46</v>
      </c>
      <c r="AC946" s="5" t="s">
        <v>115</v>
      </c>
      <c r="AD946" s="5" t="b">
        <v>0</v>
      </c>
      <c r="AE946" s="5"/>
      <c r="AF946" s="5"/>
      <c r="AG946" s="9">
        <f t="shared" si="14"/>
        <v>43281</v>
      </c>
    </row>
    <row r="947" s="6" customFormat="1" spans="1:33">
      <c r="A947" s="5" t="s">
        <v>4558</v>
      </c>
      <c r="B947" s="5" t="s">
        <v>4558</v>
      </c>
      <c r="C947" s="5" t="s">
        <v>4559</v>
      </c>
      <c r="D947" s="5" t="s">
        <v>4560</v>
      </c>
      <c r="E947" s="5" t="s">
        <v>36</v>
      </c>
      <c r="F947" s="5" t="s">
        <v>37</v>
      </c>
      <c r="G947" s="5" t="s">
        <v>38</v>
      </c>
      <c r="H947" s="5"/>
      <c r="I947" s="5"/>
      <c r="J947" s="5" t="s">
        <v>39</v>
      </c>
      <c r="K947" s="5" t="s">
        <v>3714</v>
      </c>
      <c r="L947" s="5" t="s">
        <v>148</v>
      </c>
      <c r="M947" s="5" t="s">
        <v>149</v>
      </c>
      <c r="N947" s="5" t="s">
        <v>36</v>
      </c>
      <c r="O947" s="5">
        <v>1</v>
      </c>
      <c r="P947" s="5" t="s">
        <v>43</v>
      </c>
      <c r="Q947" s="5">
        <v>13.99</v>
      </c>
      <c r="R947" s="5"/>
      <c r="S947" s="5"/>
      <c r="T947" s="5"/>
      <c r="U947" s="5"/>
      <c r="V947" s="5"/>
      <c r="W947" s="5">
        <v>0.7</v>
      </c>
      <c r="X947" s="5"/>
      <c r="Y947" s="5" t="s">
        <v>4561</v>
      </c>
      <c r="Z947" s="5" t="s">
        <v>4562</v>
      </c>
      <c r="AA947" s="5" t="s">
        <v>4563</v>
      </c>
      <c r="AB947" s="5" t="s">
        <v>46</v>
      </c>
      <c r="AC947" s="5" t="s">
        <v>115</v>
      </c>
      <c r="AD947" s="5" t="b">
        <v>0</v>
      </c>
      <c r="AE947" s="5"/>
      <c r="AF947" s="5"/>
      <c r="AG947" s="9">
        <f t="shared" si="14"/>
        <v>43281</v>
      </c>
    </row>
    <row r="948" s="6" customFormat="1" spans="1:33">
      <c r="A948" s="5" t="s">
        <v>4558</v>
      </c>
      <c r="B948" s="5" t="s">
        <v>4558</v>
      </c>
      <c r="C948" s="5" t="s">
        <v>4559</v>
      </c>
      <c r="D948" s="5" t="s">
        <v>4560</v>
      </c>
      <c r="E948" s="5" t="s">
        <v>36</v>
      </c>
      <c r="F948" s="5" t="s">
        <v>37</v>
      </c>
      <c r="G948" s="5" t="s">
        <v>38</v>
      </c>
      <c r="H948" s="5"/>
      <c r="I948" s="5"/>
      <c r="J948" s="5" t="s">
        <v>39</v>
      </c>
      <c r="K948" s="5" t="s">
        <v>4155</v>
      </c>
      <c r="L948" s="5" t="s">
        <v>111</v>
      </c>
      <c r="M948" s="5" t="s">
        <v>112</v>
      </c>
      <c r="N948" s="5" t="s">
        <v>36</v>
      </c>
      <c r="O948" s="5">
        <v>1</v>
      </c>
      <c r="P948" s="5" t="s">
        <v>43</v>
      </c>
      <c r="Q948" s="5">
        <v>13.99</v>
      </c>
      <c r="R948" s="5"/>
      <c r="S948" s="5"/>
      <c r="T948" s="5"/>
      <c r="U948" s="5"/>
      <c r="V948" s="5"/>
      <c r="W948" s="5">
        <v>0.7</v>
      </c>
      <c r="X948" s="5"/>
      <c r="Y948" s="5" t="s">
        <v>4561</v>
      </c>
      <c r="Z948" s="5" t="s">
        <v>4562</v>
      </c>
      <c r="AA948" s="5" t="s">
        <v>4563</v>
      </c>
      <c r="AB948" s="5" t="s">
        <v>46</v>
      </c>
      <c r="AC948" s="5" t="s">
        <v>115</v>
      </c>
      <c r="AD948" s="5" t="b">
        <v>0</v>
      </c>
      <c r="AE948" s="5"/>
      <c r="AF948" s="5"/>
      <c r="AG948" s="9">
        <f t="shared" si="14"/>
        <v>43281</v>
      </c>
    </row>
    <row r="949" s="6" customFormat="1" spans="1:33">
      <c r="A949" s="5" t="s">
        <v>4564</v>
      </c>
      <c r="B949" s="5" t="s">
        <v>4564</v>
      </c>
      <c r="C949" s="5" t="s">
        <v>4565</v>
      </c>
      <c r="D949" s="5" t="s">
        <v>4566</v>
      </c>
      <c r="E949" s="5" t="s">
        <v>36</v>
      </c>
      <c r="F949" s="5" t="s">
        <v>37</v>
      </c>
      <c r="G949" s="5" t="s">
        <v>38</v>
      </c>
      <c r="H949" s="5"/>
      <c r="I949" s="5"/>
      <c r="J949" s="5" t="s">
        <v>39</v>
      </c>
      <c r="K949" s="5" t="s">
        <v>4038</v>
      </c>
      <c r="L949" s="5" t="s">
        <v>76</v>
      </c>
      <c r="M949" s="5" t="s">
        <v>77</v>
      </c>
      <c r="N949" s="5" t="s">
        <v>36</v>
      </c>
      <c r="O949" s="5">
        <v>1</v>
      </c>
      <c r="P949" s="5" t="s">
        <v>43</v>
      </c>
      <c r="Q949" s="5">
        <v>13.99</v>
      </c>
      <c r="R949" s="5"/>
      <c r="S949" s="5"/>
      <c r="T949" s="5"/>
      <c r="U949" s="5"/>
      <c r="V949" s="5"/>
      <c r="W949" s="5"/>
      <c r="X949" s="5"/>
      <c r="Y949" s="5" t="s">
        <v>1101</v>
      </c>
      <c r="Z949" s="5" t="s">
        <v>377</v>
      </c>
      <c r="AA949" s="5" t="s">
        <v>4567</v>
      </c>
      <c r="AB949" s="5" t="s">
        <v>46</v>
      </c>
      <c r="AC949" s="5"/>
      <c r="AD949" s="5" t="b">
        <v>0</v>
      </c>
      <c r="AE949" s="5"/>
      <c r="AF949" s="5"/>
      <c r="AG949" s="9">
        <f t="shared" si="14"/>
        <v>43281</v>
      </c>
    </row>
    <row r="950" s="6" customFormat="1" spans="1:33">
      <c r="A950" s="5" t="s">
        <v>4568</v>
      </c>
      <c r="B950" s="5" t="s">
        <v>4568</v>
      </c>
      <c r="C950" s="5" t="s">
        <v>4569</v>
      </c>
      <c r="D950" s="5" t="s">
        <v>4570</v>
      </c>
      <c r="E950" s="5" t="s">
        <v>36</v>
      </c>
      <c r="F950" s="5" t="s">
        <v>37</v>
      </c>
      <c r="G950" s="5" t="s">
        <v>38</v>
      </c>
      <c r="H950" s="5"/>
      <c r="I950" s="5"/>
      <c r="J950" s="5" t="s">
        <v>39</v>
      </c>
      <c r="K950" s="5" t="s">
        <v>4501</v>
      </c>
      <c r="L950" s="5" t="s">
        <v>4502</v>
      </c>
      <c r="M950" s="5" t="s">
        <v>4503</v>
      </c>
      <c r="N950" s="5" t="s">
        <v>36</v>
      </c>
      <c r="O950" s="5">
        <v>1</v>
      </c>
      <c r="P950" s="5" t="s">
        <v>43</v>
      </c>
      <c r="Q950" s="5">
        <v>12.98</v>
      </c>
      <c r="R950" s="5"/>
      <c r="S950" s="5"/>
      <c r="T950" s="5"/>
      <c r="U950" s="5"/>
      <c r="V950" s="5"/>
      <c r="W950" s="5"/>
      <c r="X950" s="5"/>
      <c r="Y950" s="5" t="s">
        <v>4571</v>
      </c>
      <c r="Z950" s="5" t="s">
        <v>87</v>
      </c>
      <c r="AA950" s="5" t="s">
        <v>4572</v>
      </c>
      <c r="AB950" s="5" t="s">
        <v>46</v>
      </c>
      <c r="AC950" s="5"/>
      <c r="AD950" s="5" t="b">
        <v>0</v>
      </c>
      <c r="AE950" s="5"/>
      <c r="AF950" s="5"/>
      <c r="AG950" s="9">
        <f t="shared" si="14"/>
        <v>43281</v>
      </c>
    </row>
    <row r="951" s="6" customFormat="1" spans="1:33">
      <c r="A951" s="5" t="s">
        <v>4573</v>
      </c>
      <c r="B951" s="5" t="s">
        <v>4573</v>
      </c>
      <c r="C951" s="5" t="s">
        <v>4574</v>
      </c>
      <c r="D951" s="5" t="s">
        <v>4575</v>
      </c>
      <c r="E951" s="5" t="s">
        <v>36</v>
      </c>
      <c r="F951" s="5" t="s">
        <v>37</v>
      </c>
      <c r="G951" s="5" t="s">
        <v>38</v>
      </c>
      <c r="H951" s="5"/>
      <c r="I951" s="5"/>
      <c r="J951" s="5" t="s">
        <v>39</v>
      </c>
      <c r="K951" s="5" t="s">
        <v>1896</v>
      </c>
      <c r="L951" s="5" t="s">
        <v>1897</v>
      </c>
      <c r="M951" s="5" t="s">
        <v>1898</v>
      </c>
      <c r="N951" s="5" t="s">
        <v>36</v>
      </c>
      <c r="O951" s="5">
        <v>1</v>
      </c>
      <c r="P951" s="5" t="s">
        <v>43</v>
      </c>
      <c r="Q951" s="5">
        <v>14.98</v>
      </c>
      <c r="R951" s="5"/>
      <c r="S951" s="5"/>
      <c r="T951" s="5"/>
      <c r="U951" s="5"/>
      <c r="V951" s="5"/>
      <c r="W951" s="5"/>
      <c r="X951" s="5"/>
      <c r="Y951" s="5" t="s">
        <v>1263</v>
      </c>
      <c r="Z951" s="5" t="s">
        <v>307</v>
      </c>
      <c r="AA951" s="5" t="s">
        <v>4576</v>
      </c>
      <c r="AB951" s="5" t="s">
        <v>46</v>
      </c>
      <c r="AC951" s="5"/>
      <c r="AD951" s="5" t="b">
        <v>0</v>
      </c>
      <c r="AE951" s="5"/>
      <c r="AF951" s="5"/>
      <c r="AG951" s="9">
        <f t="shared" si="14"/>
        <v>43281</v>
      </c>
    </row>
    <row r="952" s="6" customFormat="1" spans="1:33">
      <c r="A952" s="5" t="s">
        <v>4577</v>
      </c>
      <c r="B952" s="5" t="s">
        <v>4577</v>
      </c>
      <c r="C952" s="5" t="s">
        <v>4578</v>
      </c>
      <c r="D952" s="5" t="s">
        <v>4579</v>
      </c>
      <c r="E952" s="5" t="s">
        <v>36</v>
      </c>
      <c r="F952" s="5" t="s">
        <v>37</v>
      </c>
      <c r="G952" s="5" t="s">
        <v>38</v>
      </c>
      <c r="H952" s="5"/>
      <c r="I952" s="5"/>
      <c r="J952" s="5" t="s">
        <v>39</v>
      </c>
      <c r="K952" s="5" t="s">
        <v>1763</v>
      </c>
      <c r="L952" s="5" t="s">
        <v>1764</v>
      </c>
      <c r="M952" s="5" t="s">
        <v>1765</v>
      </c>
      <c r="N952" s="5" t="s">
        <v>36</v>
      </c>
      <c r="O952" s="5">
        <v>2</v>
      </c>
      <c r="P952" s="5" t="s">
        <v>43</v>
      </c>
      <c r="Q952" s="5">
        <v>59.98</v>
      </c>
      <c r="R952" s="5"/>
      <c r="S952" s="5"/>
      <c r="T952" s="5"/>
      <c r="U952" s="5"/>
      <c r="V952" s="5"/>
      <c r="W952" s="5"/>
      <c r="X952" s="5"/>
      <c r="Y952" s="5" t="s">
        <v>4580</v>
      </c>
      <c r="Z952" s="5" t="s">
        <v>130</v>
      </c>
      <c r="AA952" s="5" t="s">
        <v>4581</v>
      </c>
      <c r="AB952" s="5" t="s">
        <v>46</v>
      </c>
      <c r="AC952" s="5"/>
      <c r="AD952" s="5" t="b">
        <v>0</v>
      </c>
      <c r="AE952" s="5"/>
      <c r="AF952" s="5"/>
      <c r="AG952" s="9">
        <f t="shared" si="14"/>
        <v>43281</v>
      </c>
    </row>
    <row r="953" s="6" customFormat="1" spans="1:33">
      <c r="A953" s="5" t="s">
        <v>4582</v>
      </c>
      <c r="B953" s="5" t="s">
        <v>4582</v>
      </c>
      <c r="C953" s="5" t="s">
        <v>4583</v>
      </c>
      <c r="D953" s="5" t="s">
        <v>4584</v>
      </c>
      <c r="E953" s="5" t="s">
        <v>36</v>
      </c>
      <c r="F953" s="5" t="s">
        <v>37</v>
      </c>
      <c r="G953" s="5" t="s">
        <v>38</v>
      </c>
      <c r="H953" s="5"/>
      <c r="I953" s="5"/>
      <c r="J953" s="5" t="s">
        <v>39</v>
      </c>
      <c r="K953" s="5" t="s">
        <v>4552</v>
      </c>
      <c r="L953" s="5" t="s">
        <v>279</v>
      </c>
      <c r="M953" s="5" t="s">
        <v>280</v>
      </c>
      <c r="N953" s="5" t="s">
        <v>36</v>
      </c>
      <c r="O953" s="5">
        <v>1</v>
      </c>
      <c r="P953" s="5" t="s">
        <v>43</v>
      </c>
      <c r="Q953" s="5">
        <v>23</v>
      </c>
      <c r="R953" s="5"/>
      <c r="S953" s="5"/>
      <c r="T953" s="5"/>
      <c r="U953" s="5"/>
      <c r="V953" s="5"/>
      <c r="W953" s="5"/>
      <c r="X953" s="5"/>
      <c r="Y953" s="5" t="s">
        <v>536</v>
      </c>
      <c r="Z953" s="5" t="s">
        <v>247</v>
      </c>
      <c r="AA953" s="5" t="s">
        <v>4585</v>
      </c>
      <c r="AB953" s="5" t="s">
        <v>46</v>
      </c>
      <c r="AC953" s="5"/>
      <c r="AD953" s="5" t="b">
        <v>1</v>
      </c>
      <c r="AE953" s="5"/>
      <c r="AF953" s="5" t="s">
        <v>3916</v>
      </c>
      <c r="AG953" s="9">
        <f t="shared" si="14"/>
        <v>43281</v>
      </c>
    </row>
    <row r="954" s="6" customFormat="1" spans="1:33">
      <c r="A954" s="5" t="s">
        <v>4586</v>
      </c>
      <c r="B954" s="5" t="s">
        <v>4586</v>
      </c>
      <c r="C954" s="5" t="s">
        <v>4587</v>
      </c>
      <c r="D954" s="5" t="s">
        <v>4588</v>
      </c>
      <c r="E954" s="5" t="s">
        <v>36</v>
      </c>
      <c r="F954" s="5" t="s">
        <v>37</v>
      </c>
      <c r="G954" s="5" t="s">
        <v>38</v>
      </c>
      <c r="H954" s="5"/>
      <c r="I954" s="5"/>
      <c r="J954" s="5" t="s">
        <v>39</v>
      </c>
      <c r="K954" s="5" t="s">
        <v>4589</v>
      </c>
      <c r="L954" s="5" t="s">
        <v>4590</v>
      </c>
      <c r="M954" s="5" t="s">
        <v>4591</v>
      </c>
      <c r="N954" s="5" t="s">
        <v>36</v>
      </c>
      <c r="O954" s="5">
        <v>1</v>
      </c>
      <c r="P954" s="5" t="s">
        <v>43</v>
      </c>
      <c r="Q954" s="5">
        <v>11.99</v>
      </c>
      <c r="R954" s="5"/>
      <c r="S954" s="5"/>
      <c r="T954" s="5"/>
      <c r="U954" s="5"/>
      <c r="V954" s="5"/>
      <c r="W954" s="5"/>
      <c r="X954" s="5"/>
      <c r="Y954" s="5" t="s">
        <v>4592</v>
      </c>
      <c r="Z954" s="5" t="s">
        <v>54</v>
      </c>
      <c r="AA954" s="5" t="s">
        <v>4593</v>
      </c>
      <c r="AB954" s="5" t="s">
        <v>46</v>
      </c>
      <c r="AC954" s="5"/>
      <c r="AD954" s="5" t="b">
        <v>0</v>
      </c>
      <c r="AE954" s="5"/>
      <c r="AF954" s="5"/>
      <c r="AG954" s="9">
        <f t="shared" si="14"/>
        <v>43281</v>
      </c>
    </row>
    <row r="955" s="6" customFormat="1" spans="1:33">
      <c r="A955" s="5" t="s">
        <v>4594</v>
      </c>
      <c r="B955" s="5" t="s">
        <v>4594</v>
      </c>
      <c r="C955" s="5" t="s">
        <v>4595</v>
      </c>
      <c r="D955" s="5" t="s">
        <v>4596</v>
      </c>
      <c r="E955" s="5" t="s">
        <v>36</v>
      </c>
      <c r="F955" s="5" t="s">
        <v>37</v>
      </c>
      <c r="G955" s="5" t="s">
        <v>38</v>
      </c>
      <c r="H955" s="5"/>
      <c r="I955" s="5"/>
      <c r="J955" s="5" t="s">
        <v>39</v>
      </c>
      <c r="K955" s="5" t="s">
        <v>3798</v>
      </c>
      <c r="L955" s="5" t="s">
        <v>1048</v>
      </c>
      <c r="M955" s="5" t="s">
        <v>535</v>
      </c>
      <c r="N955" s="5" t="s">
        <v>36</v>
      </c>
      <c r="O955" s="5">
        <v>1</v>
      </c>
      <c r="P955" s="5" t="s">
        <v>43</v>
      </c>
      <c r="Q955" s="5">
        <v>24.99</v>
      </c>
      <c r="R955" s="5"/>
      <c r="S955" s="5"/>
      <c r="T955" s="5"/>
      <c r="U955" s="5"/>
      <c r="V955" s="5"/>
      <c r="W955" s="5"/>
      <c r="X955" s="5"/>
      <c r="Y955" s="5" t="s">
        <v>4597</v>
      </c>
      <c r="Z955" s="5" t="s">
        <v>142</v>
      </c>
      <c r="AA955" s="5" t="s">
        <v>4598</v>
      </c>
      <c r="AB955" s="5" t="s">
        <v>46</v>
      </c>
      <c r="AC955" s="5"/>
      <c r="AD955" s="5" t="b">
        <v>0</v>
      </c>
      <c r="AE955" s="5"/>
      <c r="AF955" s="5"/>
      <c r="AG955" s="9">
        <f t="shared" si="14"/>
        <v>43281</v>
      </c>
    </row>
    <row r="956" s="6" customFormat="1" spans="1:33">
      <c r="A956" s="5" t="s">
        <v>4599</v>
      </c>
      <c r="B956" s="5" t="s">
        <v>4599</v>
      </c>
      <c r="C956" s="5" t="s">
        <v>4600</v>
      </c>
      <c r="D956" s="5" t="s">
        <v>4601</v>
      </c>
      <c r="E956" s="5" t="s">
        <v>36</v>
      </c>
      <c r="F956" s="5" t="s">
        <v>37</v>
      </c>
      <c r="G956" s="5" t="s">
        <v>38</v>
      </c>
      <c r="H956" s="5"/>
      <c r="I956" s="5"/>
      <c r="J956" s="5" t="s">
        <v>39</v>
      </c>
      <c r="K956" s="5" t="s">
        <v>3752</v>
      </c>
      <c r="L956" s="5" t="s">
        <v>244</v>
      </c>
      <c r="M956" s="5" t="s">
        <v>245</v>
      </c>
      <c r="N956" s="5" t="s">
        <v>36</v>
      </c>
      <c r="O956" s="5">
        <v>1</v>
      </c>
      <c r="P956" s="5" t="s">
        <v>43</v>
      </c>
      <c r="Q956" s="5">
        <v>18.99</v>
      </c>
      <c r="R956" s="5"/>
      <c r="S956" s="5"/>
      <c r="T956" s="5"/>
      <c r="U956" s="5"/>
      <c r="V956" s="5"/>
      <c r="W956" s="5"/>
      <c r="X956" s="5"/>
      <c r="Y956" s="5" t="s">
        <v>4602</v>
      </c>
      <c r="Z956" s="5" t="s">
        <v>264</v>
      </c>
      <c r="AA956" s="5">
        <v>36561</v>
      </c>
      <c r="AB956" s="5" t="s">
        <v>46</v>
      </c>
      <c r="AC956" s="5"/>
      <c r="AD956" s="5" t="b">
        <v>0</v>
      </c>
      <c r="AE956" s="5"/>
      <c r="AF956" s="5"/>
      <c r="AG956" s="9">
        <f t="shared" si="14"/>
        <v>43281</v>
      </c>
    </row>
    <row r="957" s="6" customFormat="1" spans="1:33">
      <c r="A957" s="5" t="s">
        <v>4603</v>
      </c>
      <c r="B957" s="5" t="s">
        <v>4603</v>
      </c>
      <c r="C957" s="5" t="s">
        <v>4604</v>
      </c>
      <c r="D957" s="5" t="s">
        <v>4605</v>
      </c>
      <c r="E957" s="5" t="s">
        <v>36</v>
      </c>
      <c r="F957" s="5" t="s">
        <v>37</v>
      </c>
      <c r="G957" s="5" t="s">
        <v>38</v>
      </c>
      <c r="H957" s="5"/>
      <c r="I957" s="5"/>
      <c r="J957" s="5" t="s">
        <v>128</v>
      </c>
      <c r="K957" s="5" t="s">
        <v>3745</v>
      </c>
      <c r="L957" s="5" t="s">
        <v>202</v>
      </c>
      <c r="M957" s="5" t="s">
        <v>203</v>
      </c>
      <c r="N957" s="5" t="s">
        <v>36</v>
      </c>
      <c r="O957" s="5">
        <v>1</v>
      </c>
      <c r="P957" s="5" t="s">
        <v>43</v>
      </c>
      <c r="Q957" s="5">
        <v>18.99</v>
      </c>
      <c r="R957" s="5"/>
      <c r="S957" s="5">
        <v>1.09</v>
      </c>
      <c r="T957" s="5"/>
      <c r="U957" s="5"/>
      <c r="V957" s="5"/>
      <c r="W957" s="5"/>
      <c r="X957" s="5"/>
      <c r="Y957" s="5" t="s">
        <v>4606</v>
      </c>
      <c r="Z957" s="5" t="s">
        <v>54</v>
      </c>
      <c r="AA957" s="5" t="s">
        <v>4607</v>
      </c>
      <c r="AB957" s="5" t="s">
        <v>46</v>
      </c>
      <c r="AC957" s="5"/>
      <c r="AD957" s="5" t="b">
        <v>0</v>
      </c>
      <c r="AE957" s="5"/>
      <c r="AF957" s="5"/>
      <c r="AG957" s="9">
        <f t="shared" si="14"/>
        <v>43281</v>
      </c>
    </row>
    <row r="958" s="6" customFormat="1" spans="1:33">
      <c r="A958" s="5" t="s">
        <v>4608</v>
      </c>
      <c r="B958" s="5" t="s">
        <v>4608</v>
      </c>
      <c r="C958" s="5" t="s">
        <v>4609</v>
      </c>
      <c r="D958" s="5" t="s">
        <v>4610</v>
      </c>
      <c r="E958" s="5" t="s">
        <v>36</v>
      </c>
      <c r="F958" s="5" t="s">
        <v>37</v>
      </c>
      <c r="G958" s="5" t="s">
        <v>38</v>
      </c>
      <c r="H958" s="5"/>
      <c r="I958" s="5"/>
      <c r="J958" s="5" t="s">
        <v>39</v>
      </c>
      <c r="K958" s="5" t="s">
        <v>3719</v>
      </c>
      <c r="L958" s="5" t="s">
        <v>84</v>
      </c>
      <c r="M958" s="5" t="s">
        <v>85</v>
      </c>
      <c r="N958" s="5" t="s">
        <v>36</v>
      </c>
      <c r="O958" s="5">
        <v>1</v>
      </c>
      <c r="P958" s="5" t="s">
        <v>43</v>
      </c>
      <c r="Q958" s="5">
        <v>12.99</v>
      </c>
      <c r="R958" s="5"/>
      <c r="S958" s="5"/>
      <c r="T958" s="5"/>
      <c r="U958" s="5"/>
      <c r="V958" s="5"/>
      <c r="W958" s="5"/>
      <c r="X958" s="5"/>
      <c r="Y958" s="5" t="s">
        <v>796</v>
      </c>
      <c r="Z958" s="5" t="s">
        <v>54</v>
      </c>
      <c r="AA958" s="5" t="s">
        <v>4611</v>
      </c>
      <c r="AB958" s="5" t="s">
        <v>46</v>
      </c>
      <c r="AC958" s="5"/>
      <c r="AD958" s="5" t="b">
        <v>0</v>
      </c>
      <c r="AE958" s="5"/>
      <c r="AF958" s="5"/>
      <c r="AG958" s="9">
        <f t="shared" si="14"/>
        <v>43281</v>
      </c>
    </row>
    <row r="959" s="6" customFormat="1" spans="1:33">
      <c r="A959" s="5" t="s">
        <v>4612</v>
      </c>
      <c r="B959" s="5" t="s">
        <v>4612</v>
      </c>
      <c r="C959" s="5" t="s">
        <v>4613</v>
      </c>
      <c r="D959" s="5" t="s">
        <v>4614</v>
      </c>
      <c r="E959" s="5" t="s">
        <v>36</v>
      </c>
      <c r="F959" s="5" t="s">
        <v>37</v>
      </c>
      <c r="G959" s="5" t="s">
        <v>38</v>
      </c>
      <c r="H959" s="5"/>
      <c r="I959" s="5"/>
      <c r="J959" s="5" t="s">
        <v>39</v>
      </c>
      <c r="K959" s="5" t="s">
        <v>409</v>
      </c>
      <c r="L959" s="5" t="s">
        <v>4615</v>
      </c>
      <c r="M959" s="5" t="s">
        <v>4616</v>
      </c>
      <c r="N959" s="5" t="s">
        <v>36</v>
      </c>
      <c r="O959" s="5">
        <v>1</v>
      </c>
      <c r="P959" s="5" t="s">
        <v>43</v>
      </c>
      <c r="Q959" s="5">
        <v>9.9</v>
      </c>
      <c r="R959" s="5"/>
      <c r="S959" s="5"/>
      <c r="T959" s="5"/>
      <c r="U959" s="5"/>
      <c r="V959" s="5"/>
      <c r="W959" s="5"/>
      <c r="X959" s="5"/>
      <c r="Y959" s="5" t="s">
        <v>4617</v>
      </c>
      <c r="Z959" s="5" t="s">
        <v>87</v>
      </c>
      <c r="AA959" s="5" t="s">
        <v>4618</v>
      </c>
      <c r="AB959" s="5" t="s">
        <v>46</v>
      </c>
      <c r="AC959" s="5"/>
      <c r="AD959" s="5" t="b">
        <v>0</v>
      </c>
      <c r="AE959" s="5"/>
      <c r="AF959" s="5"/>
      <c r="AG959" s="9">
        <f t="shared" si="14"/>
        <v>43281</v>
      </c>
    </row>
    <row r="960" s="6" customFormat="1" spans="1:33">
      <c r="A960" s="5" t="s">
        <v>4619</v>
      </c>
      <c r="B960" s="5" t="s">
        <v>4619</v>
      </c>
      <c r="C960" s="5" t="s">
        <v>4620</v>
      </c>
      <c r="D960" s="5" t="s">
        <v>4621</v>
      </c>
      <c r="E960" s="5" t="s">
        <v>614</v>
      </c>
      <c r="F960" s="5" t="s">
        <v>37</v>
      </c>
      <c r="G960" s="5" t="s">
        <v>38</v>
      </c>
      <c r="H960" s="5"/>
      <c r="I960" s="5"/>
      <c r="J960" s="5" t="s">
        <v>39</v>
      </c>
      <c r="K960" s="5" t="s">
        <v>4085</v>
      </c>
      <c r="L960" s="5" t="s">
        <v>102</v>
      </c>
      <c r="M960" s="5" t="s">
        <v>103</v>
      </c>
      <c r="N960" s="5" t="s">
        <v>614</v>
      </c>
      <c r="O960" s="5">
        <v>0</v>
      </c>
      <c r="P960" s="5"/>
      <c r="Q960" s="5"/>
      <c r="R960" s="5"/>
      <c r="S960" s="5"/>
      <c r="T960" s="5"/>
      <c r="U960" s="5"/>
      <c r="V960" s="5"/>
      <c r="W960" s="5"/>
      <c r="X960" s="5"/>
      <c r="Y960" s="5" t="s">
        <v>2371</v>
      </c>
      <c r="Z960" s="5" t="s">
        <v>255</v>
      </c>
      <c r="AA960" s="5" t="s">
        <v>4622</v>
      </c>
      <c r="AB960" s="5" t="s">
        <v>46</v>
      </c>
      <c r="AC960" s="5"/>
      <c r="AD960" s="5" t="b">
        <v>0</v>
      </c>
      <c r="AE960" s="5"/>
      <c r="AF960" s="5"/>
      <c r="AG960" s="9">
        <f t="shared" si="14"/>
        <v>43281</v>
      </c>
    </row>
    <row r="961" s="6" customFormat="1" spans="1:33">
      <c r="A961" s="5" t="s">
        <v>4623</v>
      </c>
      <c r="B961" s="5" t="s">
        <v>4623</v>
      </c>
      <c r="C961" s="5" t="s">
        <v>4624</v>
      </c>
      <c r="D961" s="5" t="s">
        <v>4625</v>
      </c>
      <c r="E961" s="5" t="s">
        <v>36</v>
      </c>
      <c r="F961" s="5" t="s">
        <v>37</v>
      </c>
      <c r="G961" s="5" t="s">
        <v>38</v>
      </c>
      <c r="H961" s="5"/>
      <c r="I961" s="5"/>
      <c r="J961" s="5" t="s">
        <v>128</v>
      </c>
      <c r="K961" s="5" t="s">
        <v>3714</v>
      </c>
      <c r="L961" s="5" t="s">
        <v>148</v>
      </c>
      <c r="M961" s="5" t="s">
        <v>149</v>
      </c>
      <c r="N961" s="5" t="s">
        <v>36</v>
      </c>
      <c r="O961" s="5">
        <v>1</v>
      </c>
      <c r="P961" s="5" t="s">
        <v>43</v>
      </c>
      <c r="Q961" s="5">
        <v>13.99</v>
      </c>
      <c r="R961" s="5"/>
      <c r="S961" s="5">
        <v>4.71</v>
      </c>
      <c r="T961" s="5"/>
      <c r="U961" s="5"/>
      <c r="V961" s="5"/>
      <c r="W961" s="5"/>
      <c r="X961" s="5"/>
      <c r="Y961" s="5" t="s">
        <v>4626</v>
      </c>
      <c r="Z961" s="5" t="s">
        <v>4627</v>
      </c>
      <c r="AA961" s="5" t="s">
        <v>4628</v>
      </c>
      <c r="AB961" s="5" t="s">
        <v>54</v>
      </c>
      <c r="AC961" s="5"/>
      <c r="AD961" s="5" t="b">
        <v>0</v>
      </c>
      <c r="AE961" s="5"/>
      <c r="AF961" s="5"/>
      <c r="AG961" s="9">
        <f t="shared" si="14"/>
        <v>43281</v>
      </c>
    </row>
    <row r="962" s="6" customFormat="1" spans="1:33">
      <c r="A962" s="5" t="s">
        <v>4629</v>
      </c>
      <c r="B962" s="5" t="s">
        <v>4629</v>
      </c>
      <c r="C962" s="5" t="s">
        <v>4630</v>
      </c>
      <c r="D962" s="5" t="s">
        <v>4631</v>
      </c>
      <c r="E962" s="5" t="s">
        <v>36</v>
      </c>
      <c r="F962" s="5" t="s">
        <v>37</v>
      </c>
      <c r="G962" s="5" t="s">
        <v>38</v>
      </c>
      <c r="H962" s="5"/>
      <c r="I962" s="5"/>
      <c r="J962" s="5" t="s">
        <v>39</v>
      </c>
      <c r="K962" s="5" t="s">
        <v>3745</v>
      </c>
      <c r="L962" s="5" t="s">
        <v>202</v>
      </c>
      <c r="M962" s="5" t="s">
        <v>203</v>
      </c>
      <c r="N962" s="5" t="s">
        <v>36</v>
      </c>
      <c r="O962" s="5">
        <v>1</v>
      </c>
      <c r="P962" s="5" t="s">
        <v>43</v>
      </c>
      <c r="Q962" s="5">
        <v>18.99</v>
      </c>
      <c r="R962" s="5"/>
      <c r="S962" s="5"/>
      <c r="T962" s="5"/>
      <c r="U962" s="5"/>
      <c r="V962" s="5"/>
      <c r="W962" s="5"/>
      <c r="X962" s="5"/>
      <c r="Y962" s="5" t="s">
        <v>78</v>
      </c>
      <c r="Z962" s="5" t="s">
        <v>54</v>
      </c>
      <c r="AA962" s="5" t="s">
        <v>4632</v>
      </c>
      <c r="AB962" s="5" t="s">
        <v>46</v>
      </c>
      <c r="AC962" s="5"/>
      <c r="AD962" s="5" t="b">
        <v>0</v>
      </c>
      <c r="AE962" s="5"/>
      <c r="AF962" s="5"/>
      <c r="AG962" s="9">
        <f t="shared" ref="AG962:AG1025" si="15">DATEVALUE(LEFT(C962,10))</f>
        <v>43281</v>
      </c>
    </row>
    <row r="963" s="6" customFormat="1" spans="1:33">
      <c r="A963" s="5" t="s">
        <v>4633</v>
      </c>
      <c r="B963" s="5" t="s">
        <v>4633</v>
      </c>
      <c r="C963" s="5" t="s">
        <v>4634</v>
      </c>
      <c r="D963" s="5" t="s">
        <v>4635</v>
      </c>
      <c r="E963" s="5" t="s">
        <v>36</v>
      </c>
      <c r="F963" s="5" t="s">
        <v>37</v>
      </c>
      <c r="G963" s="5" t="s">
        <v>38</v>
      </c>
      <c r="H963" s="5"/>
      <c r="I963" s="5"/>
      <c r="J963" s="5" t="s">
        <v>39</v>
      </c>
      <c r="K963" s="5" t="s">
        <v>3645</v>
      </c>
      <c r="L963" s="5" t="s">
        <v>51</v>
      </c>
      <c r="M963" s="5" t="s">
        <v>52</v>
      </c>
      <c r="N963" s="5" t="s">
        <v>36</v>
      </c>
      <c r="O963" s="5">
        <v>1</v>
      </c>
      <c r="P963" s="5" t="s">
        <v>43</v>
      </c>
      <c r="Q963" s="5">
        <v>18.99</v>
      </c>
      <c r="R963" s="5"/>
      <c r="S963" s="5"/>
      <c r="T963" s="5"/>
      <c r="U963" s="5"/>
      <c r="V963" s="5"/>
      <c r="W963" s="5"/>
      <c r="X963" s="5"/>
      <c r="Y963" s="5" t="s">
        <v>4636</v>
      </c>
      <c r="Z963" s="5" t="s">
        <v>606</v>
      </c>
      <c r="AA963" s="5">
        <v>29420</v>
      </c>
      <c r="AB963" s="5" t="s">
        <v>46</v>
      </c>
      <c r="AC963" s="5"/>
      <c r="AD963" s="5" t="b">
        <v>0</v>
      </c>
      <c r="AE963" s="5"/>
      <c r="AF963" s="5"/>
      <c r="AG963" s="9">
        <f t="shared" si="15"/>
        <v>43281</v>
      </c>
    </row>
    <row r="964" s="6" customFormat="1" spans="1:33">
      <c r="A964" s="5" t="s">
        <v>4637</v>
      </c>
      <c r="B964" s="5" t="s">
        <v>4637</v>
      </c>
      <c r="C964" s="5" t="s">
        <v>4638</v>
      </c>
      <c r="D964" s="5" t="s">
        <v>4639</v>
      </c>
      <c r="E964" s="5" t="s">
        <v>36</v>
      </c>
      <c r="F964" s="5" t="s">
        <v>37</v>
      </c>
      <c r="G964" s="5" t="s">
        <v>38</v>
      </c>
      <c r="H964" s="5"/>
      <c r="I964" s="5"/>
      <c r="J964" s="5" t="s">
        <v>39</v>
      </c>
      <c r="K964" s="5" t="s">
        <v>4307</v>
      </c>
      <c r="L964" s="5" t="s">
        <v>1227</v>
      </c>
      <c r="M964" s="5" t="s">
        <v>262</v>
      </c>
      <c r="N964" s="5" t="s">
        <v>36</v>
      </c>
      <c r="O964" s="5">
        <v>1</v>
      </c>
      <c r="P964" s="5" t="s">
        <v>43</v>
      </c>
      <c r="Q964" s="5">
        <v>18.99</v>
      </c>
      <c r="R964" s="5"/>
      <c r="S964" s="5"/>
      <c r="T964" s="5"/>
      <c r="U964" s="5"/>
      <c r="V964" s="5"/>
      <c r="W964" s="5"/>
      <c r="X964" s="5"/>
      <c r="Y964" s="5" t="s">
        <v>1169</v>
      </c>
      <c r="Z964" s="5" t="s">
        <v>142</v>
      </c>
      <c r="AA964" s="5" t="s">
        <v>4640</v>
      </c>
      <c r="AB964" s="5" t="s">
        <v>46</v>
      </c>
      <c r="AC964" s="5"/>
      <c r="AD964" s="5" t="b">
        <v>0</v>
      </c>
      <c r="AE964" s="5"/>
      <c r="AF964" s="5"/>
      <c r="AG964" s="9">
        <f t="shared" si="15"/>
        <v>43281</v>
      </c>
    </row>
    <row r="965" s="6" customFormat="1" spans="1:33">
      <c r="A965" s="5" t="s">
        <v>4641</v>
      </c>
      <c r="B965" s="5" t="s">
        <v>4641</v>
      </c>
      <c r="C965" s="5" t="s">
        <v>4642</v>
      </c>
      <c r="D965" s="5" t="s">
        <v>4643</v>
      </c>
      <c r="E965" s="5" t="s">
        <v>36</v>
      </c>
      <c r="F965" s="5" t="s">
        <v>37</v>
      </c>
      <c r="G965" s="5" t="s">
        <v>38</v>
      </c>
      <c r="H965" s="5"/>
      <c r="I965" s="5"/>
      <c r="J965" s="5" t="s">
        <v>39</v>
      </c>
      <c r="K965" s="5" t="s">
        <v>3745</v>
      </c>
      <c r="L965" s="5" t="s">
        <v>202</v>
      </c>
      <c r="M965" s="5" t="s">
        <v>203</v>
      </c>
      <c r="N965" s="5" t="s">
        <v>36</v>
      </c>
      <c r="O965" s="5">
        <v>1</v>
      </c>
      <c r="P965" s="5" t="s">
        <v>43</v>
      </c>
      <c r="Q965" s="5">
        <v>18.99</v>
      </c>
      <c r="R965" s="5"/>
      <c r="S965" s="5"/>
      <c r="T965" s="5"/>
      <c r="U965" s="5"/>
      <c r="V965" s="5"/>
      <c r="W965" s="5"/>
      <c r="X965" s="5"/>
      <c r="Y965" s="5" t="s">
        <v>4156</v>
      </c>
      <c r="Z965" s="5" t="s">
        <v>238</v>
      </c>
      <c r="AA965" s="5" t="s">
        <v>4644</v>
      </c>
      <c r="AB965" s="5" t="s">
        <v>46</v>
      </c>
      <c r="AC965" s="5"/>
      <c r="AD965" s="5" t="b">
        <v>0</v>
      </c>
      <c r="AE965" s="5"/>
      <c r="AF965" s="5"/>
      <c r="AG965" s="9">
        <f t="shared" si="15"/>
        <v>43281</v>
      </c>
    </row>
    <row r="966" s="6" customFormat="1" spans="1:33">
      <c r="A966" s="5" t="s">
        <v>4645</v>
      </c>
      <c r="B966" s="5" t="s">
        <v>4645</v>
      </c>
      <c r="C966" s="5" t="s">
        <v>4646</v>
      </c>
      <c r="D966" s="5" t="s">
        <v>4647</v>
      </c>
      <c r="E966" s="5" t="s">
        <v>36</v>
      </c>
      <c r="F966" s="5" t="s">
        <v>37</v>
      </c>
      <c r="G966" s="5" t="s">
        <v>38</v>
      </c>
      <c r="H966" s="5"/>
      <c r="I966" s="5"/>
      <c r="J966" s="5" t="s">
        <v>39</v>
      </c>
      <c r="K966" s="5" t="s">
        <v>1999</v>
      </c>
      <c r="L966" s="5" t="s">
        <v>2000</v>
      </c>
      <c r="M966" s="5" t="s">
        <v>2001</v>
      </c>
      <c r="N966" s="5" t="s">
        <v>36</v>
      </c>
      <c r="O966" s="5">
        <v>1</v>
      </c>
      <c r="P966" s="5" t="s">
        <v>43</v>
      </c>
      <c r="Q966" s="5">
        <v>18.99</v>
      </c>
      <c r="R966" s="5"/>
      <c r="S966" s="5"/>
      <c r="T966" s="5"/>
      <c r="U966" s="5"/>
      <c r="V966" s="5"/>
      <c r="W966" s="5"/>
      <c r="X966" s="5"/>
      <c r="Y966" s="5" t="s">
        <v>4648</v>
      </c>
      <c r="Z966" s="5" t="s">
        <v>923</v>
      </c>
      <c r="AA966" s="5" t="s">
        <v>4649</v>
      </c>
      <c r="AB966" s="5" t="s">
        <v>46</v>
      </c>
      <c r="AC966" s="5"/>
      <c r="AD966" s="5" t="b">
        <v>0</v>
      </c>
      <c r="AE966" s="5"/>
      <c r="AF966" s="5"/>
      <c r="AG966" s="9">
        <f t="shared" si="15"/>
        <v>43281</v>
      </c>
    </row>
    <row r="967" s="6" customFormat="1" spans="1:33">
      <c r="A967" s="5" t="s">
        <v>4645</v>
      </c>
      <c r="B967" s="5" t="s">
        <v>4645</v>
      </c>
      <c r="C967" s="5" t="s">
        <v>4646</v>
      </c>
      <c r="D967" s="5" t="s">
        <v>4647</v>
      </c>
      <c r="E967" s="5" t="s">
        <v>36</v>
      </c>
      <c r="F967" s="5" t="s">
        <v>37</v>
      </c>
      <c r="G967" s="5" t="s">
        <v>38</v>
      </c>
      <c r="H967" s="5"/>
      <c r="I967" s="5"/>
      <c r="J967" s="5" t="s">
        <v>39</v>
      </c>
      <c r="K967" s="5" t="s">
        <v>2197</v>
      </c>
      <c r="L967" s="5" t="s">
        <v>2198</v>
      </c>
      <c r="M967" s="5" t="s">
        <v>2199</v>
      </c>
      <c r="N967" s="5" t="s">
        <v>36</v>
      </c>
      <c r="O967" s="5">
        <v>1</v>
      </c>
      <c r="P967" s="5" t="s">
        <v>43</v>
      </c>
      <c r="Q967" s="5">
        <v>24.99</v>
      </c>
      <c r="R967" s="5"/>
      <c r="S967" s="5"/>
      <c r="T967" s="5"/>
      <c r="U967" s="5"/>
      <c r="V967" s="5"/>
      <c r="W967" s="5"/>
      <c r="X967" s="5"/>
      <c r="Y967" s="5" t="s">
        <v>4648</v>
      </c>
      <c r="Z967" s="5" t="s">
        <v>923</v>
      </c>
      <c r="AA967" s="5" t="s">
        <v>4649</v>
      </c>
      <c r="AB967" s="5" t="s">
        <v>46</v>
      </c>
      <c r="AC967" s="5"/>
      <c r="AD967" s="5" t="b">
        <v>0</v>
      </c>
      <c r="AE967" s="5"/>
      <c r="AF967" s="5"/>
      <c r="AG967" s="9">
        <f t="shared" si="15"/>
        <v>43281</v>
      </c>
    </row>
    <row r="968" s="6" customFormat="1" spans="1:33">
      <c r="A968" s="5" t="s">
        <v>4650</v>
      </c>
      <c r="B968" s="5" t="s">
        <v>4650</v>
      </c>
      <c r="C968" s="5" t="s">
        <v>4651</v>
      </c>
      <c r="D968" s="5" t="s">
        <v>4652</v>
      </c>
      <c r="E968" s="5" t="s">
        <v>36</v>
      </c>
      <c r="F968" s="5" t="s">
        <v>37</v>
      </c>
      <c r="G968" s="5" t="s">
        <v>38</v>
      </c>
      <c r="H968" s="5"/>
      <c r="I968" s="5"/>
      <c r="J968" s="5" t="s">
        <v>39</v>
      </c>
      <c r="K968" s="5" t="s">
        <v>3714</v>
      </c>
      <c r="L968" s="5" t="s">
        <v>148</v>
      </c>
      <c r="M968" s="5" t="s">
        <v>149</v>
      </c>
      <c r="N968" s="5" t="s">
        <v>36</v>
      </c>
      <c r="O968" s="5">
        <v>1</v>
      </c>
      <c r="P968" s="5" t="s">
        <v>43</v>
      </c>
      <c r="Q968" s="5">
        <v>13.99</v>
      </c>
      <c r="R968" s="5"/>
      <c r="S968" s="5"/>
      <c r="T968" s="5"/>
      <c r="U968" s="5"/>
      <c r="V968" s="5"/>
      <c r="W968" s="5"/>
      <c r="X968" s="5"/>
      <c r="Y968" s="5" t="s">
        <v>4653</v>
      </c>
      <c r="Z968" s="5" t="s">
        <v>247</v>
      </c>
      <c r="AA968" s="5" t="s">
        <v>4654</v>
      </c>
      <c r="AB968" s="5" t="s">
        <v>46</v>
      </c>
      <c r="AC968" s="5"/>
      <c r="AD968" s="5" t="b">
        <v>0</v>
      </c>
      <c r="AE968" s="5"/>
      <c r="AF968" s="5"/>
      <c r="AG968" s="9">
        <f t="shared" si="15"/>
        <v>43281</v>
      </c>
    </row>
    <row r="969" s="6" customFormat="1" spans="1:33">
      <c r="A969" s="5" t="s">
        <v>4655</v>
      </c>
      <c r="B969" s="5" t="s">
        <v>4655</v>
      </c>
      <c r="C969" s="5" t="s">
        <v>4656</v>
      </c>
      <c r="D969" s="5" t="s">
        <v>4657</v>
      </c>
      <c r="E969" s="5" t="s">
        <v>36</v>
      </c>
      <c r="F969" s="5" t="s">
        <v>37</v>
      </c>
      <c r="G969" s="5" t="s">
        <v>38</v>
      </c>
      <c r="H969" s="5"/>
      <c r="I969" s="5"/>
      <c r="J969" s="5" t="s">
        <v>39</v>
      </c>
      <c r="K969" s="5" t="s">
        <v>2197</v>
      </c>
      <c r="L969" s="5" t="s">
        <v>2198</v>
      </c>
      <c r="M969" s="5" t="s">
        <v>2199</v>
      </c>
      <c r="N969" s="5" t="s">
        <v>36</v>
      </c>
      <c r="O969" s="5">
        <v>1</v>
      </c>
      <c r="P969" s="5" t="s">
        <v>43</v>
      </c>
      <c r="Q969" s="5">
        <v>24.99</v>
      </c>
      <c r="R969" s="5"/>
      <c r="S969" s="5"/>
      <c r="T969" s="5"/>
      <c r="U969" s="5"/>
      <c r="V969" s="5"/>
      <c r="W969" s="5"/>
      <c r="X969" s="5"/>
      <c r="Y969" s="5" t="s">
        <v>2438</v>
      </c>
      <c r="Z969" s="5" t="s">
        <v>565</v>
      </c>
      <c r="AA969" s="5" t="s">
        <v>4658</v>
      </c>
      <c r="AB969" s="5" t="s">
        <v>46</v>
      </c>
      <c r="AC969" s="5"/>
      <c r="AD969" s="5" t="b">
        <v>0</v>
      </c>
      <c r="AE969" s="5"/>
      <c r="AF969" s="5"/>
      <c r="AG969" s="9">
        <f t="shared" si="15"/>
        <v>43281</v>
      </c>
    </row>
    <row r="970" s="6" customFormat="1" spans="1:33">
      <c r="A970" s="5" t="s">
        <v>4659</v>
      </c>
      <c r="B970" s="5" t="s">
        <v>4660</v>
      </c>
      <c r="C970" s="5" t="s">
        <v>4661</v>
      </c>
      <c r="D970" s="5" t="s">
        <v>4662</v>
      </c>
      <c r="E970" s="5" t="s">
        <v>4663</v>
      </c>
      <c r="F970" s="5" t="s">
        <v>37</v>
      </c>
      <c r="G970" s="5" t="s">
        <v>1121</v>
      </c>
      <c r="H970" s="5"/>
      <c r="I970" s="5"/>
      <c r="J970" s="5" t="s">
        <v>128</v>
      </c>
      <c r="K970" s="5" t="s">
        <v>3668</v>
      </c>
      <c r="L970" s="5" t="s">
        <v>571</v>
      </c>
      <c r="M970" s="5" t="s">
        <v>572</v>
      </c>
      <c r="N970" s="5" t="s">
        <v>833</v>
      </c>
      <c r="O970" s="5">
        <v>1</v>
      </c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 t="b">
        <v>0</v>
      </c>
      <c r="AE970" s="5"/>
      <c r="AF970" s="5"/>
      <c r="AG970" s="9">
        <f t="shared" si="15"/>
        <v>43282</v>
      </c>
    </row>
    <row r="971" s="6" customFormat="1" spans="1:33">
      <c r="A971" s="5" t="s">
        <v>4664</v>
      </c>
      <c r="B971" s="5" t="s">
        <v>4664</v>
      </c>
      <c r="C971" s="5" t="s">
        <v>4665</v>
      </c>
      <c r="D971" s="5" t="s">
        <v>4666</v>
      </c>
      <c r="E971" s="5" t="s">
        <v>36</v>
      </c>
      <c r="F971" s="5" t="s">
        <v>37</v>
      </c>
      <c r="G971" s="5" t="s">
        <v>38</v>
      </c>
      <c r="H971" s="5"/>
      <c r="I971" s="5"/>
      <c r="J971" s="5" t="s">
        <v>39</v>
      </c>
      <c r="K971" s="5" t="s">
        <v>1625</v>
      </c>
      <c r="L971" s="5" t="s">
        <v>4667</v>
      </c>
      <c r="M971" s="5" t="s">
        <v>4668</v>
      </c>
      <c r="N971" s="5" t="s">
        <v>36</v>
      </c>
      <c r="O971" s="5">
        <v>1</v>
      </c>
      <c r="P971" s="5" t="s">
        <v>43</v>
      </c>
      <c r="Q971" s="5">
        <v>17.9</v>
      </c>
      <c r="R971" s="5"/>
      <c r="S971" s="5"/>
      <c r="T971" s="5"/>
      <c r="U971" s="5"/>
      <c r="V971" s="5"/>
      <c r="W971" s="5"/>
      <c r="X971" s="5"/>
      <c r="Y971" s="5" t="s">
        <v>4669</v>
      </c>
      <c r="Z971" s="5" t="s">
        <v>218</v>
      </c>
      <c r="AA971" s="5" t="s">
        <v>4670</v>
      </c>
      <c r="AB971" s="5" t="s">
        <v>46</v>
      </c>
      <c r="AC971" s="5"/>
      <c r="AD971" s="5" t="b">
        <v>0</v>
      </c>
      <c r="AE971" s="5"/>
      <c r="AF971" s="5"/>
      <c r="AG971" s="9">
        <f t="shared" si="15"/>
        <v>43282</v>
      </c>
    </row>
    <row r="972" s="6" customFormat="1" spans="1:33">
      <c r="A972" s="5" t="s">
        <v>4671</v>
      </c>
      <c r="B972" s="5" t="s">
        <v>4671</v>
      </c>
      <c r="C972" s="5" t="s">
        <v>4672</v>
      </c>
      <c r="D972" s="5" t="s">
        <v>4673</v>
      </c>
      <c r="E972" s="5" t="s">
        <v>36</v>
      </c>
      <c r="F972" s="5" t="s">
        <v>37</v>
      </c>
      <c r="G972" s="5" t="s">
        <v>38</v>
      </c>
      <c r="H972" s="5"/>
      <c r="I972" s="5"/>
      <c r="J972" s="5" t="s">
        <v>39</v>
      </c>
      <c r="K972" s="5" t="s">
        <v>3920</v>
      </c>
      <c r="L972" s="5" t="s">
        <v>419</v>
      </c>
      <c r="M972" s="5" t="s">
        <v>367</v>
      </c>
      <c r="N972" s="5" t="s">
        <v>36</v>
      </c>
      <c r="O972" s="5">
        <v>1</v>
      </c>
      <c r="P972" s="5" t="s">
        <v>43</v>
      </c>
      <c r="Q972" s="5">
        <v>18.99</v>
      </c>
      <c r="R972" s="5"/>
      <c r="S972" s="5"/>
      <c r="T972" s="5"/>
      <c r="U972" s="5"/>
      <c r="V972" s="5"/>
      <c r="W972" s="5"/>
      <c r="X972" s="5"/>
      <c r="Y972" s="5" t="s">
        <v>2347</v>
      </c>
      <c r="Z972" s="5" t="s">
        <v>96</v>
      </c>
      <c r="AA972" s="5" t="s">
        <v>2348</v>
      </c>
      <c r="AB972" s="5" t="s">
        <v>46</v>
      </c>
      <c r="AC972" s="5"/>
      <c r="AD972" s="5" t="b">
        <v>0</v>
      </c>
      <c r="AE972" s="5"/>
      <c r="AF972" s="5"/>
      <c r="AG972" s="9">
        <f t="shared" si="15"/>
        <v>43282</v>
      </c>
    </row>
    <row r="973" s="6" customFormat="1" spans="1:33">
      <c r="A973" s="5" t="s">
        <v>4674</v>
      </c>
      <c r="B973" s="5" t="s">
        <v>4674</v>
      </c>
      <c r="C973" s="5" t="s">
        <v>4675</v>
      </c>
      <c r="D973" s="5" t="s">
        <v>4676</v>
      </c>
      <c r="E973" s="5" t="s">
        <v>36</v>
      </c>
      <c r="F973" s="5" t="s">
        <v>37</v>
      </c>
      <c r="G973" s="5" t="s">
        <v>38</v>
      </c>
      <c r="H973" s="5"/>
      <c r="I973" s="5"/>
      <c r="J973" s="5" t="s">
        <v>39</v>
      </c>
      <c r="K973" s="5" t="s">
        <v>1999</v>
      </c>
      <c r="L973" s="5" t="s">
        <v>2000</v>
      </c>
      <c r="M973" s="5" t="s">
        <v>2001</v>
      </c>
      <c r="N973" s="5" t="s">
        <v>36</v>
      </c>
      <c r="O973" s="5">
        <v>1</v>
      </c>
      <c r="P973" s="5" t="s">
        <v>43</v>
      </c>
      <c r="Q973" s="5">
        <v>18.99</v>
      </c>
      <c r="R973" s="5">
        <v>1.6</v>
      </c>
      <c r="S973" s="5"/>
      <c r="T973" s="5"/>
      <c r="U973" s="5"/>
      <c r="V973" s="5"/>
      <c r="W973" s="5"/>
      <c r="X973" s="5"/>
      <c r="Y973" s="5" t="s">
        <v>2233</v>
      </c>
      <c r="Z973" s="5" t="s">
        <v>474</v>
      </c>
      <c r="AA973" s="5" t="s">
        <v>4677</v>
      </c>
      <c r="AB973" s="5" t="s">
        <v>46</v>
      </c>
      <c r="AC973" s="5"/>
      <c r="AD973" s="5" t="b">
        <v>0</v>
      </c>
      <c r="AE973" s="5"/>
      <c r="AF973" s="5"/>
      <c r="AG973" s="9">
        <f t="shared" si="15"/>
        <v>43282</v>
      </c>
    </row>
    <row r="974" s="6" customFormat="1" spans="1:33">
      <c r="A974" s="5" t="s">
        <v>4678</v>
      </c>
      <c r="B974" s="5" t="s">
        <v>4678</v>
      </c>
      <c r="C974" s="5" t="s">
        <v>4679</v>
      </c>
      <c r="D974" s="5" t="s">
        <v>4680</v>
      </c>
      <c r="E974" s="5" t="s">
        <v>36</v>
      </c>
      <c r="F974" s="5" t="s">
        <v>37</v>
      </c>
      <c r="G974" s="5" t="s">
        <v>38</v>
      </c>
      <c r="H974" s="5"/>
      <c r="I974" s="5"/>
      <c r="J974" s="5" t="s">
        <v>39</v>
      </c>
      <c r="K974" s="5" t="s">
        <v>4085</v>
      </c>
      <c r="L974" s="5" t="s">
        <v>102</v>
      </c>
      <c r="M974" s="5" t="s">
        <v>103</v>
      </c>
      <c r="N974" s="5" t="s">
        <v>36</v>
      </c>
      <c r="O974" s="5">
        <v>1</v>
      </c>
      <c r="P974" s="5" t="s">
        <v>43</v>
      </c>
      <c r="Q974" s="5">
        <v>13.99</v>
      </c>
      <c r="R974" s="5"/>
      <c r="S974" s="5"/>
      <c r="T974" s="5"/>
      <c r="U974" s="5"/>
      <c r="V974" s="5"/>
      <c r="W974" s="5"/>
      <c r="X974" s="5"/>
      <c r="Y974" s="5" t="s">
        <v>1033</v>
      </c>
      <c r="Z974" s="5" t="s">
        <v>247</v>
      </c>
      <c r="AA974" s="5" t="s">
        <v>4681</v>
      </c>
      <c r="AB974" s="5" t="s">
        <v>46</v>
      </c>
      <c r="AC974" s="5"/>
      <c r="AD974" s="5" t="b">
        <v>0</v>
      </c>
      <c r="AE974" s="5"/>
      <c r="AF974" s="5"/>
      <c r="AG974" s="9">
        <f t="shared" si="15"/>
        <v>43282</v>
      </c>
    </row>
    <row r="975" s="6" customFormat="1" spans="1:33">
      <c r="A975" s="5" t="s">
        <v>4682</v>
      </c>
      <c r="B975" s="5" t="s">
        <v>4682</v>
      </c>
      <c r="C975" s="5" t="s">
        <v>4683</v>
      </c>
      <c r="D975" s="5" t="s">
        <v>4684</v>
      </c>
      <c r="E975" s="5" t="s">
        <v>36</v>
      </c>
      <c r="F975" s="5" t="s">
        <v>37</v>
      </c>
      <c r="G975" s="5" t="s">
        <v>38</v>
      </c>
      <c r="H975" s="5"/>
      <c r="I975" s="5"/>
      <c r="J975" s="5" t="s">
        <v>39</v>
      </c>
      <c r="K975" s="5" t="s">
        <v>3668</v>
      </c>
      <c r="L975" s="5" t="s">
        <v>578</v>
      </c>
      <c r="M975" s="5" t="s">
        <v>572</v>
      </c>
      <c r="N975" s="5" t="s">
        <v>36</v>
      </c>
      <c r="O975" s="5">
        <v>1</v>
      </c>
      <c r="P975" s="5" t="s">
        <v>43</v>
      </c>
      <c r="Q975" s="5">
        <v>24.99</v>
      </c>
      <c r="R975" s="5"/>
      <c r="S975" s="5"/>
      <c r="T975" s="5"/>
      <c r="U975" s="5"/>
      <c r="V975" s="5"/>
      <c r="W975" s="5"/>
      <c r="X975" s="5"/>
      <c r="Y975" s="5" t="s">
        <v>4685</v>
      </c>
      <c r="Z975" s="5" t="s">
        <v>4686</v>
      </c>
      <c r="AA975" s="5">
        <v>76137</v>
      </c>
      <c r="AB975" s="5" t="s">
        <v>46</v>
      </c>
      <c r="AC975" s="5"/>
      <c r="AD975" s="5" t="b">
        <v>0</v>
      </c>
      <c r="AE975" s="5"/>
      <c r="AF975" s="5"/>
      <c r="AG975" s="9">
        <f t="shared" si="15"/>
        <v>43282</v>
      </c>
    </row>
    <row r="976" s="6" customFormat="1" spans="1:33">
      <c r="A976" s="5" t="s">
        <v>4687</v>
      </c>
      <c r="B976" s="5" t="s">
        <v>4687</v>
      </c>
      <c r="C976" s="5" t="s">
        <v>4688</v>
      </c>
      <c r="D976" s="5" t="s">
        <v>4689</v>
      </c>
      <c r="E976" s="5" t="s">
        <v>36</v>
      </c>
      <c r="F976" s="5" t="s">
        <v>37</v>
      </c>
      <c r="G976" s="5" t="s">
        <v>38</v>
      </c>
      <c r="H976" s="5"/>
      <c r="I976" s="5"/>
      <c r="J976" s="5" t="s">
        <v>39</v>
      </c>
      <c r="K976" s="5" t="s">
        <v>3752</v>
      </c>
      <c r="L976" s="5" t="s">
        <v>244</v>
      </c>
      <c r="M976" s="5" t="s">
        <v>245</v>
      </c>
      <c r="N976" s="5" t="s">
        <v>36</v>
      </c>
      <c r="O976" s="5">
        <v>1</v>
      </c>
      <c r="P976" s="5" t="s">
        <v>43</v>
      </c>
      <c r="Q976" s="5">
        <v>18.99</v>
      </c>
      <c r="R976" s="5"/>
      <c r="S976" s="5"/>
      <c r="T976" s="5"/>
      <c r="U976" s="5"/>
      <c r="V976" s="5"/>
      <c r="W976" s="5"/>
      <c r="X976" s="5"/>
      <c r="Y976" s="5" t="s">
        <v>462</v>
      </c>
      <c r="Z976" s="5" t="s">
        <v>96</v>
      </c>
      <c r="AA976" s="5" t="s">
        <v>4690</v>
      </c>
      <c r="AB976" s="5" t="s">
        <v>46</v>
      </c>
      <c r="AC976" s="5"/>
      <c r="AD976" s="5" t="b">
        <v>0</v>
      </c>
      <c r="AE976" s="5"/>
      <c r="AF976" s="5"/>
      <c r="AG976" s="9">
        <f t="shared" si="15"/>
        <v>43282</v>
      </c>
    </row>
    <row r="977" s="6" customFormat="1" spans="1:33">
      <c r="A977" s="5" t="s">
        <v>4691</v>
      </c>
      <c r="B977" s="5" t="s">
        <v>4691</v>
      </c>
      <c r="C977" s="5" t="s">
        <v>4692</v>
      </c>
      <c r="D977" s="5" t="s">
        <v>4693</v>
      </c>
      <c r="E977" s="5" t="s">
        <v>36</v>
      </c>
      <c r="F977" s="5" t="s">
        <v>37</v>
      </c>
      <c r="G977" s="5" t="s">
        <v>38</v>
      </c>
      <c r="H977" s="5"/>
      <c r="I977" s="5"/>
      <c r="J977" s="5" t="s">
        <v>39</v>
      </c>
      <c r="K977" s="5" t="s">
        <v>3745</v>
      </c>
      <c r="L977" s="5" t="s">
        <v>202</v>
      </c>
      <c r="M977" s="5" t="s">
        <v>203</v>
      </c>
      <c r="N977" s="5" t="s">
        <v>36</v>
      </c>
      <c r="O977" s="5">
        <v>1</v>
      </c>
      <c r="P977" s="5" t="s">
        <v>43</v>
      </c>
      <c r="Q977" s="5">
        <v>18.99</v>
      </c>
      <c r="R977" s="5"/>
      <c r="S977" s="5"/>
      <c r="T977" s="5"/>
      <c r="U977" s="5"/>
      <c r="V977" s="5"/>
      <c r="W977" s="5"/>
      <c r="X977" s="5"/>
      <c r="Y977" s="5" t="s">
        <v>4694</v>
      </c>
      <c r="Z977" s="5" t="s">
        <v>183</v>
      </c>
      <c r="AA977" s="5" t="s">
        <v>4695</v>
      </c>
      <c r="AB977" s="5" t="s">
        <v>46</v>
      </c>
      <c r="AC977" s="5"/>
      <c r="AD977" s="5" t="b">
        <v>0</v>
      </c>
      <c r="AE977" s="5"/>
      <c r="AF977" s="5"/>
      <c r="AG977" s="9">
        <f t="shared" si="15"/>
        <v>43282</v>
      </c>
    </row>
    <row r="978" s="6" customFormat="1" spans="1:33">
      <c r="A978" s="5" t="s">
        <v>4696</v>
      </c>
      <c r="B978" s="5" t="s">
        <v>4696</v>
      </c>
      <c r="C978" s="5" t="s">
        <v>4697</v>
      </c>
      <c r="D978" s="5" t="s">
        <v>4698</v>
      </c>
      <c r="E978" s="5" t="s">
        <v>36</v>
      </c>
      <c r="F978" s="5" t="s">
        <v>37</v>
      </c>
      <c r="G978" s="5" t="s">
        <v>38</v>
      </c>
      <c r="H978" s="5"/>
      <c r="I978" s="5"/>
      <c r="J978" s="5" t="s">
        <v>39</v>
      </c>
      <c r="K978" s="5" t="s">
        <v>3752</v>
      </c>
      <c r="L978" s="5" t="s">
        <v>244</v>
      </c>
      <c r="M978" s="5" t="s">
        <v>245</v>
      </c>
      <c r="N978" s="5" t="s">
        <v>36</v>
      </c>
      <c r="O978" s="5">
        <v>1</v>
      </c>
      <c r="P978" s="5" t="s">
        <v>43</v>
      </c>
      <c r="Q978" s="5">
        <v>18.99</v>
      </c>
      <c r="R978" s="5"/>
      <c r="S978" s="5"/>
      <c r="T978" s="5"/>
      <c r="U978" s="5"/>
      <c r="V978" s="5"/>
      <c r="W978" s="5"/>
      <c r="X978" s="5"/>
      <c r="Y978" s="5" t="s">
        <v>4396</v>
      </c>
      <c r="Z978" s="5" t="s">
        <v>732</v>
      </c>
      <c r="AA978" s="5" t="s">
        <v>4699</v>
      </c>
      <c r="AB978" s="5" t="s">
        <v>46</v>
      </c>
      <c r="AC978" s="5"/>
      <c r="AD978" s="5" t="b">
        <v>0</v>
      </c>
      <c r="AE978" s="5"/>
      <c r="AF978" s="5"/>
      <c r="AG978" s="9">
        <f t="shared" si="15"/>
        <v>43282</v>
      </c>
    </row>
    <row r="979" s="6" customFormat="1" spans="1:33">
      <c r="A979" s="5" t="s">
        <v>4700</v>
      </c>
      <c r="B979" s="5" t="s">
        <v>4700</v>
      </c>
      <c r="C979" s="5" t="s">
        <v>4701</v>
      </c>
      <c r="D979" s="5" t="s">
        <v>4702</v>
      </c>
      <c r="E979" s="5" t="s">
        <v>36</v>
      </c>
      <c r="F979" s="5" t="s">
        <v>37</v>
      </c>
      <c r="G979" s="5" t="s">
        <v>38</v>
      </c>
      <c r="H979" s="5"/>
      <c r="I979" s="5"/>
      <c r="J979" s="5" t="s">
        <v>39</v>
      </c>
      <c r="K979" s="5" t="s">
        <v>4038</v>
      </c>
      <c r="L979" s="5" t="s">
        <v>76</v>
      </c>
      <c r="M979" s="5" t="s">
        <v>77</v>
      </c>
      <c r="N979" s="5" t="s">
        <v>36</v>
      </c>
      <c r="O979" s="5">
        <v>1</v>
      </c>
      <c r="P979" s="5" t="s">
        <v>43</v>
      </c>
      <c r="Q979" s="5">
        <v>13.99</v>
      </c>
      <c r="R979" s="5"/>
      <c r="S979" s="5"/>
      <c r="T979" s="5"/>
      <c r="U979" s="5"/>
      <c r="V979" s="5"/>
      <c r="W979" s="5"/>
      <c r="X979" s="5"/>
      <c r="Y979" s="5" t="s">
        <v>4703</v>
      </c>
      <c r="Z979" s="5" t="s">
        <v>142</v>
      </c>
      <c r="AA979" s="5" t="s">
        <v>4704</v>
      </c>
      <c r="AB979" s="5" t="s">
        <v>46</v>
      </c>
      <c r="AC979" s="5"/>
      <c r="AD979" s="5" t="b">
        <v>0</v>
      </c>
      <c r="AE979" s="5"/>
      <c r="AF979" s="5"/>
      <c r="AG979" s="9">
        <f t="shared" si="15"/>
        <v>43282</v>
      </c>
    </row>
    <row r="980" s="6" customFormat="1" spans="1:33">
      <c r="A980" s="5" t="s">
        <v>4705</v>
      </c>
      <c r="B980" s="5" t="s">
        <v>4705</v>
      </c>
      <c r="C980" s="5" t="s">
        <v>4706</v>
      </c>
      <c r="D980" s="5" t="s">
        <v>4707</v>
      </c>
      <c r="E980" s="5" t="s">
        <v>36</v>
      </c>
      <c r="F980" s="5" t="s">
        <v>37</v>
      </c>
      <c r="G980" s="5" t="s">
        <v>38</v>
      </c>
      <c r="H980" s="5"/>
      <c r="I980" s="5"/>
      <c r="J980" s="5" t="s">
        <v>39</v>
      </c>
      <c r="K980" s="5" t="s">
        <v>3798</v>
      </c>
      <c r="L980" s="5" t="s">
        <v>1048</v>
      </c>
      <c r="M980" s="5" t="s">
        <v>535</v>
      </c>
      <c r="N980" s="5" t="s">
        <v>36</v>
      </c>
      <c r="O980" s="5">
        <v>1</v>
      </c>
      <c r="P980" s="5" t="s">
        <v>43</v>
      </c>
      <c r="Q980" s="5">
        <v>24.99</v>
      </c>
      <c r="R980" s="5"/>
      <c r="S980" s="5"/>
      <c r="T980" s="5"/>
      <c r="U980" s="5"/>
      <c r="V980" s="5"/>
      <c r="W980" s="5"/>
      <c r="X980" s="5"/>
      <c r="Y980" s="5" t="s">
        <v>4708</v>
      </c>
      <c r="Z980" s="5" t="s">
        <v>247</v>
      </c>
      <c r="AA980" s="5" t="s">
        <v>4709</v>
      </c>
      <c r="AB980" s="5" t="s">
        <v>46</v>
      </c>
      <c r="AC980" s="5"/>
      <c r="AD980" s="5" t="b">
        <v>0</v>
      </c>
      <c r="AE980" s="5"/>
      <c r="AF980" s="5"/>
      <c r="AG980" s="9">
        <f t="shared" si="15"/>
        <v>43282</v>
      </c>
    </row>
    <row r="981" s="6" customFormat="1" spans="1:33">
      <c r="A981" s="5" t="s">
        <v>4710</v>
      </c>
      <c r="B981" s="5" t="s">
        <v>4710</v>
      </c>
      <c r="C981" s="5" t="s">
        <v>4711</v>
      </c>
      <c r="D981" s="5" t="s">
        <v>4712</v>
      </c>
      <c r="E981" s="5" t="s">
        <v>36</v>
      </c>
      <c r="F981" s="5" t="s">
        <v>37</v>
      </c>
      <c r="G981" s="5" t="s">
        <v>38</v>
      </c>
      <c r="H981" s="5"/>
      <c r="I981" s="5"/>
      <c r="J981" s="5" t="s">
        <v>39</v>
      </c>
      <c r="K981" s="5" t="s">
        <v>3752</v>
      </c>
      <c r="L981" s="5" t="s">
        <v>244</v>
      </c>
      <c r="M981" s="5" t="s">
        <v>245</v>
      </c>
      <c r="N981" s="5" t="s">
        <v>36</v>
      </c>
      <c r="O981" s="5">
        <v>1</v>
      </c>
      <c r="P981" s="5" t="s">
        <v>43</v>
      </c>
      <c r="Q981" s="5">
        <v>18.99</v>
      </c>
      <c r="R981" s="5"/>
      <c r="S981" s="5"/>
      <c r="T981" s="5"/>
      <c r="U981" s="5"/>
      <c r="V981" s="5"/>
      <c r="W981" s="5"/>
      <c r="X981" s="5"/>
      <c r="Y981" s="5" t="s">
        <v>4713</v>
      </c>
      <c r="Z981" s="5" t="s">
        <v>105</v>
      </c>
      <c r="AA981" s="5" t="s">
        <v>4714</v>
      </c>
      <c r="AB981" s="5" t="s">
        <v>46</v>
      </c>
      <c r="AC981" s="5"/>
      <c r="AD981" s="5" t="b">
        <v>0</v>
      </c>
      <c r="AE981" s="5"/>
      <c r="AF981" s="5"/>
      <c r="AG981" s="9">
        <f t="shared" si="15"/>
        <v>43282</v>
      </c>
    </row>
    <row r="982" s="6" customFormat="1" spans="1:33">
      <c r="A982" s="5" t="s">
        <v>4715</v>
      </c>
      <c r="B982" s="5" t="s">
        <v>4715</v>
      </c>
      <c r="C982" s="5" t="s">
        <v>4716</v>
      </c>
      <c r="D982" s="5" t="s">
        <v>4717</v>
      </c>
      <c r="E982" s="5" t="s">
        <v>36</v>
      </c>
      <c r="F982" s="5" t="s">
        <v>37</v>
      </c>
      <c r="G982" s="5" t="s">
        <v>38</v>
      </c>
      <c r="H982" s="5"/>
      <c r="I982" s="5"/>
      <c r="J982" s="5" t="s">
        <v>39</v>
      </c>
      <c r="K982" s="5" t="s">
        <v>3745</v>
      </c>
      <c r="L982" s="5" t="s">
        <v>202</v>
      </c>
      <c r="M982" s="5" t="s">
        <v>203</v>
      </c>
      <c r="N982" s="5" t="s">
        <v>36</v>
      </c>
      <c r="O982" s="5">
        <v>1</v>
      </c>
      <c r="P982" s="5" t="s">
        <v>43</v>
      </c>
      <c r="Q982" s="5">
        <v>18.99</v>
      </c>
      <c r="R982" s="5"/>
      <c r="S982" s="5"/>
      <c r="T982" s="5"/>
      <c r="U982" s="5"/>
      <c r="V982" s="5"/>
      <c r="W982" s="5"/>
      <c r="X982" s="5"/>
      <c r="Y982" s="5" t="s">
        <v>4718</v>
      </c>
      <c r="Z982" s="5" t="s">
        <v>87</v>
      </c>
      <c r="AA982" s="5" t="s">
        <v>4719</v>
      </c>
      <c r="AB982" s="5" t="s">
        <v>46</v>
      </c>
      <c r="AC982" s="5"/>
      <c r="AD982" s="5" t="b">
        <v>0</v>
      </c>
      <c r="AE982" s="5"/>
      <c r="AF982" s="5"/>
      <c r="AG982" s="9">
        <f t="shared" si="15"/>
        <v>43282</v>
      </c>
    </row>
    <row r="983" s="6" customFormat="1" spans="1:33">
      <c r="A983" s="5" t="s">
        <v>4720</v>
      </c>
      <c r="B983" s="5" t="s">
        <v>4720</v>
      </c>
      <c r="C983" s="5" t="s">
        <v>4721</v>
      </c>
      <c r="D983" s="5" t="s">
        <v>4722</v>
      </c>
      <c r="E983" s="5" t="s">
        <v>36</v>
      </c>
      <c r="F983" s="5" t="s">
        <v>37</v>
      </c>
      <c r="G983" s="5" t="s">
        <v>38</v>
      </c>
      <c r="H983" s="5"/>
      <c r="I983" s="5"/>
      <c r="J983" s="5" t="s">
        <v>156</v>
      </c>
      <c r="K983" s="5" t="s">
        <v>293</v>
      </c>
      <c r="L983" s="5" t="s">
        <v>294</v>
      </c>
      <c r="M983" s="5" t="s">
        <v>295</v>
      </c>
      <c r="N983" s="5" t="s">
        <v>36</v>
      </c>
      <c r="O983" s="5">
        <v>1</v>
      </c>
      <c r="P983" s="5" t="s">
        <v>43</v>
      </c>
      <c r="Q983" s="5">
        <v>18.99</v>
      </c>
      <c r="R983" s="5"/>
      <c r="S983" s="5">
        <v>3.99</v>
      </c>
      <c r="T983" s="5"/>
      <c r="U983" s="5"/>
      <c r="V983" s="5"/>
      <c r="W983" s="5"/>
      <c r="X983" s="5"/>
      <c r="Y983" s="5" t="s">
        <v>4723</v>
      </c>
      <c r="Z983" s="5" t="s">
        <v>1300</v>
      </c>
      <c r="AA983" s="5" t="s">
        <v>4724</v>
      </c>
      <c r="AB983" s="5" t="s">
        <v>46</v>
      </c>
      <c r="AC983" s="5"/>
      <c r="AD983" s="5" t="b">
        <v>0</v>
      </c>
      <c r="AE983" s="5"/>
      <c r="AF983" s="5"/>
      <c r="AG983" s="9">
        <f t="shared" si="15"/>
        <v>43282</v>
      </c>
    </row>
    <row r="984" s="6" customFormat="1" spans="1:33">
      <c r="A984" s="5" t="s">
        <v>4725</v>
      </c>
      <c r="B984" s="5" t="s">
        <v>4725</v>
      </c>
      <c r="C984" s="5" t="s">
        <v>4726</v>
      </c>
      <c r="D984" s="5" t="s">
        <v>4727</v>
      </c>
      <c r="E984" s="5" t="s">
        <v>36</v>
      </c>
      <c r="F984" s="5" t="s">
        <v>37</v>
      </c>
      <c r="G984" s="5" t="s">
        <v>38</v>
      </c>
      <c r="H984" s="5"/>
      <c r="I984" s="5"/>
      <c r="J984" s="5" t="s">
        <v>39</v>
      </c>
      <c r="K984" s="5" t="s">
        <v>3645</v>
      </c>
      <c r="L984" s="5" t="s">
        <v>51</v>
      </c>
      <c r="M984" s="5" t="s">
        <v>52</v>
      </c>
      <c r="N984" s="5" t="s">
        <v>36</v>
      </c>
      <c r="O984" s="5">
        <v>1</v>
      </c>
      <c r="P984" s="5" t="s">
        <v>43</v>
      </c>
      <c r="Q984" s="5">
        <v>18.99</v>
      </c>
      <c r="R984" s="5"/>
      <c r="S984" s="5"/>
      <c r="T984" s="5"/>
      <c r="U984" s="5"/>
      <c r="V984" s="5"/>
      <c r="W984" s="5"/>
      <c r="X984" s="5"/>
      <c r="Y984" s="5" t="s">
        <v>4728</v>
      </c>
      <c r="Z984" s="5" t="s">
        <v>2876</v>
      </c>
      <c r="AA984" s="5">
        <v>10801</v>
      </c>
      <c r="AB984" s="5" t="s">
        <v>46</v>
      </c>
      <c r="AC984" s="5"/>
      <c r="AD984" s="5" t="b">
        <v>0</v>
      </c>
      <c r="AE984" s="5"/>
      <c r="AF984" s="5"/>
      <c r="AG984" s="9">
        <f t="shared" si="15"/>
        <v>43282</v>
      </c>
    </row>
    <row r="985" s="6" customFormat="1" spans="1:33">
      <c r="A985" s="5" t="s">
        <v>4729</v>
      </c>
      <c r="B985" s="5" t="s">
        <v>4729</v>
      </c>
      <c r="C985" s="5" t="s">
        <v>4730</v>
      </c>
      <c r="D985" s="5" t="s">
        <v>4731</v>
      </c>
      <c r="E985" s="5" t="s">
        <v>36</v>
      </c>
      <c r="F985" s="5" t="s">
        <v>37</v>
      </c>
      <c r="G985" s="5" t="s">
        <v>38</v>
      </c>
      <c r="H985" s="5"/>
      <c r="I985" s="5"/>
      <c r="J985" s="5" t="s">
        <v>39</v>
      </c>
      <c r="K985" s="5" t="s">
        <v>3668</v>
      </c>
      <c r="L985" s="5" t="s">
        <v>578</v>
      </c>
      <c r="M985" s="5" t="s">
        <v>572</v>
      </c>
      <c r="N985" s="5" t="s">
        <v>36</v>
      </c>
      <c r="O985" s="5">
        <v>1</v>
      </c>
      <c r="P985" s="5" t="s">
        <v>43</v>
      </c>
      <c r="Q985" s="5">
        <v>24.99</v>
      </c>
      <c r="R985" s="5"/>
      <c r="S985" s="5"/>
      <c r="T985" s="5"/>
      <c r="U985" s="5"/>
      <c r="V985" s="5"/>
      <c r="W985" s="5"/>
      <c r="X985" s="5"/>
      <c r="Y985" s="5" t="s">
        <v>4732</v>
      </c>
      <c r="Z985" s="5" t="s">
        <v>238</v>
      </c>
      <c r="AA985" s="5" t="s">
        <v>4733</v>
      </c>
      <c r="AB985" s="5" t="s">
        <v>46</v>
      </c>
      <c r="AC985" s="5"/>
      <c r="AD985" s="5" t="b">
        <v>0</v>
      </c>
      <c r="AE985" s="5"/>
      <c r="AF985" s="5"/>
      <c r="AG985" s="9">
        <f t="shared" si="15"/>
        <v>43282</v>
      </c>
    </row>
    <row r="986" s="6" customFormat="1" spans="1:33">
      <c r="A986" s="5" t="s">
        <v>4734</v>
      </c>
      <c r="B986" s="5" t="s">
        <v>4734</v>
      </c>
      <c r="C986" s="5" t="s">
        <v>4735</v>
      </c>
      <c r="D986" s="5" t="s">
        <v>4736</v>
      </c>
      <c r="E986" s="5" t="s">
        <v>36</v>
      </c>
      <c r="F986" s="5" t="s">
        <v>37</v>
      </c>
      <c r="G986" s="5" t="s">
        <v>38</v>
      </c>
      <c r="H986" s="5"/>
      <c r="I986" s="5"/>
      <c r="J986" s="5" t="s">
        <v>39</v>
      </c>
      <c r="K986" s="5" t="s">
        <v>3668</v>
      </c>
      <c r="L986" s="5" t="s">
        <v>571</v>
      </c>
      <c r="M986" s="5" t="s">
        <v>572</v>
      </c>
      <c r="N986" s="5" t="s">
        <v>36</v>
      </c>
      <c r="O986" s="5">
        <v>1</v>
      </c>
      <c r="P986" s="5" t="s">
        <v>43</v>
      </c>
      <c r="Q986" s="5">
        <v>25.99</v>
      </c>
      <c r="R986" s="5"/>
      <c r="S986" s="5"/>
      <c r="T986" s="5"/>
      <c r="U986" s="5"/>
      <c r="V986" s="5"/>
      <c r="W986" s="5"/>
      <c r="X986" s="5"/>
      <c r="Y986" s="5" t="s">
        <v>4737</v>
      </c>
      <c r="Z986" s="5" t="s">
        <v>391</v>
      </c>
      <c r="AA986" s="5" t="s">
        <v>4738</v>
      </c>
      <c r="AB986" s="5" t="s">
        <v>46</v>
      </c>
      <c r="AC986" s="5"/>
      <c r="AD986" s="5" t="b">
        <v>0</v>
      </c>
      <c r="AE986" s="5"/>
      <c r="AF986" s="5"/>
      <c r="AG986" s="9">
        <f t="shared" si="15"/>
        <v>43282</v>
      </c>
    </row>
    <row r="987" s="6" customFormat="1" spans="1:33">
      <c r="A987" s="5" t="s">
        <v>4739</v>
      </c>
      <c r="B987" s="5" t="s">
        <v>4739</v>
      </c>
      <c r="C987" s="5" t="s">
        <v>4740</v>
      </c>
      <c r="D987" s="5" t="s">
        <v>4741</v>
      </c>
      <c r="E987" s="5" t="s">
        <v>36</v>
      </c>
      <c r="F987" s="5" t="s">
        <v>37</v>
      </c>
      <c r="G987" s="5" t="s">
        <v>38</v>
      </c>
      <c r="H987" s="5"/>
      <c r="I987" s="5"/>
      <c r="J987" s="5" t="s">
        <v>39</v>
      </c>
      <c r="K987" s="5" t="s">
        <v>434</v>
      </c>
      <c r="L987" s="5" t="s">
        <v>435</v>
      </c>
      <c r="M987" s="5" t="s">
        <v>436</v>
      </c>
      <c r="N987" s="5" t="s">
        <v>36</v>
      </c>
      <c r="O987" s="5">
        <v>1</v>
      </c>
      <c r="P987" s="5" t="s">
        <v>43</v>
      </c>
      <c r="Q987" s="5">
        <v>13.99</v>
      </c>
      <c r="R987" s="5"/>
      <c r="S987" s="5"/>
      <c r="T987" s="5"/>
      <c r="U987" s="5"/>
      <c r="V987" s="5"/>
      <c r="W987" s="5"/>
      <c r="X987" s="5"/>
      <c r="Y987" s="5" t="s">
        <v>2494</v>
      </c>
      <c r="Z987" s="5" t="s">
        <v>170</v>
      </c>
      <c r="AA987" s="5" t="s">
        <v>4742</v>
      </c>
      <c r="AB987" s="5" t="s">
        <v>46</v>
      </c>
      <c r="AC987" s="5"/>
      <c r="AD987" s="5" t="b">
        <v>0</v>
      </c>
      <c r="AE987" s="5"/>
      <c r="AF987" s="5"/>
      <c r="AG987" s="9">
        <f t="shared" si="15"/>
        <v>43282</v>
      </c>
    </row>
    <row r="988" s="6" customFormat="1" spans="1:33">
      <c r="A988" s="5" t="s">
        <v>4743</v>
      </c>
      <c r="B988" s="5" t="s">
        <v>4743</v>
      </c>
      <c r="C988" s="5" t="s">
        <v>4744</v>
      </c>
      <c r="D988" s="5" t="s">
        <v>4745</v>
      </c>
      <c r="E988" s="5" t="s">
        <v>36</v>
      </c>
      <c r="F988" s="5" t="s">
        <v>37</v>
      </c>
      <c r="G988" s="5" t="s">
        <v>38</v>
      </c>
      <c r="H988" s="5"/>
      <c r="I988" s="5"/>
      <c r="J988" s="5" t="s">
        <v>39</v>
      </c>
      <c r="K988" s="5" t="s">
        <v>4552</v>
      </c>
      <c r="L988" s="5" t="s">
        <v>3245</v>
      </c>
      <c r="M988" s="5" t="s">
        <v>280</v>
      </c>
      <c r="N988" s="5" t="s">
        <v>36</v>
      </c>
      <c r="O988" s="5">
        <v>1</v>
      </c>
      <c r="P988" s="5" t="s">
        <v>43</v>
      </c>
      <c r="Q988" s="5">
        <v>24.99</v>
      </c>
      <c r="R988" s="5"/>
      <c r="S988" s="5"/>
      <c r="T988" s="5"/>
      <c r="U988" s="5"/>
      <c r="V988" s="5"/>
      <c r="W988" s="5"/>
      <c r="X988" s="5"/>
      <c r="Y988" s="5" t="s">
        <v>1990</v>
      </c>
      <c r="Z988" s="5" t="s">
        <v>4746</v>
      </c>
      <c r="AA988" s="5">
        <v>45211</v>
      </c>
      <c r="AB988" s="5" t="s">
        <v>46</v>
      </c>
      <c r="AC988" s="5"/>
      <c r="AD988" s="5" t="b">
        <v>0</v>
      </c>
      <c r="AE988" s="5"/>
      <c r="AF988" s="5"/>
      <c r="AG988" s="9">
        <f t="shared" si="15"/>
        <v>43282</v>
      </c>
    </row>
    <row r="989" s="6" customFormat="1" spans="1:33">
      <c r="A989" s="5" t="s">
        <v>4747</v>
      </c>
      <c r="B989" s="5" t="s">
        <v>4747</v>
      </c>
      <c r="C989" s="5" t="s">
        <v>4748</v>
      </c>
      <c r="D989" s="5" t="s">
        <v>4749</v>
      </c>
      <c r="E989" s="5" t="s">
        <v>36</v>
      </c>
      <c r="F989" s="5" t="s">
        <v>37</v>
      </c>
      <c r="G989" s="5" t="s">
        <v>38</v>
      </c>
      <c r="H989" s="5"/>
      <c r="I989" s="5"/>
      <c r="J989" s="5" t="s">
        <v>39</v>
      </c>
      <c r="K989" s="5" t="s">
        <v>3645</v>
      </c>
      <c r="L989" s="5" t="s">
        <v>51</v>
      </c>
      <c r="M989" s="5" t="s">
        <v>52</v>
      </c>
      <c r="N989" s="5" t="s">
        <v>36</v>
      </c>
      <c r="O989" s="5">
        <v>1</v>
      </c>
      <c r="P989" s="5" t="s">
        <v>43</v>
      </c>
      <c r="Q989" s="5">
        <v>18.99</v>
      </c>
      <c r="R989" s="5"/>
      <c r="S989" s="5"/>
      <c r="T989" s="5"/>
      <c r="U989" s="5"/>
      <c r="V989" s="5"/>
      <c r="W989" s="5"/>
      <c r="X989" s="5"/>
      <c r="Y989" s="5" t="s">
        <v>2840</v>
      </c>
      <c r="Z989" s="5" t="s">
        <v>923</v>
      </c>
      <c r="AA989" s="5" t="s">
        <v>4750</v>
      </c>
      <c r="AB989" s="5" t="s">
        <v>46</v>
      </c>
      <c r="AC989" s="5"/>
      <c r="AD989" s="5" t="b">
        <v>0</v>
      </c>
      <c r="AE989" s="5"/>
      <c r="AF989" s="5"/>
      <c r="AG989" s="9">
        <f t="shared" si="15"/>
        <v>43282</v>
      </c>
    </row>
    <row r="990" s="6" customFormat="1" spans="1:33">
      <c r="A990" s="5" t="s">
        <v>4751</v>
      </c>
      <c r="B990" s="5" t="s">
        <v>4751</v>
      </c>
      <c r="C990" s="5" t="s">
        <v>4752</v>
      </c>
      <c r="D990" s="5" t="s">
        <v>4753</v>
      </c>
      <c r="E990" s="5" t="s">
        <v>36</v>
      </c>
      <c r="F990" s="5" t="s">
        <v>37</v>
      </c>
      <c r="G990" s="5" t="s">
        <v>38</v>
      </c>
      <c r="H990" s="5"/>
      <c r="I990" s="5"/>
      <c r="J990" s="5" t="s">
        <v>39</v>
      </c>
      <c r="K990" s="5" t="s">
        <v>3714</v>
      </c>
      <c r="L990" s="5" t="s">
        <v>148</v>
      </c>
      <c r="M990" s="5" t="s">
        <v>149</v>
      </c>
      <c r="N990" s="5" t="s">
        <v>36</v>
      </c>
      <c r="O990" s="5">
        <v>1</v>
      </c>
      <c r="P990" s="5" t="s">
        <v>43</v>
      </c>
      <c r="Q990" s="5">
        <v>13.99</v>
      </c>
      <c r="R990" s="5">
        <v>1.44</v>
      </c>
      <c r="S990" s="5"/>
      <c r="T990" s="5"/>
      <c r="U990" s="5"/>
      <c r="V990" s="5"/>
      <c r="W990" s="5"/>
      <c r="X990" s="5"/>
      <c r="Y990" s="5" t="s">
        <v>4754</v>
      </c>
      <c r="Z990" s="5" t="s">
        <v>474</v>
      </c>
      <c r="AA990" s="5" t="s">
        <v>4755</v>
      </c>
      <c r="AB990" s="5" t="s">
        <v>46</v>
      </c>
      <c r="AC990" s="5"/>
      <c r="AD990" s="5" t="b">
        <v>0</v>
      </c>
      <c r="AE990" s="5"/>
      <c r="AF990" s="5"/>
      <c r="AG990" s="9">
        <f t="shared" si="15"/>
        <v>43282</v>
      </c>
    </row>
    <row r="991" s="6" customFormat="1" spans="1:33">
      <c r="A991" s="5" t="s">
        <v>4756</v>
      </c>
      <c r="B991" s="5" t="s">
        <v>4756</v>
      </c>
      <c r="C991" s="5" t="s">
        <v>4757</v>
      </c>
      <c r="D991" s="5" t="s">
        <v>4758</v>
      </c>
      <c r="E991" s="5" t="s">
        <v>36</v>
      </c>
      <c r="F991" s="5" t="s">
        <v>37</v>
      </c>
      <c r="G991" s="5" t="s">
        <v>38</v>
      </c>
      <c r="H991" s="5"/>
      <c r="I991" s="5"/>
      <c r="J991" s="5" t="s">
        <v>39</v>
      </c>
      <c r="K991" s="5" t="s">
        <v>409</v>
      </c>
      <c r="L991" s="5" t="s">
        <v>452</v>
      </c>
      <c r="M991" s="5" t="s">
        <v>453</v>
      </c>
      <c r="N991" s="5" t="s">
        <v>36</v>
      </c>
      <c r="O991" s="5">
        <v>1</v>
      </c>
      <c r="P991" s="5" t="s">
        <v>43</v>
      </c>
      <c r="Q991" s="5">
        <v>9.9</v>
      </c>
      <c r="R991" s="5"/>
      <c r="S991" s="5"/>
      <c r="T991" s="5"/>
      <c r="U991" s="5"/>
      <c r="V991" s="5"/>
      <c r="W991" s="5"/>
      <c r="X991" s="5"/>
      <c r="Y991" s="5" t="s">
        <v>315</v>
      </c>
      <c r="Z991" s="5" t="s">
        <v>87</v>
      </c>
      <c r="AA991" s="5" t="s">
        <v>4759</v>
      </c>
      <c r="AB991" s="5" t="s">
        <v>46</v>
      </c>
      <c r="AC991" s="5"/>
      <c r="AD991" s="5" t="b">
        <v>0</v>
      </c>
      <c r="AE991" s="5"/>
      <c r="AF991" s="5"/>
      <c r="AG991" s="9">
        <f t="shared" si="15"/>
        <v>43282</v>
      </c>
    </row>
    <row r="992" s="6" customFormat="1" spans="1:33">
      <c r="A992" s="5" t="s">
        <v>4760</v>
      </c>
      <c r="B992" s="5" t="s">
        <v>4760</v>
      </c>
      <c r="C992" s="5" t="s">
        <v>4761</v>
      </c>
      <c r="D992" s="5" t="s">
        <v>4762</v>
      </c>
      <c r="E992" s="5" t="s">
        <v>36</v>
      </c>
      <c r="F992" s="5" t="s">
        <v>37</v>
      </c>
      <c r="G992" s="5" t="s">
        <v>38</v>
      </c>
      <c r="H992" s="5"/>
      <c r="I992" s="5"/>
      <c r="J992" s="5" t="s">
        <v>128</v>
      </c>
      <c r="K992" s="5" t="s">
        <v>4038</v>
      </c>
      <c r="L992" s="5" t="s">
        <v>76</v>
      </c>
      <c r="M992" s="5" t="s">
        <v>77</v>
      </c>
      <c r="N992" s="5" t="s">
        <v>36</v>
      </c>
      <c r="O992" s="5">
        <v>1</v>
      </c>
      <c r="P992" s="5" t="s">
        <v>43</v>
      </c>
      <c r="Q992" s="5">
        <v>13.99</v>
      </c>
      <c r="R992" s="5"/>
      <c r="S992" s="5">
        <v>2</v>
      </c>
      <c r="T992" s="5"/>
      <c r="U992" s="5"/>
      <c r="V992" s="5"/>
      <c r="W992" s="5"/>
      <c r="X992" s="5">
        <v>2</v>
      </c>
      <c r="Y992" s="5" t="s">
        <v>437</v>
      </c>
      <c r="Z992" s="5" t="s">
        <v>151</v>
      </c>
      <c r="AA992" s="5" t="s">
        <v>4763</v>
      </c>
      <c r="AB992" s="5" t="s">
        <v>46</v>
      </c>
      <c r="AC992" s="5" t="s">
        <v>225</v>
      </c>
      <c r="AD992" s="5" t="b">
        <v>0</v>
      </c>
      <c r="AE992" s="5"/>
      <c r="AF992" s="5"/>
      <c r="AG992" s="9">
        <f t="shared" si="15"/>
        <v>43282</v>
      </c>
    </row>
    <row r="993" s="6" customFormat="1" spans="1:33">
      <c r="A993" s="5" t="s">
        <v>4764</v>
      </c>
      <c r="B993" s="5" t="s">
        <v>4764</v>
      </c>
      <c r="C993" s="5" t="s">
        <v>4765</v>
      </c>
      <c r="D993" s="5" t="s">
        <v>4766</v>
      </c>
      <c r="E993" s="5" t="s">
        <v>36</v>
      </c>
      <c r="F993" s="5" t="s">
        <v>37</v>
      </c>
      <c r="G993" s="5" t="s">
        <v>38</v>
      </c>
      <c r="H993" s="5"/>
      <c r="I993" s="5"/>
      <c r="J993" s="5" t="s">
        <v>39</v>
      </c>
      <c r="K993" s="5" t="s">
        <v>1661</v>
      </c>
      <c r="L993" s="5" t="s">
        <v>4767</v>
      </c>
      <c r="M993" s="5" t="s">
        <v>4768</v>
      </c>
      <c r="N993" s="5" t="s">
        <v>36</v>
      </c>
      <c r="O993" s="5">
        <v>2</v>
      </c>
      <c r="P993" s="5" t="s">
        <v>43</v>
      </c>
      <c r="Q993" s="5">
        <v>25.98</v>
      </c>
      <c r="R993" s="5"/>
      <c r="S993" s="5"/>
      <c r="T993" s="5"/>
      <c r="U993" s="5"/>
      <c r="V993" s="5"/>
      <c r="W993" s="5"/>
      <c r="X993" s="5"/>
      <c r="Y993" s="5" t="s">
        <v>4769</v>
      </c>
      <c r="Z993" s="5" t="s">
        <v>1070</v>
      </c>
      <c r="AA993" s="5" t="s">
        <v>4770</v>
      </c>
      <c r="AB993" s="5" t="s">
        <v>46</v>
      </c>
      <c r="AC993" s="5"/>
      <c r="AD993" s="5" t="b">
        <v>0</v>
      </c>
      <c r="AE993" s="5"/>
      <c r="AF993" s="5"/>
      <c r="AG993" s="9">
        <f t="shared" si="15"/>
        <v>43282</v>
      </c>
    </row>
    <row r="994" s="6" customFormat="1" spans="1:33">
      <c r="A994" s="5" t="s">
        <v>4771</v>
      </c>
      <c r="B994" s="5" t="s">
        <v>4771</v>
      </c>
      <c r="C994" s="5" t="s">
        <v>4772</v>
      </c>
      <c r="D994" s="5" t="s">
        <v>4773</v>
      </c>
      <c r="E994" s="5" t="s">
        <v>36</v>
      </c>
      <c r="F994" s="5" t="s">
        <v>37</v>
      </c>
      <c r="G994" s="5" t="s">
        <v>38</v>
      </c>
      <c r="H994" s="5"/>
      <c r="I994" s="5"/>
      <c r="J994" s="5" t="s">
        <v>39</v>
      </c>
      <c r="K994" s="5" t="s">
        <v>2973</v>
      </c>
      <c r="L994" s="5" t="s">
        <v>2974</v>
      </c>
      <c r="M994" s="5" t="s">
        <v>2975</v>
      </c>
      <c r="N994" s="5" t="s">
        <v>36</v>
      </c>
      <c r="O994" s="5">
        <v>1</v>
      </c>
      <c r="P994" s="5" t="s">
        <v>43</v>
      </c>
      <c r="Q994" s="5">
        <v>18.99</v>
      </c>
      <c r="R994" s="5">
        <v>1.64</v>
      </c>
      <c r="S994" s="5"/>
      <c r="T994" s="5"/>
      <c r="U994" s="5"/>
      <c r="V994" s="5"/>
      <c r="W994" s="5"/>
      <c r="X994" s="5"/>
      <c r="Y994" s="5" t="s">
        <v>4774</v>
      </c>
      <c r="Z994" s="5" t="s">
        <v>843</v>
      </c>
      <c r="AA994" s="5" t="s">
        <v>4775</v>
      </c>
      <c r="AB994" s="5" t="s">
        <v>46</v>
      </c>
      <c r="AC994" s="5"/>
      <c r="AD994" s="5" t="b">
        <v>0</v>
      </c>
      <c r="AE994" s="5"/>
      <c r="AF994" s="5"/>
      <c r="AG994" s="9">
        <f t="shared" si="15"/>
        <v>43282</v>
      </c>
    </row>
    <row r="995" s="6" customFormat="1" spans="1:33">
      <c r="A995" s="5" t="s">
        <v>4776</v>
      </c>
      <c r="B995" s="5" t="s">
        <v>4776</v>
      </c>
      <c r="C995" s="5" t="s">
        <v>4777</v>
      </c>
      <c r="D995" s="5" t="s">
        <v>4778</v>
      </c>
      <c r="E995" s="5" t="s">
        <v>36</v>
      </c>
      <c r="F995" s="5" t="s">
        <v>37</v>
      </c>
      <c r="G995" s="5" t="s">
        <v>38</v>
      </c>
      <c r="H995" s="5"/>
      <c r="I995" s="5"/>
      <c r="J995" s="5" t="s">
        <v>39</v>
      </c>
      <c r="K995" s="5" t="s">
        <v>4155</v>
      </c>
      <c r="L995" s="5" t="s">
        <v>111</v>
      </c>
      <c r="M995" s="5" t="s">
        <v>112</v>
      </c>
      <c r="N995" s="5" t="s">
        <v>36</v>
      </c>
      <c r="O995" s="5">
        <v>1</v>
      </c>
      <c r="P995" s="5" t="s">
        <v>43</v>
      </c>
      <c r="Q995" s="5">
        <v>13.99</v>
      </c>
      <c r="R995" s="5"/>
      <c r="S995" s="5"/>
      <c r="T995" s="5"/>
      <c r="U995" s="5"/>
      <c r="V995" s="5"/>
      <c r="W995" s="5"/>
      <c r="X995" s="5"/>
      <c r="Y995" s="5" t="s">
        <v>4779</v>
      </c>
      <c r="Z995" s="5" t="s">
        <v>4780</v>
      </c>
      <c r="AA995" s="5">
        <v>30101</v>
      </c>
      <c r="AB995" s="5" t="s">
        <v>46</v>
      </c>
      <c r="AC995" s="5"/>
      <c r="AD995" s="5" t="b">
        <v>0</v>
      </c>
      <c r="AE995" s="5"/>
      <c r="AF995" s="5"/>
      <c r="AG995" s="9">
        <f t="shared" si="15"/>
        <v>43282</v>
      </c>
    </row>
    <row r="996" s="6" customFormat="1" spans="1:33">
      <c r="A996" s="5" t="s">
        <v>4781</v>
      </c>
      <c r="B996" s="5" t="s">
        <v>4781</v>
      </c>
      <c r="C996" s="5" t="s">
        <v>4782</v>
      </c>
      <c r="D996" s="5" t="s">
        <v>4783</v>
      </c>
      <c r="E996" s="5" t="s">
        <v>36</v>
      </c>
      <c r="F996" s="5" t="s">
        <v>37</v>
      </c>
      <c r="G996" s="5" t="s">
        <v>38</v>
      </c>
      <c r="H996" s="5"/>
      <c r="I996" s="5"/>
      <c r="J996" s="5" t="s">
        <v>39</v>
      </c>
      <c r="K996" s="5" t="s">
        <v>3645</v>
      </c>
      <c r="L996" s="5" t="s">
        <v>51</v>
      </c>
      <c r="M996" s="5" t="s">
        <v>52</v>
      </c>
      <c r="N996" s="5" t="s">
        <v>36</v>
      </c>
      <c r="O996" s="5">
        <v>1</v>
      </c>
      <c r="P996" s="5" t="s">
        <v>43</v>
      </c>
      <c r="Q996" s="5">
        <v>18.99</v>
      </c>
      <c r="R996" s="5"/>
      <c r="S996" s="5"/>
      <c r="T996" s="5"/>
      <c r="U996" s="5"/>
      <c r="V996" s="5"/>
      <c r="W996" s="5"/>
      <c r="X996" s="5"/>
      <c r="Y996" s="5" t="s">
        <v>4784</v>
      </c>
      <c r="Z996" s="5" t="s">
        <v>142</v>
      </c>
      <c r="AA996" s="5">
        <v>33556</v>
      </c>
      <c r="AB996" s="5" t="s">
        <v>46</v>
      </c>
      <c r="AC996" s="5"/>
      <c r="AD996" s="5" t="b">
        <v>0</v>
      </c>
      <c r="AE996" s="5"/>
      <c r="AF996" s="5"/>
      <c r="AG996" s="9">
        <f t="shared" si="15"/>
        <v>43282</v>
      </c>
    </row>
    <row r="997" s="6" customFormat="1" spans="1:33">
      <c r="A997" s="5" t="s">
        <v>4785</v>
      </c>
      <c r="B997" s="5" t="s">
        <v>4785</v>
      </c>
      <c r="C997" s="5" t="s">
        <v>4786</v>
      </c>
      <c r="D997" s="5" t="s">
        <v>4787</v>
      </c>
      <c r="E997" s="5" t="s">
        <v>36</v>
      </c>
      <c r="F997" s="5" t="s">
        <v>37</v>
      </c>
      <c r="G997" s="5" t="s">
        <v>38</v>
      </c>
      <c r="H997" s="5"/>
      <c r="I997" s="5"/>
      <c r="J997" s="5" t="s">
        <v>39</v>
      </c>
      <c r="K997" s="5" t="s">
        <v>4155</v>
      </c>
      <c r="L997" s="5" t="s">
        <v>111</v>
      </c>
      <c r="M997" s="5" t="s">
        <v>112</v>
      </c>
      <c r="N997" s="5" t="s">
        <v>36</v>
      </c>
      <c r="O997" s="5">
        <v>1</v>
      </c>
      <c r="P997" s="5" t="s">
        <v>43</v>
      </c>
      <c r="Q997" s="5">
        <v>13.99</v>
      </c>
      <c r="R997" s="5"/>
      <c r="S997" s="5"/>
      <c r="T997" s="5"/>
      <c r="U997" s="5"/>
      <c r="V997" s="5"/>
      <c r="W997" s="5"/>
      <c r="X997" s="5"/>
      <c r="Y997" s="5" t="s">
        <v>4788</v>
      </c>
      <c r="Z997" s="5" t="s">
        <v>4789</v>
      </c>
      <c r="AA997" s="5">
        <v>89521</v>
      </c>
      <c r="AB997" s="5" t="s">
        <v>46</v>
      </c>
      <c r="AC997" s="5"/>
      <c r="AD997" s="5" t="b">
        <v>0</v>
      </c>
      <c r="AE997" s="5"/>
      <c r="AF997" s="5"/>
      <c r="AG997" s="9">
        <f t="shared" si="15"/>
        <v>43282</v>
      </c>
    </row>
    <row r="998" s="6" customFormat="1" spans="1:33">
      <c r="A998" s="5" t="s">
        <v>4790</v>
      </c>
      <c r="B998" s="5" t="s">
        <v>4790</v>
      </c>
      <c r="C998" s="5" t="s">
        <v>4791</v>
      </c>
      <c r="D998" s="5" t="s">
        <v>4792</v>
      </c>
      <c r="E998" s="5" t="s">
        <v>36</v>
      </c>
      <c r="F998" s="5" t="s">
        <v>37</v>
      </c>
      <c r="G998" s="5" t="s">
        <v>38</v>
      </c>
      <c r="H998" s="5"/>
      <c r="I998" s="5"/>
      <c r="J998" s="5" t="s">
        <v>39</v>
      </c>
      <c r="K998" s="5" t="s">
        <v>3668</v>
      </c>
      <c r="L998" s="5" t="s">
        <v>578</v>
      </c>
      <c r="M998" s="5" t="s">
        <v>572</v>
      </c>
      <c r="N998" s="5" t="s">
        <v>36</v>
      </c>
      <c r="O998" s="5">
        <v>1</v>
      </c>
      <c r="P998" s="5" t="s">
        <v>43</v>
      </c>
      <c r="Q998" s="5">
        <v>24.99</v>
      </c>
      <c r="R998" s="5"/>
      <c r="S998" s="5"/>
      <c r="T998" s="5"/>
      <c r="U998" s="5"/>
      <c r="V998" s="5"/>
      <c r="W998" s="5"/>
      <c r="X998" s="5"/>
      <c r="Y998" s="5" t="s">
        <v>437</v>
      </c>
      <c r="Z998" s="5" t="s">
        <v>151</v>
      </c>
      <c r="AA998" s="5" t="s">
        <v>4793</v>
      </c>
      <c r="AB998" s="5" t="s">
        <v>46</v>
      </c>
      <c r="AC998" s="5"/>
      <c r="AD998" s="5" t="b">
        <v>0</v>
      </c>
      <c r="AE998" s="5"/>
      <c r="AF998" s="5"/>
      <c r="AG998" s="9">
        <f t="shared" si="15"/>
        <v>43282</v>
      </c>
    </row>
    <row r="999" s="6" customFormat="1" spans="1:33">
      <c r="A999" s="5" t="s">
        <v>4794</v>
      </c>
      <c r="B999" s="5" t="s">
        <v>4794</v>
      </c>
      <c r="C999" s="5" t="s">
        <v>4795</v>
      </c>
      <c r="D999" s="5" t="s">
        <v>4796</v>
      </c>
      <c r="E999" s="5" t="s">
        <v>36</v>
      </c>
      <c r="F999" s="5" t="s">
        <v>37</v>
      </c>
      <c r="G999" s="5" t="s">
        <v>38</v>
      </c>
      <c r="H999" s="5"/>
      <c r="I999" s="5"/>
      <c r="J999" s="5" t="s">
        <v>39</v>
      </c>
      <c r="K999" s="5" t="s">
        <v>4155</v>
      </c>
      <c r="L999" s="5" t="s">
        <v>111</v>
      </c>
      <c r="M999" s="5" t="s">
        <v>112</v>
      </c>
      <c r="N999" s="5" t="s">
        <v>36</v>
      </c>
      <c r="O999" s="5">
        <v>1</v>
      </c>
      <c r="P999" s="5" t="s">
        <v>43</v>
      </c>
      <c r="Q999" s="5">
        <v>13.99</v>
      </c>
      <c r="R999" s="5"/>
      <c r="S999" s="5"/>
      <c r="T999" s="5"/>
      <c r="U999" s="5"/>
      <c r="V999" s="5"/>
      <c r="W999" s="5"/>
      <c r="X999" s="5"/>
      <c r="Y999" s="5" t="s">
        <v>3954</v>
      </c>
      <c r="Z999" s="5" t="s">
        <v>223</v>
      </c>
      <c r="AA999" s="5" t="s">
        <v>4797</v>
      </c>
      <c r="AB999" s="5" t="s">
        <v>46</v>
      </c>
      <c r="AC999" s="5"/>
      <c r="AD999" s="5" t="b">
        <v>0</v>
      </c>
      <c r="AE999" s="5"/>
      <c r="AF999" s="5"/>
      <c r="AG999" s="9">
        <f t="shared" si="15"/>
        <v>43282</v>
      </c>
    </row>
    <row r="1000" s="6" customFormat="1" spans="1:33">
      <c r="A1000" s="5" t="s">
        <v>4798</v>
      </c>
      <c r="B1000" s="5" t="s">
        <v>4798</v>
      </c>
      <c r="C1000" s="5" t="s">
        <v>4799</v>
      </c>
      <c r="D1000" s="5" t="s">
        <v>4800</v>
      </c>
      <c r="E1000" s="5" t="s">
        <v>36</v>
      </c>
      <c r="F1000" s="5" t="s">
        <v>37</v>
      </c>
      <c r="G1000" s="5" t="s">
        <v>38</v>
      </c>
      <c r="H1000" s="5"/>
      <c r="I1000" s="5"/>
      <c r="J1000" s="5" t="s">
        <v>39</v>
      </c>
      <c r="K1000" s="5" t="s">
        <v>641</v>
      </c>
      <c r="L1000" s="5" t="s">
        <v>4801</v>
      </c>
      <c r="M1000" s="5" t="s">
        <v>4802</v>
      </c>
      <c r="N1000" s="5" t="s">
        <v>36</v>
      </c>
      <c r="O1000" s="5">
        <v>1</v>
      </c>
      <c r="P1000" s="5" t="s">
        <v>43</v>
      </c>
      <c r="Q1000" s="5">
        <v>20</v>
      </c>
      <c r="R1000" s="5"/>
      <c r="S1000" s="5"/>
      <c r="T1000" s="5"/>
      <c r="U1000" s="5"/>
      <c r="V1000" s="5"/>
      <c r="W1000" s="5"/>
      <c r="X1000" s="5"/>
      <c r="Y1000" s="5" t="s">
        <v>817</v>
      </c>
      <c r="Z1000" s="5" t="s">
        <v>54</v>
      </c>
      <c r="AA1000" s="5" t="s">
        <v>4803</v>
      </c>
      <c r="AB1000" s="5" t="s">
        <v>46</v>
      </c>
      <c r="AC1000" s="5"/>
      <c r="AD1000" s="5" t="b">
        <v>0</v>
      </c>
      <c r="AE1000" s="5"/>
      <c r="AF1000" s="5"/>
      <c r="AG1000" s="9">
        <f t="shared" si="15"/>
        <v>43282</v>
      </c>
    </row>
    <row r="1001" s="6" customFormat="1" spans="1:33">
      <c r="A1001" s="5" t="s">
        <v>4804</v>
      </c>
      <c r="B1001" s="5" t="s">
        <v>4804</v>
      </c>
      <c r="C1001" s="5" t="s">
        <v>4805</v>
      </c>
      <c r="D1001" s="5" t="s">
        <v>4806</v>
      </c>
      <c r="E1001" s="5" t="s">
        <v>36</v>
      </c>
      <c r="F1001" s="5" t="s">
        <v>37</v>
      </c>
      <c r="G1001" s="5" t="s">
        <v>38</v>
      </c>
      <c r="H1001" s="5"/>
      <c r="I1001" s="5"/>
      <c r="J1001" s="5" t="s">
        <v>39</v>
      </c>
      <c r="K1001" s="5" t="s">
        <v>4038</v>
      </c>
      <c r="L1001" s="5" t="s">
        <v>76</v>
      </c>
      <c r="M1001" s="5" t="s">
        <v>77</v>
      </c>
      <c r="N1001" s="5" t="s">
        <v>36</v>
      </c>
      <c r="O1001" s="5">
        <v>1</v>
      </c>
      <c r="P1001" s="5" t="s">
        <v>43</v>
      </c>
      <c r="Q1001" s="5">
        <v>13.99</v>
      </c>
      <c r="R1001" s="5"/>
      <c r="S1001" s="5"/>
      <c r="T1001" s="5"/>
      <c r="U1001" s="5"/>
      <c r="V1001" s="5"/>
      <c r="W1001" s="5"/>
      <c r="X1001" s="5"/>
      <c r="Y1001" s="5" t="s">
        <v>955</v>
      </c>
      <c r="Z1001" s="5" t="s">
        <v>142</v>
      </c>
      <c r="AA1001" s="5" t="s">
        <v>4807</v>
      </c>
      <c r="AB1001" s="5" t="s">
        <v>46</v>
      </c>
      <c r="AC1001" s="5"/>
      <c r="AD1001" s="5" t="b">
        <v>0</v>
      </c>
      <c r="AE1001" s="5"/>
      <c r="AF1001" s="5"/>
      <c r="AG1001" s="9">
        <f t="shared" si="15"/>
        <v>43282</v>
      </c>
    </row>
    <row r="1002" s="6" customFormat="1" spans="1:33">
      <c r="A1002" s="5" t="s">
        <v>4808</v>
      </c>
      <c r="B1002" s="5" t="s">
        <v>4808</v>
      </c>
      <c r="C1002" s="5" t="s">
        <v>4809</v>
      </c>
      <c r="D1002" s="5" t="s">
        <v>4810</v>
      </c>
      <c r="E1002" s="5" t="s">
        <v>36</v>
      </c>
      <c r="F1002" s="5" t="s">
        <v>37</v>
      </c>
      <c r="G1002" s="5" t="s">
        <v>38</v>
      </c>
      <c r="H1002" s="5"/>
      <c r="I1002" s="5"/>
      <c r="J1002" s="5" t="s">
        <v>39</v>
      </c>
      <c r="K1002" s="5" t="s">
        <v>58</v>
      </c>
      <c r="L1002" s="5" t="s">
        <v>59</v>
      </c>
      <c r="M1002" s="5" t="s">
        <v>60</v>
      </c>
      <c r="N1002" s="5" t="s">
        <v>36</v>
      </c>
      <c r="O1002" s="5">
        <v>1</v>
      </c>
      <c r="P1002" s="5" t="s">
        <v>43</v>
      </c>
      <c r="Q1002" s="5">
        <v>13.99</v>
      </c>
      <c r="R1002" s="5"/>
      <c r="S1002" s="5"/>
      <c r="T1002" s="5"/>
      <c r="U1002" s="5"/>
      <c r="V1002" s="5"/>
      <c r="W1002" s="5"/>
      <c r="X1002" s="5"/>
      <c r="Y1002" s="5" t="s">
        <v>1316</v>
      </c>
      <c r="Z1002" s="5" t="s">
        <v>54</v>
      </c>
      <c r="AA1002" s="5" t="s">
        <v>4811</v>
      </c>
      <c r="AB1002" s="5" t="s">
        <v>46</v>
      </c>
      <c r="AC1002" s="5"/>
      <c r="AD1002" s="5" t="b">
        <v>0</v>
      </c>
      <c r="AE1002" s="5"/>
      <c r="AF1002" s="5"/>
      <c r="AG1002" s="9">
        <f t="shared" si="15"/>
        <v>43282</v>
      </c>
    </row>
    <row r="1003" s="6" customFormat="1" spans="1:33">
      <c r="A1003" s="5" t="s">
        <v>4812</v>
      </c>
      <c r="B1003" s="5" t="s">
        <v>4812</v>
      </c>
      <c r="C1003" s="5" t="s">
        <v>4813</v>
      </c>
      <c r="D1003" s="5" t="s">
        <v>4814</v>
      </c>
      <c r="E1003" s="5" t="s">
        <v>36</v>
      </c>
      <c r="F1003" s="5" t="s">
        <v>37</v>
      </c>
      <c r="G1003" s="5" t="s">
        <v>38</v>
      </c>
      <c r="H1003" s="5"/>
      <c r="I1003" s="5"/>
      <c r="J1003" s="5" t="s">
        <v>39</v>
      </c>
      <c r="K1003" s="5" t="s">
        <v>3752</v>
      </c>
      <c r="L1003" s="5" t="s">
        <v>244</v>
      </c>
      <c r="M1003" s="5" t="s">
        <v>245</v>
      </c>
      <c r="N1003" s="5" t="s">
        <v>36</v>
      </c>
      <c r="O1003" s="5">
        <v>1</v>
      </c>
      <c r="P1003" s="5" t="s">
        <v>43</v>
      </c>
      <c r="Q1003" s="5">
        <v>18.99</v>
      </c>
      <c r="R1003" s="5">
        <v>1.14</v>
      </c>
      <c r="S1003" s="5"/>
      <c r="T1003" s="5"/>
      <c r="U1003" s="5"/>
      <c r="V1003" s="5"/>
      <c r="W1003" s="5"/>
      <c r="X1003" s="5"/>
      <c r="Y1003" s="5" t="s">
        <v>4815</v>
      </c>
      <c r="Z1003" s="5" t="s">
        <v>1096</v>
      </c>
      <c r="AA1003" s="5" t="s">
        <v>4816</v>
      </c>
      <c r="AB1003" s="5" t="s">
        <v>46</v>
      </c>
      <c r="AC1003" s="5"/>
      <c r="AD1003" s="5" t="b">
        <v>0</v>
      </c>
      <c r="AE1003" s="5"/>
      <c r="AF1003" s="5"/>
      <c r="AG1003" s="9">
        <f t="shared" si="15"/>
        <v>43282</v>
      </c>
    </row>
    <row r="1004" s="6" customFormat="1" spans="1:33">
      <c r="A1004" s="5" t="s">
        <v>4817</v>
      </c>
      <c r="B1004" s="5" t="s">
        <v>4817</v>
      </c>
      <c r="C1004" s="5" t="s">
        <v>4818</v>
      </c>
      <c r="D1004" s="5" t="s">
        <v>4819</v>
      </c>
      <c r="E1004" s="5" t="s">
        <v>36</v>
      </c>
      <c r="F1004" s="5" t="s">
        <v>37</v>
      </c>
      <c r="G1004" s="5" t="s">
        <v>38</v>
      </c>
      <c r="H1004" s="5"/>
      <c r="I1004" s="5"/>
      <c r="J1004" s="5" t="s">
        <v>287</v>
      </c>
      <c r="K1004" s="5" t="s">
        <v>3668</v>
      </c>
      <c r="L1004" s="5" t="s">
        <v>578</v>
      </c>
      <c r="M1004" s="5" t="s">
        <v>572</v>
      </c>
      <c r="N1004" s="5" t="s">
        <v>36</v>
      </c>
      <c r="O1004" s="5">
        <v>1</v>
      </c>
      <c r="P1004" s="5" t="s">
        <v>43</v>
      </c>
      <c r="Q1004" s="5">
        <v>24.99</v>
      </c>
      <c r="R1004" s="5"/>
      <c r="S1004" s="5">
        <v>2.99</v>
      </c>
      <c r="T1004" s="5"/>
      <c r="U1004" s="5"/>
      <c r="V1004" s="5"/>
      <c r="W1004" s="5"/>
      <c r="X1004" s="5">
        <v>2.99</v>
      </c>
      <c r="Y1004" s="5" t="s">
        <v>669</v>
      </c>
      <c r="Z1004" s="5" t="s">
        <v>54</v>
      </c>
      <c r="AA1004" s="5" t="s">
        <v>4820</v>
      </c>
      <c r="AB1004" s="5" t="s">
        <v>46</v>
      </c>
      <c r="AC1004" s="5"/>
      <c r="AD1004" s="5" t="b">
        <v>0</v>
      </c>
      <c r="AE1004" s="5"/>
      <c r="AF1004" s="5"/>
      <c r="AG1004" s="9">
        <f t="shared" si="15"/>
        <v>43282</v>
      </c>
    </row>
    <row r="1005" s="6" customFormat="1" spans="1:33">
      <c r="A1005" s="5" t="s">
        <v>4821</v>
      </c>
      <c r="B1005" s="5" t="s">
        <v>4821</v>
      </c>
      <c r="C1005" s="5" t="s">
        <v>4822</v>
      </c>
      <c r="D1005" s="5" t="s">
        <v>4823</v>
      </c>
      <c r="E1005" s="5" t="s">
        <v>36</v>
      </c>
      <c r="F1005" s="5" t="s">
        <v>37</v>
      </c>
      <c r="G1005" s="5" t="s">
        <v>38</v>
      </c>
      <c r="H1005" s="5"/>
      <c r="I1005" s="5"/>
      <c r="J1005" s="5" t="s">
        <v>39</v>
      </c>
      <c r="K1005" s="5" t="s">
        <v>4085</v>
      </c>
      <c r="L1005" s="5" t="s">
        <v>102</v>
      </c>
      <c r="M1005" s="5" t="s">
        <v>103</v>
      </c>
      <c r="N1005" s="5" t="s">
        <v>36</v>
      </c>
      <c r="O1005" s="5">
        <v>1</v>
      </c>
      <c r="P1005" s="5" t="s">
        <v>43</v>
      </c>
      <c r="Q1005" s="5">
        <v>13.99</v>
      </c>
      <c r="R1005" s="5"/>
      <c r="S1005" s="5"/>
      <c r="T1005" s="5"/>
      <c r="U1005" s="5"/>
      <c r="V1005" s="5"/>
      <c r="W1005" s="5"/>
      <c r="X1005" s="5"/>
      <c r="Y1005" s="5" t="s">
        <v>2645</v>
      </c>
      <c r="Z1005" s="5" t="s">
        <v>377</v>
      </c>
      <c r="AA1005" s="5" t="s">
        <v>4824</v>
      </c>
      <c r="AB1005" s="5" t="s">
        <v>46</v>
      </c>
      <c r="AC1005" s="5"/>
      <c r="AD1005" s="5" t="b">
        <v>0</v>
      </c>
      <c r="AE1005" s="5"/>
      <c r="AF1005" s="5"/>
      <c r="AG1005" s="9">
        <f t="shared" si="15"/>
        <v>43282</v>
      </c>
    </row>
    <row r="1006" s="6" customFormat="1" spans="1:33">
      <c r="A1006" s="5" t="s">
        <v>4825</v>
      </c>
      <c r="B1006" s="5" t="s">
        <v>4825</v>
      </c>
      <c r="C1006" s="5" t="s">
        <v>4826</v>
      </c>
      <c r="D1006" s="5" t="s">
        <v>4827</v>
      </c>
      <c r="E1006" s="5" t="s">
        <v>36</v>
      </c>
      <c r="F1006" s="5" t="s">
        <v>37</v>
      </c>
      <c r="G1006" s="5" t="s">
        <v>38</v>
      </c>
      <c r="H1006" s="5"/>
      <c r="I1006" s="5"/>
      <c r="J1006" s="5" t="s">
        <v>39</v>
      </c>
      <c r="K1006" s="5" t="s">
        <v>3668</v>
      </c>
      <c r="L1006" s="5" t="s">
        <v>578</v>
      </c>
      <c r="M1006" s="5" t="s">
        <v>572</v>
      </c>
      <c r="N1006" s="5" t="s">
        <v>36</v>
      </c>
      <c r="O1006" s="5">
        <v>1</v>
      </c>
      <c r="P1006" s="5" t="s">
        <v>43</v>
      </c>
      <c r="Q1006" s="5">
        <v>24.99</v>
      </c>
      <c r="R1006" s="5"/>
      <c r="S1006" s="5"/>
      <c r="T1006" s="5"/>
      <c r="U1006" s="5"/>
      <c r="V1006" s="5"/>
      <c r="W1006" s="5"/>
      <c r="X1006" s="5"/>
      <c r="Y1006" s="5" t="s">
        <v>4828</v>
      </c>
      <c r="Z1006" s="5" t="s">
        <v>142</v>
      </c>
      <c r="AA1006" s="5" t="s">
        <v>4829</v>
      </c>
      <c r="AB1006" s="5" t="s">
        <v>46</v>
      </c>
      <c r="AC1006" s="5"/>
      <c r="AD1006" s="5" t="b">
        <v>0</v>
      </c>
      <c r="AE1006" s="5"/>
      <c r="AF1006" s="5"/>
      <c r="AG1006" s="9">
        <f t="shared" si="15"/>
        <v>43282</v>
      </c>
    </row>
    <row r="1007" s="6" customFormat="1" spans="1:33">
      <c r="A1007" s="5" t="s">
        <v>4830</v>
      </c>
      <c r="B1007" s="5" t="s">
        <v>4830</v>
      </c>
      <c r="C1007" s="5" t="s">
        <v>4831</v>
      </c>
      <c r="D1007" s="5" t="s">
        <v>4832</v>
      </c>
      <c r="E1007" s="5" t="s">
        <v>36</v>
      </c>
      <c r="F1007" s="5" t="s">
        <v>37</v>
      </c>
      <c r="G1007" s="5" t="s">
        <v>38</v>
      </c>
      <c r="H1007" s="5"/>
      <c r="I1007" s="5"/>
      <c r="J1007" s="5" t="s">
        <v>39</v>
      </c>
      <c r="K1007" s="5" t="s">
        <v>3668</v>
      </c>
      <c r="L1007" s="5" t="s">
        <v>578</v>
      </c>
      <c r="M1007" s="5" t="s">
        <v>572</v>
      </c>
      <c r="N1007" s="5" t="s">
        <v>36</v>
      </c>
      <c r="O1007" s="5">
        <v>1</v>
      </c>
      <c r="P1007" s="5" t="s">
        <v>43</v>
      </c>
      <c r="Q1007" s="5">
        <v>24.99</v>
      </c>
      <c r="R1007" s="5"/>
      <c r="S1007" s="5"/>
      <c r="T1007" s="5"/>
      <c r="U1007" s="5"/>
      <c r="V1007" s="5"/>
      <c r="W1007" s="5"/>
      <c r="X1007" s="5"/>
      <c r="Y1007" s="5" t="s">
        <v>4833</v>
      </c>
      <c r="Z1007" s="5" t="s">
        <v>151</v>
      </c>
      <c r="AA1007" s="5">
        <v>14120</v>
      </c>
      <c r="AB1007" s="5" t="s">
        <v>46</v>
      </c>
      <c r="AC1007" s="5"/>
      <c r="AD1007" s="5" t="b">
        <v>0</v>
      </c>
      <c r="AE1007" s="5"/>
      <c r="AF1007" s="5"/>
      <c r="AG1007" s="9">
        <f t="shared" si="15"/>
        <v>43282</v>
      </c>
    </row>
    <row r="1008" s="6" customFormat="1" spans="1:33">
      <c r="A1008" s="5" t="s">
        <v>4834</v>
      </c>
      <c r="B1008" s="5" t="s">
        <v>4834</v>
      </c>
      <c r="C1008" s="5" t="s">
        <v>4835</v>
      </c>
      <c r="D1008" s="5" t="s">
        <v>4836</v>
      </c>
      <c r="E1008" s="5" t="s">
        <v>36</v>
      </c>
      <c r="F1008" s="5" t="s">
        <v>37</v>
      </c>
      <c r="G1008" s="5" t="s">
        <v>38</v>
      </c>
      <c r="H1008" s="5"/>
      <c r="I1008" s="5"/>
      <c r="J1008" s="5" t="s">
        <v>39</v>
      </c>
      <c r="K1008" s="5" t="s">
        <v>4837</v>
      </c>
      <c r="L1008" s="5" t="s">
        <v>4838</v>
      </c>
      <c r="M1008" s="5" t="s">
        <v>4839</v>
      </c>
      <c r="N1008" s="5" t="s">
        <v>36</v>
      </c>
      <c r="O1008" s="5">
        <v>1</v>
      </c>
      <c r="P1008" s="5" t="s">
        <v>43</v>
      </c>
      <c r="Q1008" s="5">
        <v>12.98</v>
      </c>
      <c r="R1008" s="5"/>
      <c r="S1008" s="5"/>
      <c r="T1008" s="5"/>
      <c r="U1008" s="5"/>
      <c r="V1008" s="5"/>
      <c r="W1008" s="5"/>
      <c r="X1008" s="5"/>
      <c r="Y1008" s="5" t="s">
        <v>437</v>
      </c>
      <c r="Z1008" s="5" t="s">
        <v>151</v>
      </c>
      <c r="AA1008" s="5" t="s">
        <v>4840</v>
      </c>
      <c r="AB1008" s="5" t="s">
        <v>46</v>
      </c>
      <c r="AC1008" s="5"/>
      <c r="AD1008" s="5" t="b">
        <v>0</v>
      </c>
      <c r="AE1008" s="5"/>
      <c r="AF1008" s="5"/>
      <c r="AG1008" s="9">
        <f t="shared" si="15"/>
        <v>43282</v>
      </c>
    </row>
    <row r="1009" s="6" customFormat="1" spans="1:33">
      <c r="A1009" s="5" t="s">
        <v>4841</v>
      </c>
      <c r="B1009" s="5" t="s">
        <v>4841</v>
      </c>
      <c r="C1009" s="5" t="s">
        <v>4842</v>
      </c>
      <c r="D1009" s="5" t="s">
        <v>4843</v>
      </c>
      <c r="E1009" s="5" t="s">
        <v>36</v>
      </c>
      <c r="F1009" s="5" t="s">
        <v>37</v>
      </c>
      <c r="G1009" s="5" t="s">
        <v>38</v>
      </c>
      <c r="H1009" s="5"/>
      <c r="I1009" s="5"/>
      <c r="J1009" s="5" t="s">
        <v>39</v>
      </c>
      <c r="K1009" s="5" t="s">
        <v>3719</v>
      </c>
      <c r="L1009" s="5" t="s">
        <v>84</v>
      </c>
      <c r="M1009" s="5" t="s">
        <v>85</v>
      </c>
      <c r="N1009" s="5" t="s">
        <v>36</v>
      </c>
      <c r="O1009" s="5">
        <v>1</v>
      </c>
      <c r="P1009" s="5" t="s">
        <v>43</v>
      </c>
      <c r="Q1009" s="5">
        <v>12.99</v>
      </c>
      <c r="R1009" s="5"/>
      <c r="S1009" s="5"/>
      <c r="T1009" s="5"/>
      <c r="U1009" s="5"/>
      <c r="V1009" s="5"/>
      <c r="W1009" s="5"/>
      <c r="X1009" s="5"/>
      <c r="Y1009" s="5" t="s">
        <v>4844</v>
      </c>
      <c r="Z1009" s="5" t="s">
        <v>54</v>
      </c>
      <c r="AA1009" s="5" t="s">
        <v>4845</v>
      </c>
      <c r="AB1009" s="5" t="s">
        <v>46</v>
      </c>
      <c r="AC1009" s="5"/>
      <c r="AD1009" s="5" t="b">
        <v>0</v>
      </c>
      <c r="AE1009" s="5"/>
      <c r="AF1009" s="5"/>
      <c r="AG1009" s="9">
        <f t="shared" si="15"/>
        <v>43282</v>
      </c>
    </row>
    <row r="1010" s="6" customFormat="1" spans="1:33">
      <c r="A1010" s="5" t="s">
        <v>4846</v>
      </c>
      <c r="B1010" s="5" t="s">
        <v>4846</v>
      </c>
      <c r="C1010" s="5" t="s">
        <v>4847</v>
      </c>
      <c r="D1010" s="5" t="s">
        <v>4848</v>
      </c>
      <c r="E1010" s="5" t="s">
        <v>36</v>
      </c>
      <c r="F1010" s="5" t="s">
        <v>37</v>
      </c>
      <c r="G1010" s="5" t="s">
        <v>38</v>
      </c>
      <c r="H1010" s="5"/>
      <c r="I1010" s="5"/>
      <c r="J1010" s="5" t="s">
        <v>39</v>
      </c>
      <c r="K1010" s="5" t="s">
        <v>4849</v>
      </c>
      <c r="L1010" s="5" t="s">
        <v>4850</v>
      </c>
      <c r="M1010" s="5" t="s">
        <v>4851</v>
      </c>
      <c r="N1010" s="5" t="s">
        <v>36</v>
      </c>
      <c r="O1010" s="5">
        <v>1</v>
      </c>
      <c r="P1010" s="5" t="s">
        <v>43</v>
      </c>
      <c r="Q1010" s="5">
        <v>10</v>
      </c>
      <c r="R1010" s="5"/>
      <c r="S1010" s="5"/>
      <c r="T1010" s="5"/>
      <c r="U1010" s="5"/>
      <c r="V1010" s="5"/>
      <c r="W1010" s="5"/>
      <c r="X1010" s="5"/>
      <c r="Y1010" s="5" t="s">
        <v>1101</v>
      </c>
      <c r="Z1010" s="5" t="s">
        <v>377</v>
      </c>
      <c r="AA1010" s="5" t="s">
        <v>4852</v>
      </c>
      <c r="AB1010" s="5" t="s">
        <v>46</v>
      </c>
      <c r="AC1010" s="5"/>
      <c r="AD1010" s="5" t="b">
        <v>0</v>
      </c>
      <c r="AE1010" s="5"/>
      <c r="AF1010" s="5"/>
      <c r="AG1010" s="9">
        <f t="shared" si="15"/>
        <v>43282</v>
      </c>
    </row>
    <row r="1011" s="6" customFormat="1" spans="1:33">
      <c r="A1011" s="5" t="s">
        <v>4853</v>
      </c>
      <c r="B1011" s="5" t="s">
        <v>4853</v>
      </c>
      <c r="C1011" s="5" t="s">
        <v>4854</v>
      </c>
      <c r="D1011" s="5" t="s">
        <v>4855</v>
      </c>
      <c r="E1011" s="5" t="s">
        <v>36</v>
      </c>
      <c r="F1011" s="5" t="s">
        <v>37</v>
      </c>
      <c r="G1011" s="5" t="s">
        <v>38</v>
      </c>
      <c r="H1011" s="5"/>
      <c r="I1011" s="5"/>
      <c r="J1011" s="5" t="s">
        <v>39</v>
      </c>
      <c r="K1011" s="5" t="s">
        <v>209</v>
      </c>
      <c r="L1011" s="5" t="s">
        <v>210</v>
      </c>
      <c r="M1011" s="5" t="s">
        <v>211</v>
      </c>
      <c r="N1011" s="5" t="s">
        <v>36</v>
      </c>
      <c r="O1011" s="5">
        <v>1</v>
      </c>
      <c r="P1011" s="5" t="s">
        <v>43</v>
      </c>
      <c r="Q1011" s="5">
        <v>13.99</v>
      </c>
      <c r="R1011" s="5"/>
      <c r="S1011" s="5"/>
      <c r="T1011" s="5"/>
      <c r="U1011" s="5"/>
      <c r="V1011" s="5"/>
      <c r="W1011" s="5"/>
      <c r="X1011" s="5"/>
      <c r="Y1011" s="5" t="s">
        <v>707</v>
      </c>
      <c r="Z1011" s="5" t="s">
        <v>247</v>
      </c>
      <c r="AA1011" s="5" t="s">
        <v>4856</v>
      </c>
      <c r="AB1011" s="5" t="s">
        <v>46</v>
      </c>
      <c r="AC1011" s="5"/>
      <c r="AD1011" s="5" t="b">
        <v>0</v>
      </c>
      <c r="AE1011" s="5"/>
      <c r="AF1011" s="5"/>
      <c r="AG1011" s="9">
        <f t="shared" si="15"/>
        <v>43282</v>
      </c>
    </row>
    <row r="1012" s="6" customFormat="1" spans="1:33">
      <c r="A1012" s="5" t="s">
        <v>4857</v>
      </c>
      <c r="B1012" s="5" t="s">
        <v>4857</v>
      </c>
      <c r="C1012" s="5" t="s">
        <v>4858</v>
      </c>
      <c r="D1012" s="5" t="s">
        <v>4859</v>
      </c>
      <c r="E1012" s="5" t="s">
        <v>36</v>
      </c>
      <c r="F1012" s="5" t="s">
        <v>37</v>
      </c>
      <c r="G1012" s="5" t="s">
        <v>38</v>
      </c>
      <c r="H1012" s="5"/>
      <c r="I1012" s="5"/>
      <c r="J1012" s="5" t="s">
        <v>39</v>
      </c>
      <c r="K1012" s="5" t="s">
        <v>3645</v>
      </c>
      <c r="L1012" s="5" t="s">
        <v>51</v>
      </c>
      <c r="M1012" s="5" t="s">
        <v>52</v>
      </c>
      <c r="N1012" s="5" t="s">
        <v>36</v>
      </c>
      <c r="O1012" s="5">
        <v>1</v>
      </c>
      <c r="P1012" s="5" t="s">
        <v>43</v>
      </c>
      <c r="Q1012" s="5">
        <v>18.99</v>
      </c>
      <c r="R1012" s="5"/>
      <c r="S1012" s="5"/>
      <c r="T1012" s="5"/>
      <c r="U1012" s="5"/>
      <c r="V1012" s="5"/>
      <c r="W1012" s="5"/>
      <c r="X1012" s="5"/>
      <c r="Y1012" s="5" t="s">
        <v>4860</v>
      </c>
      <c r="Z1012" s="5" t="s">
        <v>170</v>
      </c>
      <c r="AA1012" s="5" t="s">
        <v>4861</v>
      </c>
      <c r="AB1012" s="5" t="s">
        <v>46</v>
      </c>
      <c r="AC1012" s="5"/>
      <c r="AD1012" s="5" t="b">
        <v>0</v>
      </c>
      <c r="AE1012" s="5"/>
      <c r="AF1012" s="5"/>
      <c r="AG1012" s="9">
        <f t="shared" si="15"/>
        <v>43282</v>
      </c>
    </row>
    <row r="1013" s="6" customFormat="1" spans="1:33">
      <c r="A1013" s="5" t="s">
        <v>4862</v>
      </c>
      <c r="B1013" s="5" t="s">
        <v>4862</v>
      </c>
      <c r="C1013" s="5" t="s">
        <v>4863</v>
      </c>
      <c r="D1013" s="5" t="s">
        <v>4864</v>
      </c>
      <c r="E1013" s="5" t="s">
        <v>36</v>
      </c>
      <c r="F1013" s="5" t="s">
        <v>37</v>
      </c>
      <c r="G1013" s="5" t="s">
        <v>38</v>
      </c>
      <c r="H1013" s="5"/>
      <c r="I1013" s="5"/>
      <c r="J1013" s="5" t="s">
        <v>39</v>
      </c>
      <c r="K1013" s="5" t="s">
        <v>3679</v>
      </c>
      <c r="L1013" s="5" t="s">
        <v>1292</v>
      </c>
      <c r="M1013" s="5" t="s">
        <v>1293</v>
      </c>
      <c r="N1013" s="5" t="s">
        <v>36</v>
      </c>
      <c r="O1013" s="5">
        <v>1</v>
      </c>
      <c r="P1013" s="5" t="s">
        <v>43</v>
      </c>
      <c r="Q1013" s="5">
        <v>12.99</v>
      </c>
      <c r="R1013" s="5">
        <v>1.23</v>
      </c>
      <c r="S1013" s="5"/>
      <c r="T1013" s="5"/>
      <c r="U1013" s="5"/>
      <c r="V1013" s="5"/>
      <c r="W1013" s="5"/>
      <c r="X1013" s="5"/>
      <c r="Y1013" s="5" t="s">
        <v>922</v>
      </c>
      <c r="Z1013" s="5" t="s">
        <v>843</v>
      </c>
      <c r="AA1013" s="5" t="s">
        <v>4865</v>
      </c>
      <c r="AB1013" s="5" t="s">
        <v>46</v>
      </c>
      <c r="AC1013" s="5"/>
      <c r="AD1013" s="5" t="b">
        <v>0</v>
      </c>
      <c r="AE1013" s="5"/>
      <c r="AF1013" s="5"/>
      <c r="AG1013" s="9">
        <f t="shared" si="15"/>
        <v>43282</v>
      </c>
    </row>
    <row r="1014" s="6" customFormat="1" spans="1:33">
      <c r="A1014" s="5" t="s">
        <v>4866</v>
      </c>
      <c r="B1014" s="5" t="s">
        <v>4866</v>
      </c>
      <c r="C1014" s="5" t="s">
        <v>4867</v>
      </c>
      <c r="D1014" s="5" t="s">
        <v>4868</v>
      </c>
      <c r="E1014" s="5" t="s">
        <v>36</v>
      </c>
      <c r="F1014" s="5" t="s">
        <v>37</v>
      </c>
      <c r="G1014" s="5" t="s">
        <v>38</v>
      </c>
      <c r="H1014" s="5"/>
      <c r="I1014" s="5"/>
      <c r="J1014" s="5" t="s">
        <v>39</v>
      </c>
      <c r="K1014" s="5" t="s">
        <v>3923</v>
      </c>
      <c r="L1014" s="5" t="s">
        <v>2578</v>
      </c>
      <c r="M1014" s="5" t="s">
        <v>314</v>
      </c>
      <c r="N1014" s="5" t="s">
        <v>36</v>
      </c>
      <c r="O1014" s="5">
        <v>1</v>
      </c>
      <c r="P1014" s="5" t="s">
        <v>43</v>
      </c>
      <c r="Q1014" s="5">
        <v>23.99</v>
      </c>
      <c r="R1014" s="5">
        <v>1.44</v>
      </c>
      <c r="S1014" s="5"/>
      <c r="T1014" s="5"/>
      <c r="U1014" s="5"/>
      <c r="V1014" s="5"/>
      <c r="W1014" s="5"/>
      <c r="X1014" s="5"/>
      <c r="Y1014" s="5" t="s">
        <v>4869</v>
      </c>
      <c r="Z1014" s="5" t="s">
        <v>255</v>
      </c>
      <c r="AA1014" s="5" t="s">
        <v>4870</v>
      </c>
      <c r="AB1014" s="5" t="s">
        <v>46</v>
      </c>
      <c r="AC1014" s="5"/>
      <c r="AD1014" s="5" t="b">
        <v>0</v>
      </c>
      <c r="AE1014" s="5"/>
      <c r="AF1014" s="5"/>
      <c r="AG1014" s="9">
        <f t="shared" si="15"/>
        <v>43282</v>
      </c>
    </row>
    <row r="1015" s="6" customFormat="1" spans="1:33">
      <c r="A1015" s="5" t="s">
        <v>4871</v>
      </c>
      <c r="B1015" s="5" t="s">
        <v>4871</v>
      </c>
      <c r="C1015" s="5" t="s">
        <v>4872</v>
      </c>
      <c r="D1015" s="5" t="s">
        <v>4873</v>
      </c>
      <c r="E1015" s="5" t="s">
        <v>36</v>
      </c>
      <c r="F1015" s="5" t="s">
        <v>37</v>
      </c>
      <c r="G1015" s="5" t="s">
        <v>38</v>
      </c>
      <c r="H1015" s="5"/>
      <c r="I1015" s="5"/>
      <c r="J1015" s="5" t="s">
        <v>39</v>
      </c>
      <c r="K1015" s="5" t="s">
        <v>3752</v>
      </c>
      <c r="L1015" s="5" t="s">
        <v>244</v>
      </c>
      <c r="M1015" s="5" t="s">
        <v>245</v>
      </c>
      <c r="N1015" s="5" t="s">
        <v>36</v>
      </c>
      <c r="O1015" s="5">
        <v>1</v>
      </c>
      <c r="P1015" s="5" t="s">
        <v>43</v>
      </c>
      <c r="Q1015" s="5">
        <v>18.99</v>
      </c>
      <c r="R1015" s="5"/>
      <c r="S1015" s="5"/>
      <c r="T1015" s="5"/>
      <c r="U1015" s="5"/>
      <c r="V1015" s="5"/>
      <c r="W1015" s="5"/>
      <c r="X1015" s="5"/>
      <c r="Y1015" s="5" t="s">
        <v>4874</v>
      </c>
      <c r="Z1015" s="5" t="s">
        <v>618</v>
      </c>
      <c r="AA1015" s="5">
        <v>49091</v>
      </c>
      <c r="AB1015" s="5" t="s">
        <v>46</v>
      </c>
      <c r="AC1015" s="5"/>
      <c r="AD1015" s="5" t="b">
        <v>0</v>
      </c>
      <c r="AE1015" s="5"/>
      <c r="AF1015" s="5"/>
      <c r="AG1015" s="9">
        <f t="shared" si="15"/>
        <v>43282</v>
      </c>
    </row>
    <row r="1016" s="6" customFormat="1" spans="1:33">
      <c r="A1016" s="5" t="s">
        <v>4875</v>
      </c>
      <c r="B1016" s="5" t="s">
        <v>4875</v>
      </c>
      <c r="C1016" s="5" t="s">
        <v>4876</v>
      </c>
      <c r="D1016" s="5" t="s">
        <v>4877</v>
      </c>
      <c r="E1016" s="5" t="s">
        <v>36</v>
      </c>
      <c r="F1016" s="5" t="s">
        <v>37</v>
      </c>
      <c r="G1016" s="5" t="s">
        <v>38</v>
      </c>
      <c r="H1016" s="5"/>
      <c r="I1016" s="5"/>
      <c r="J1016" s="5" t="s">
        <v>39</v>
      </c>
      <c r="K1016" s="5" t="s">
        <v>3645</v>
      </c>
      <c r="L1016" s="5" t="s">
        <v>51</v>
      </c>
      <c r="M1016" s="5" t="s">
        <v>52</v>
      </c>
      <c r="N1016" s="5" t="s">
        <v>36</v>
      </c>
      <c r="O1016" s="5">
        <v>1</v>
      </c>
      <c r="P1016" s="5" t="s">
        <v>43</v>
      </c>
      <c r="Q1016" s="5">
        <v>18.99</v>
      </c>
      <c r="R1016" s="5"/>
      <c r="S1016" s="5"/>
      <c r="T1016" s="5"/>
      <c r="U1016" s="5"/>
      <c r="V1016" s="5"/>
      <c r="W1016" s="5"/>
      <c r="X1016" s="5"/>
      <c r="Y1016" s="5" t="s">
        <v>4878</v>
      </c>
      <c r="Z1016" s="5" t="s">
        <v>183</v>
      </c>
      <c r="AA1016" s="5" t="s">
        <v>4879</v>
      </c>
      <c r="AB1016" s="5" t="s">
        <v>46</v>
      </c>
      <c r="AC1016" s="5"/>
      <c r="AD1016" s="5" t="b">
        <v>0</v>
      </c>
      <c r="AE1016" s="5"/>
      <c r="AF1016" s="5"/>
      <c r="AG1016" s="9">
        <f t="shared" si="15"/>
        <v>43282</v>
      </c>
    </row>
    <row r="1017" s="6" customFormat="1" spans="1:33">
      <c r="A1017" s="5" t="s">
        <v>4880</v>
      </c>
      <c r="B1017" s="5" t="s">
        <v>4880</v>
      </c>
      <c r="C1017" s="5" t="s">
        <v>4881</v>
      </c>
      <c r="D1017" s="5" t="s">
        <v>4882</v>
      </c>
      <c r="E1017" s="5" t="s">
        <v>36</v>
      </c>
      <c r="F1017" s="5" t="s">
        <v>37</v>
      </c>
      <c r="G1017" s="5" t="s">
        <v>38</v>
      </c>
      <c r="H1017" s="5"/>
      <c r="I1017" s="5"/>
      <c r="J1017" s="5" t="s">
        <v>39</v>
      </c>
      <c r="K1017" s="5" t="s">
        <v>409</v>
      </c>
      <c r="L1017" s="5" t="s">
        <v>1122</v>
      </c>
      <c r="M1017" s="5" t="s">
        <v>1123</v>
      </c>
      <c r="N1017" s="5" t="s">
        <v>36</v>
      </c>
      <c r="O1017" s="5">
        <v>1</v>
      </c>
      <c r="P1017" s="5" t="s">
        <v>43</v>
      </c>
      <c r="Q1017" s="5">
        <v>9.9</v>
      </c>
      <c r="R1017" s="5"/>
      <c r="S1017" s="5"/>
      <c r="T1017" s="5"/>
      <c r="U1017" s="5"/>
      <c r="V1017" s="5"/>
      <c r="W1017" s="5"/>
      <c r="X1017" s="5"/>
      <c r="Y1017" s="5" t="s">
        <v>4883</v>
      </c>
      <c r="Z1017" s="5" t="s">
        <v>247</v>
      </c>
      <c r="AA1017" s="5" t="s">
        <v>4884</v>
      </c>
      <c r="AB1017" s="5" t="s">
        <v>46</v>
      </c>
      <c r="AC1017" s="5"/>
      <c r="AD1017" s="5" t="b">
        <v>0</v>
      </c>
      <c r="AE1017" s="5"/>
      <c r="AF1017" s="5"/>
      <c r="AG1017" s="9">
        <f t="shared" si="15"/>
        <v>43282</v>
      </c>
    </row>
    <row r="1018" s="6" customFormat="1" spans="1:33">
      <c r="A1018" s="5" t="s">
        <v>4885</v>
      </c>
      <c r="B1018" s="5" t="s">
        <v>4885</v>
      </c>
      <c r="C1018" s="5" t="s">
        <v>4886</v>
      </c>
      <c r="D1018" s="5" t="s">
        <v>4887</v>
      </c>
      <c r="E1018" s="5" t="s">
        <v>36</v>
      </c>
      <c r="F1018" s="5" t="s">
        <v>37</v>
      </c>
      <c r="G1018" s="5" t="s">
        <v>38</v>
      </c>
      <c r="H1018" s="5"/>
      <c r="I1018" s="5"/>
      <c r="J1018" s="5" t="s">
        <v>39</v>
      </c>
      <c r="K1018" s="5" t="s">
        <v>4307</v>
      </c>
      <c r="L1018" s="5" t="s">
        <v>261</v>
      </c>
      <c r="M1018" s="5" t="s">
        <v>262</v>
      </c>
      <c r="N1018" s="5" t="s">
        <v>36</v>
      </c>
      <c r="O1018" s="5">
        <v>1</v>
      </c>
      <c r="P1018" s="5" t="s">
        <v>43</v>
      </c>
      <c r="Q1018" s="5">
        <v>18.99</v>
      </c>
      <c r="R1018" s="5"/>
      <c r="S1018" s="5"/>
      <c r="T1018" s="5"/>
      <c r="U1018" s="5"/>
      <c r="V1018" s="5"/>
      <c r="W1018" s="5"/>
      <c r="X1018" s="5"/>
      <c r="Y1018" s="5" t="s">
        <v>4888</v>
      </c>
      <c r="Z1018" s="5" t="s">
        <v>307</v>
      </c>
      <c r="AA1018" s="5" t="s">
        <v>4889</v>
      </c>
      <c r="AB1018" s="5" t="s">
        <v>46</v>
      </c>
      <c r="AC1018" s="5"/>
      <c r="AD1018" s="5" t="b">
        <v>0</v>
      </c>
      <c r="AE1018" s="5"/>
      <c r="AF1018" s="5"/>
      <c r="AG1018" s="9">
        <f t="shared" si="15"/>
        <v>43282</v>
      </c>
    </row>
    <row r="1019" s="6" customFormat="1" spans="1:33">
      <c r="A1019" s="5" t="s">
        <v>4890</v>
      </c>
      <c r="B1019" s="5" t="s">
        <v>4890</v>
      </c>
      <c r="C1019" s="5" t="s">
        <v>4891</v>
      </c>
      <c r="D1019" s="5" t="s">
        <v>4892</v>
      </c>
      <c r="E1019" s="5" t="s">
        <v>36</v>
      </c>
      <c r="F1019" s="5" t="s">
        <v>37</v>
      </c>
      <c r="G1019" s="5" t="s">
        <v>38</v>
      </c>
      <c r="H1019" s="5"/>
      <c r="I1019" s="5"/>
      <c r="J1019" s="5" t="s">
        <v>39</v>
      </c>
      <c r="K1019" s="5" t="s">
        <v>58</v>
      </c>
      <c r="L1019" s="5" t="s">
        <v>59</v>
      </c>
      <c r="M1019" s="5" t="s">
        <v>60</v>
      </c>
      <c r="N1019" s="5" t="s">
        <v>36</v>
      </c>
      <c r="O1019" s="5">
        <v>1</v>
      </c>
      <c r="P1019" s="5" t="s">
        <v>43</v>
      </c>
      <c r="Q1019" s="5">
        <v>13.99</v>
      </c>
      <c r="R1019" s="5"/>
      <c r="S1019" s="5"/>
      <c r="T1019" s="5"/>
      <c r="U1019" s="5"/>
      <c r="V1019" s="5"/>
      <c r="W1019" s="5"/>
      <c r="X1019" s="5"/>
      <c r="Y1019" s="5" t="s">
        <v>1496</v>
      </c>
      <c r="Z1019" s="5" t="s">
        <v>142</v>
      </c>
      <c r="AA1019" s="5" t="s">
        <v>4893</v>
      </c>
      <c r="AB1019" s="5" t="s">
        <v>46</v>
      </c>
      <c r="AC1019" s="5"/>
      <c r="AD1019" s="5" t="b">
        <v>0</v>
      </c>
      <c r="AE1019" s="5"/>
      <c r="AF1019" s="5"/>
      <c r="AG1019" s="9">
        <f t="shared" si="15"/>
        <v>43282</v>
      </c>
    </row>
    <row r="1020" s="6" customFormat="1" spans="1:33">
      <c r="A1020" s="5" t="s">
        <v>4894</v>
      </c>
      <c r="B1020" s="5" t="s">
        <v>4894</v>
      </c>
      <c r="C1020" s="5" t="s">
        <v>4895</v>
      </c>
      <c r="D1020" s="5" t="s">
        <v>4896</v>
      </c>
      <c r="E1020" s="5" t="s">
        <v>36</v>
      </c>
      <c r="F1020" s="5" t="s">
        <v>37</v>
      </c>
      <c r="G1020" s="5" t="s">
        <v>38</v>
      </c>
      <c r="H1020" s="5"/>
      <c r="I1020" s="5"/>
      <c r="J1020" s="5" t="s">
        <v>39</v>
      </c>
      <c r="K1020" s="5" t="s">
        <v>3719</v>
      </c>
      <c r="L1020" s="5" t="s">
        <v>84</v>
      </c>
      <c r="M1020" s="5" t="s">
        <v>85</v>
      </c>
      <c r="N1020" s="5" t="s">
        <v>36</v>
      </c>
      <c r="O1020" s="5">
        <v>1</v>
      </c>
      <c r="P1020" s="5" t="s">
        <v>43</v>
      </c>
      <c r="Q1020" s="5">
        <v>12.99</v>
      </c>
      <c r="R1020" s="5"/>
      <c r="S1020" s="5"/>
      <c r="T1020" s="5"/>
      <c r="U1020" s="5"/>
      <c r="V1020" s="5"/>
      <c r="W1020" s="5"/>
      <c r="X1020" s="5"/>
      <c r="Y1020" s="5" t="s">
        <v>4897</v>
      </c>
      <c r="Z1020" s="5" t="s">
        <v>4898</v>
      </c>
      <c r="AA1020" s="5">
        <v>28078</v>
      </c>
      <c r="AB1020" s="5" t="s">
        <v>46</v>
      </c>
      <c r="AC1020" s="5"/>
      <c r="AD1020" s="5" t="b">
        <v>0</v>
      </c>
      <c r="AE1020" s="5"/>
      <c r="AF1020" s="5"/>
      <c r="AG1020" s="9">
        <f t="shared" si="15"/>
        <v>43282</v>
      </c>
    </row>
    <row r="1021" s="6" customFormat="1" spans="1:33">
      <c r="A1021" s="5" t="s">
        <v>4899</v>
      </c>
      <c r="B1021" s="5" t="s">
        <v>4899</v>
      </c>
      <c r="C1021" s="5" t="s">
        <v>4900</v>
      </c>
      <c r="D1021" s="5" t="s">
        <v>4901</v>
      </c>
      <c r="E1021" s="5" t="s">
        <v>36</v>
      </c>
      <c r="F1021" s="5" t="s">
        <v>37</v>
      </c>
      <c r="G1021" s="5" t="s">
        <v>38</v>
      </c>
      <c r="H1021" s="5"/>
      <c r="I1021" s="5"/>
      <c r="J1021" s="5" t="s">
        <v>39</v>
      </c>
      <c r="K1021" s="5" t="s">
        <v>3714</v>
      </c>
      <c r="L1021" s="5" t="s">
        <v>148</v>
      </c>
      <c r="M1021" s="5" t="s">
        <v>149</v>
      </c>
      <c r="N1021" s="5" t="s">
        <v>36</v>
      </c>
      <c r="O1021" s="5">
        <v>1</v>
      </c>
      <c r="P1021" s="5" t="s">
        <v>43</v>
      </c>
      <c r="Q1021" s="5">
        <v>13.99</v>
      </c>
      <c r="R1021" s="5"/>
      <c r="S1021" s="5"/>
      <c r="T1021" s="5"/>
      <c r="U1021" s="5"/>
      <c r="V1021" s="5"/>
      <c r="W1021" s="5"/>
      <c r="X1021" s="5"/>
      <c r="Y1021" s="5" t="s">
        <v>4902</v>
      </c>
      <c r="Z1021" s="5" t="s">
        <v>649</v>
      </c>
      <c r="AA1021" s="5" t="s">
        <v>4903</v>
      </c>
      <c r="AB1021" s="5" t="s">
        <v>46</v>
      </c>
      <c r="AC1021" s="5"/>
      <c r="AD1021" s="5" t="b">
        <v>0</v>
      </c>
      <c r="AE1021" s="5"/>
      <c r="AF1021" s="5"/>
      <c r="AG1021" s="9">
        <f t="shared" si="15"/>
        <v>43282</v>
      </c>
    </row>
    <row r="1022" s="6" customFormat="1" spans="1:33">
      <c r="A1022" s="5" t="s">
        <v>4904</v>
      </c>
      <c r="B1022" s="5" t="s">
        <v>4904</v>
      </c>
      <c r="C1022" s="5" t="s">
        <v>4905</v>
      </c>
      <c r="D1022" s="5" t="s">
        <v>4906</v>
      </c>
      <c r="E1022" s="5" t="s">
        <v>36</v>
      </c>
      <c r="F1022" s="5" t="s">
        <v>37</v>
      </c>
      <c r="G1022" s="5" t="s">
        <v>38</v>
      </c>
      <c r="H1022" s="5"/>
      <c r="I1022" s="5"/>
      <c r="J1022" s="5" t="s">
        <v>39</v>
      </c>
      <c r="K1022" s="5" t="s">
        <v>345</v>
      </c>
      <c r="L1022" s="5" t="s">
        <v>346</v>
      </c>
      <c r="M1022" s="5" t="s">
        <v>347</v>
      </c>
      <c r="N1022" s="5" t="s">
        <v>36</v>
      </c>
      <c r="O1022" s="5">
        <v>1</v>
      </c>
      <c r="P1022" s="5" t="s">
        <v>43</v>
      </c>
      <c r="Q1022" s="5">
        <v>17.98</v>
      </c>
      <c r="R1022" s="5"/>
      <c r="S1022" s="5"/>
      <c r="T1022" s="5"/>
      <c r="U1022" s="5"/>
      <c r="V1022" s="5"/>
      <c r="W1022" s="5"/>
      <c r="X1022" s="5"/>
      <c r="Y1022" s="5" t="s">
        <v>4907</v>
      </c>
      <c r="Z1022" s="5" t="s">
        <v>96</v>
      </c>
      <c r="AA1022" s="5" t="s">
        <v>4908</v>
      </c>
      <c r="AB1022" s="5" t="s">
        <v>46</v>
      </c>
      <c r="AC1022" s="5"/>
      <c r="AD1022" s="5" t="b">
        <v>0</v>
      </c>
      <c r="AE1022" s="5"/>
      <c r="AF1022" s="5"/>
      <c r="AG1022" s="9">
        <f t="shared" si="15"/>
        <v>43282</v>
      </c>
    </row>
    <row r="1023" s="6" customFormat="1" spans="1:33">
      <c r="A1023" s="5" t="s">
        <v>4909</v>
      </c>
      <c r="B1023" s="5" t="s">
        <v>4909</v>
      </c>
      <c r="C1023" s="5" t="s">
        <v>4910</v>
      </c>
      <c r="D1023" s="5" t="s">
        <v>4911</v>
      </c>
      <c r="E1023" s="5" t="s">
        <v>36</v>
      </c>
      <c r="F1023" s="5" t="s">
        <v>37</v>
      </c>
      <c r="G1023" s="5" t="s">
        <v>38</v>
      </c>
      <c r="H1023" s="5"/>
      <c r="I1023" s="5"/>
      <c r="J1023" s="5" t="s">
        <v>39</v>
      </c>
      <c r="K1023" s="5" t="s">
        <v>4142</v>
      </c>
      <c r="L1023" s="5" t="s">
        <v>4143</v>
      </c>
      <c r="M1023" s="5" t="s">
        <v>4144</v>
      </c>
      <c r="N1023" s="5" t="s">
        <v>36</v>
      </c>
      <c r="O1023" s="5">
        <v>1</v>
      </c>
      <c r="P1023" s="5" t="s">
        <v>43</v>
      </c>
      <c r="Q1023" s="5">
        <v>10</v>
      </c>
      <c r="R1023" s="5"/>
      <c r="S1023" s="5"/>
      <c r="T1023" s="5"/>
      <c r="U1023" s="5"/>
      <c r="V1023" s="5"/>
      <c r="W1023" s="5"/>
      <c r="X1023" s="5"/>
      <c r="Y1023" s="5" t="s">
        <v>3119</v>
      </c>
      <c r="Z1023" s="5" t="s">
        <v>282</v>
      </c>
      <c r="AA1023" s="5" t="s">
        <v>4912</v>
      </c>
      <c r="AB1023" s="5" t="s">
        <v>46</v>
      </c>
      <c r="AC1023" s="5"/>
      <c r="AD1023" s="5" t="b">
        <v>0</v>
      </c>
      <c r="AE1023" s="5"/>
      <c r="AF1023" s="5"/>
      <c r="AG1023" s="9">
        <f t="shared" si="15"/>
        <v>43282</v>
      </c>
    </row>
    <row r="1024" s="6" customFormat="1" spans="1:33">
      <c r="A1024" s="5" t="s">
        <v>4913</v>
      </c>
      <c r="B1024" s="5" t="s">
        <v>4913</v>
      </c>
      <c r="C1024" s="5" t="s">
        <v>4914</v>
      </c>
      <c r="D1024" s="5" t="s">
        <v>4915</v>
      </c>
      <c r="E1024" s="5" t="s">
        <v>36</v>
      </c>
      <c r="F1024" s="5" t="s">
        <v>37</v>
      </c>
      <c r="G1024" s="5" t="s">
        <v>38</v>
      </c>
      <c r="H1024" s="5"/>
      <c r="I1024" s="5"/>
      <c r="J1024" s="5" t="s">
        <v>39</v>
      </c>
      <c r="K1024" s="5" t="s">
        <v>4085</v>
      </c>
      <c r="L1024" s="5" t="s">
        <v>102</v>
      </c>
      <c r="M1024" s="5" t="s">
        <v>103</v>
      </c>
      <c r="N1024" s="5" t="s">
        <v>36</v>
      </c>
      <c r="O1024" s="5">
        <v>1</v>
      </c>
      <c r="P1024" s="5" t="s">
        <v>43</v>
      </c>
      <c r="Q1024" s="5">
        <v>13.99</v>
      </c>
      <c r="R1024" s="5"/>
      <c r="S1024" s="5"/>
      <c r="T1024" s="5"/>
      <c r="U1024" s="5"/>
      <c r="V1024" s="5"/>
      <c r="W1024" s="5"/>
      <c r="X1024" s="5"/>
      <c r="Y1024" s="5" t="s">
        <v>4916</v>
      </c>
      <c r="Z1024" s="5" t="s">
        <v>183</v>
      </c>
      <c r="AA1024" s="5">
        <v>28078</v>
      </c>
      <c r="AB1024" s="5" t="s">
        <v>46</v>
      </c>
      <c r="AC1024" s="5"/>
      <c r="AD1024" s="5" t="b">
        <v>0</v>
      </c>
      <c r="AE1024" s="5"/>
      <c r="AF1024" s="5"/>
      <c r="AG1024" s="9">
        <f t="shared" si="15"/>
        <v>43282</v>
      </c>
    </row>
    <row r="1025" s="6" customFormat="1" spans="1:33">
      <c r="A1025" s="5" t="s">
        <v>4917</v>
      </c>
      <c r="B1025" s="5" t="s">
        <v>4917</v>
      </c>
      <c r="C1025" s="5" t="s">
        <v>4918</v>
      </c>
      <c r="D1025" s="5" t="s">
        <v>4919</v>
      </c>
      <c r="E1025" s="5" t="s">
        <v>36</v>
      </c>
      <c r="F1025" s="5" t="s">
        <v>37</v>
      </c>
      <c r="G1025" s="5" t="s">
        <v>38</v>
      </c>
      <c r="H1025" s="5"/>
      <c r="I1025" s="5"/>
      <c r="J1025" s="5" t="s">
        <v>39</v>
      </c>
      <c r="K1025" s="5" t="s">
        <v>4085</v>
      </c>
      <c r="L1025" s="5" t="s">
        <v>102</v>
      </c>
      <c r="M1025" s="5" t="s">
        <v>103</v>
      </c>
      <c r="N1025" s="5" t="s">
        <v>36</v>
      </c>
      <c r="O1025" s="5">
        <v>1</v>
      </c>
      <c r="P1025" s="5" t="s">
        <v>43</v>
      </c>
      <c r="Q1025" s="5">
        <v>13.99</v>
      </c>
      <c r="R1025" s="5"/>
      <c r="S1025" s="5"/>
      <c r="T1025" s="5"/>
      <c r="U1025" s="5"/>
      <c r="V1025" s="5"/>
      <c r="W1025" s="5"/>
      <c r="X1025" s="5"/>
      <c r="Y1025" s="5" t="s">
        <v>4920</v>
      </c>
      <c r="Z1025" s="5" t="s">
        <v>54</v>
      </c>
      <c r="AA1025" s="5" t="s">
        <v>4921</v>
      </c>
      <c r="AB1025" s="5" t="s">
        <v>46</v>
      </c>
      <c r="AC1025" s="5"/>
      <c r="AD1025" s="5" t="b">
        <v>0</v>
      </c>
      <c r="AE1025" s="5"/>
      <c r="AF1025" s="5"/>
      <c r="AG1025" s="9">
        <f t="shared" si="15"/>
        <v>43282</v>
      </c>
    </row>
    <row r="1026" s="6" customFormat="1" spans="1:33">
      <c r="A1026" s="5" t="s">
        <v>4922</v>
      </c>
      <c r="B1026" s="5" t="s">
        <v>4922</v>
      </c>
      <c r="C1026" s="5" t="s">
        <v>4923</v>
      </c>
      <c r="D1026" s="5" t="s">
        <v>4924</v>
      </c>
      <c r="E1026" s="5" t="s">
        <v>36</v>
      </c>
      <c r="F1026" s="5" t="s">
        <v>37</v>
      </c>
      <c r="G1026" s="5" t="s">
        <v>38</v>
      </c>
      <c r="H1026" s="5"/>
      <c r="I1026" s="5"/>
      <c r="J1026" s="5" t="s">
        <v>39</v>
      </c>
      <c r="K1026" s="5" t="s">
        <v>3645</v>
      </c>
      <c r="L1026" s="5" t="s">
        <v>51</v>
      </c>
      <c r="M1026" s="5" t="s">
        <v>52</v>
      </c>
      <c r="N1026" s="5" t="s">
        <v>36</v>
      </c>
      <c r="O1026" s="5">
        <v>1</v>
      </c>
      <c r="P1026" s="5" t="s">
        <v>43</v>
      </c>
      <c r="Q1026" s="5">
        <v>18.99</v>
      </c>
      <c r="R1026" s="5"/>
      <c r="S1026" s="5"/>
      <c r="T1026" s="5"/>
      <c r="U1026" s="5"/>
      <c r="V1026" s="5"/>
      <c r="W1026" s="5"/>
      <c r="X1026" s="5"/>
      <c r="Y1026" s="5" t="s">
        <v>4925</v>
      </c>
      <c r="Z1026" s="5" t="s">
        <v>223</v>
      </c>
      <c r="AA1026" s="5">
        <v>46552</v>
      </c>
      <c r="AB1026" s="5" t="s">
        <v>46</v>
      </c>
      <c r="AC1026" s="5"/>
      <c r="AD1026" s="5" t="b">
        <v>0</v>
      </c>
      <c r="AE1026" s="5"/>
      <c r="AF1026" s="5"/>
      <c r="AG1026" s="9">
        <f t="shared" ref="AG1026:AG1089" si="16">DATEVALUE(LEFT(C1026,10))</f>
        <v>43282</v>
      </c>
    </row>
    <row r="1027" s="6" customFormat="1" spans="1:33">
      <c r="A1027" s="5" t="s">
        <v>4926</v>
      </c>
      <c r="B1027" s="5" t="s">
        <v>4926</v>
      </c>
      <c r="C1027" s="5" t="s">
        <v>4927</v>
      </c>
      <c r="D1027" s="5" t="s">
        <v>4928</v>
      </c>
      <c r="E1027" s="5" t="s">
        <v>36</v>
      </c>
      <c r="F1027" s="5" t="s">
        <v>37</v>
      </c>
      <c r="G1027" s="5" t="s">
        <v>38</v>
      </c>
      <c r="H1027" s="5"/>
      <c r="I1027" s="5"/>
      <c r="J1027" s="5" t="s">
        <v>39</v>
      </c>
      <c r="K1027" s="5" t="s">
        <v>3703</v>
      </c>
      <c r="L1027" s="5" t="s">
        <v>388</v>
      </c>
      <c r="M1027" s="5" t="s">
        <v>389</v>
      </c>
      <c r="N1027" s="5" t="s">
        <v>36</v>
      </c>
      <c r="O1027" s="5">
        <v>1</v>
      </c>
      <c r="P1027" s="5" t="s">
        <v>43</v>
      </c>
      <c r="Q1027" s="5">
        <v>18.99</v>
      </c>
      <c r="R1027" s="5"/>
      <c r="S1027" s="5"/>
      <c r="T1027" s="5"/>
      <c r="U1027" s="5"/>
      <c r="V1027" s="5"/>
      <c r="W1027" s="5"/>
      <c r="X1027" s="5"/>
      <c r="Y1027" s="5" t="s">
        <v>150</v>
      </c>
      <c r="Z1027" s="5" t="s">
        <v>151</v>
      </c>
      <c r="AA1027" s="5" t="s">
        <v>4929</v>
      </c>
      <c r="AB1027" s="5" t="s">
        <v>46</v>
      </c>
      <c r="AC1027" s="5"/>
      <c r="AD1027" s="5" t="b">
        <v>0</v>
      </c>
      <c r="AE1027" s="5"/>
      <c r="AF1027" s="5"/>
      <c r="AG1027" s="9">
        <f t="shared" si="16"/>
        <v>43282</v>
      </c>
    </row>
    <row r="1028" s="6" customFormat="1" spans="1:33">
      <c r="A1028" s="5" t="s">
        <v>4930</v>
      </c>
      <c r="B1028" s="5" t="s">
        <v>4930</v>
      </c>
      <c r="C1028" s="5" t="s">
        <v>4931</v>
      </c>
      <c r="D1028" s="5" t="s">
        <v>4932</v>
      </c>
      <c r="E1028" s="5" t="s">
        <v>36</v>
      </c>
      <c r="F1028" s="5" t="s">
        <v>37</v>
      </c>
      <c r="G1028" s="5" t="s">
        <v>38</v>
      </c>
      <c r="H1028" s="5"/>
      <c r="I1028" s="5"/>
      <c r="J1028" s="5" t="s">
        <v>287</v>
      </c>
      <c r="K1028" s="5" t="s">
        <v>3745</v>
      </c>
      <c r="L1028" s="5" t="s">
        <v>202</v>
      </c>
      <c r="M1028" s="5" t="s">
        <v>203</v>
      </c>
      <c r="N1028" s="5" t="s">
        <v>36</v>
      </c>
      <c r="O1028" s="5">
        <v>1</v>
      </c>
      <c r="P1028" s="5" t="s">
        <v>43</v>
      </c>
      <c r="Q1028" s="5">
        <v>18.99</v>
      </c>
      <c r="R1028" s="5">
        <v>1.97</v>
      </c>
      <c r="S1028" s="5">
        <v>2</v>
      </c>
      <c r="T1028" s="5"/>
      <c r="U1028" s="5"/>
      <c r="V1028" s="5"/>
      <c r="W1028" s="5"/>
      <c r="X1028" s="5">
        <v>2</v>
      </c>
      <c r="Y1028" s="5" t="s">
        <v>4933</v>
      </c>
      <c r="Z1028" s="5" t="s">
        <v>474</v>
      </c>
      <c r="AA1028" s="5" t="s">
        <v>4934</v>
      </c>
      <c r="AB1028" s="5" t="s">
        <v>46</v>
      </c>
      <c r="AC1028" s="5"/>
      <c r="AD1028" s="5" t="b">
        <v>0</v>
      </c>
      <c r="AE1028" s="5"/>
      <c r="AF1028" s="5"/>
      <c r="AG1028" s="9">
        <f t="shared" si="16"/>
        <v>43282</v>
      </c>
    </row>
    <row r="1029" s="6" customFormat="1" spans="1:33">
      <c r="A1029" s="5" t="s">
        <v>4935</v>
      </c>
      <c r="B1029" s="5" t="s">
        <v>4935</v>
      </c>
      <c r="C1029" s="5" t="s">
        <v>4936</v>
      </c>
      <c r="D1029" s="5" t="s">
        <v>4937</v>
      </c>
      <c r="E1029" s="5" t="s">
        <v>36</v>
      </c>
      <c r="F1029" s="5" t="s">
        <v>37</v>
      </c>
      <c r="G1029" s="5" t="s">
        <v>38</v>
      </c>
      <c r="H1029" s="5"/>
      <c r="I1029" s="5"/>
      <c r="J1029" s="5" t="s">
        <v>39</v>
      </c>
      <c r="K1029" s="5" t="s">
        <v>3752</v>
      </c>
      <c r="L1029" s="5" t="s">
        <v>244</v>
      </c>
      <c r="M1029" s="5" t="s">
        <v>245</v>
      </c>
      <c r="N1029" s="5" t="s">
        <v>36</v>
      </c>
      <c r="O1029" s="5">
        <v>1</v>
      </c>
      <c r="P1029" s="5" t="s">
        <v>43</v>
      </c>
      <c r="Q1029" s="5">
        <v>18.99</v>
      </c>
      <c r="R1029" s="5"/>
      <c r="S1029" s="5"/>
      <c r="T1029" s="5"/>
      <c r="U1029" s="5"/>
      <c r="V1029" s="5"/>
      <c r="W1029" s="5"/>
      <c r="X1029" s="5"/>
      <c r="Y1029" s="5" t="s">
        <v>4938</v>
      </c>
      <c r="Z1029" s="5" t="s">
        <v>649</v>
      </c>
      <c r="AA1029" s="5">
        <v>2839</v>
      </c>
      <c r="AB1029" s="5" t="s">
        <v>46</v>
      </c>
      <c r="AC1029" s="5"/>
      <c r="AD1029" s="5" t="b">
        <v>0</v>
      </c>
      <c r="AE1029" s="5"/>
      <c r="AF1029" s="5"/>
      <c r="AG1029" s="9">
        <f t="shared" si="16"/>
        <v>43282</v>
      </c>
    </row>
    <row r="1030" s="6" customFormat="1" spans="1:33">
      <c r="A1030" s="5" t="s">
        <v>4939</v>
      </c>
      <c r="B1030" s="5" t="s">
        <v>4939</v>
      </c>
      <c r="C1030" s="5" t="s">
        <v>4940</v>
      </c>
      <c r="D1030" s="5" t="s">
        <v>4941</v>
      </c>
      <c r="E1030" s="5" t="s">
        <v>36</v>
      </c>
      <c r="F1030" s="5" t="s">
        <v>37</v>
      </c>
      <c r="G1030" s="5" t="s">
        <v>38</v>
      </c>
      <c r="H1030" s="5"/>
      <c r="I1030" s="5"/>
      <c r="J1030" s="5" t="s">
        <v>128</v>
      </c>
      <c r="K1030" s="5" t="s">
        <v>434</v>
      </c>
      <c r="L1030" s="5" t="s">
        <v>435</v>
      </c>
      <c r="M1030" s="5" t="s">
        <v>436</v>
      </c>
      <c r="N1030" s="5" t="s">
        <v>36</v>
      </c>
      <c r="O1030" s="5">
        <v>1</v>
      </c>
      <c r="P1030" s="5" t="s">
        <v>43</v>
      </c>
      <c r="Q1030" s="5">
        <v>13.99</v>
      </c>
      <c r="R1030" s="5"/>
      <c r="S1030" s="5">
        <v>1.97</v>
      </c>
      <c r="T1030" s="5"/>
      <c r="U1030" s="5"/>
      <c r="V1030" s="5"/>
      <c r="W1030" s="5"/>
      <c r="X1030" s="5">
        <v>1.97</v>
      </c>
      <c r="Y1030" s="5" t="s">
        <v>222</v>
      </c>
      <c r="Z1030" s="5" t="s">
        <v>223</v>
      </c>
      <c r="AA1030" s="5" t="s">
        <v>4942</v>
      </c>
      <c r="AB1030" s="5" t="s">
        <v>46</v>
      </c>
      <c r="AC1030" s="5" t="s">
        <v>225</v>
      </c>
      <c r="AD1030" s="5" t="b">
        <v>0</v>
      </c>
      <c r="AE1030" s="5"/>
      <c r="AF1030" s="5"/>
      <c r="AG1030" s="9">
        <f t="shared" si="16"/>
        <v>43283</v>
      </c>
    </row>
    <row r="1031" s="6" customFormat="1" spans="1:33">
      <c r="A1031" s="5" t="s">
        <v>4943</v>
      </c>
      <c r="B1031" s="5" t="s">
        <v>4943</v>
      </c>
      <c r="C1031" s="5" t="s">
        <v>4944</v>
      </c>
      <c r="D1031" s="5" t="s">
        <v>4945</v>
      </c>
      <c r="E1031" s="5" t="s">
        <v>36</v>
      </c>
      <c r="F1031" s="5" t="s">
        <v>37</v>
      </c>
      <c r="G1031" s="5" t="s">
        <v>38</v>
      </c>
      <c r="H1031" s="5"/>
      <c r="I1031" s="5"/>
      <c r="J1031" s="5" t="s">
        <v>39</v>
      </c>
      <c r="K1031" s="5" t="s">
        <v>4085</v>
      </c>
      <c r="L1031" s="5" t="s">
        <v>102</v>
      </c>
      <c r="M1031" s="5" t="s">
        <v>103</v>
      </c>
      <c r="N1031" s="5" t="s">
        <v>36</v>
      </c>
      <c r="O1031" s="5">
        <v>1</v>
      </c>
      <c r="P1031" s="5" t="s">
        <v>43</v>
      </c>
      <c r="Q1031" s="5">
        <v>13.99</v>
      </c>
      <c r="R1031" s="5"/>
      <c r="S1031" s="5"/>
      <c r="T1031" s="5"/>
      <c r="U1031" s="5"/>
      <c r="V1031" s="5"/>
      <c r="W1031" s="5"/>
      <c r="X1031" s="5"/>
      <c r="Y1031" s="5" t="s">
        <v>4414</v>
      </c>
      <c r="Z1031" s="5" t="s">
        <v>377</v>
      </c>
      <c r="AA1031" s="5" t="s">
        <v>4946</v>
      </c>
      <c r="AB1031" s="5" t="s">
        <v>46</v>
      </c>
      <c r="AC1031" s="5"/>
      <c r="AD1031" s="5" t="b">
        <v>0</v>
      </c>
      <c r="AE1031" s="5"/>
      <c r="AF1031" s="5"/>
      <c r="AG1031" s="9">
        <f t="shared" si="16"/>
        <v>43283</v>
      </c>
    </row>
    <row r="1032" s="6" customFormat="1" spans="1:33">
      <c r="A1032" s="5" t="s">
        <v>4947</v>
      </c>
      <c r="B1032" s="5" t="s">
        <v>4947</v>
      </c>
      <c r="C1032" s="5" t="s">
        <v>4948</v>
      </c>
      <c r="D1032" s="5" t="s">
        <v>4949</v>
      </c>
      <c r="E1032" s="5" t="s">
        <v>36</v>
      </c>
      <c r="F1032" s="5" t="s">
        <v>37</v>
      </c>
      <c r="G1032" s="5" t="s">
        <v>38</v>
      </c>
      <c r="H1032" s="5"/>
      <c r="I1032" s="5"/>
      <c r="J1032" s="5" t="s">
        <v>39</v>
      </c>
      <c r="K1032" s="5" t="s">
        <v>3719</v>
      </c>
      <c r="L1032" s="5" t="s">
        <v>84</v>
      </c>
      <c r="M1032" s="5" t="s">
        <v>85</v>
      </c>
      <c r="N1032" s="5" t="s">
        <v>36</v>
      </c>
      <c r="O1032" s="5">
        <v>1</v>
      </c>
      <c r="P1032" s="5" t="s">
        <v>43</v>
      </c>
      <c r="Q1032" s="5">
        <v>12.99</v>
      </c>
      <c r="R1032" s="5"/>
      <c r="S1032" s="5"/>
      <c r="T1032" s="5"/>
      <c r="U1032" s="5"/>
      <c r="V1032" s="5"/>
      <c r="W1032" s="5"/>
      <c r="X1032" s="5"/>
      <c r="Y1032" s="5" t="s">
        <v>4950</v>
      </c>
      <c r="Z1032" s="5" t="s">
        <v>247</v>
      </c>
      <c r="AA1032" s="5">
        <v>76210</v>
      </c>
      <c r="AB1032" s="5" t="s">
        <v>46</v>
      </c>
      <c r="AC1032" s="5"/>
      <c r="AD1032" s="5" t="b">
        <v>0</v>
      </c>
      <c r="AE1032" s="5"/>
      <c r="AF1032" s="5"/>
      <c r="AG1032" s="9">
        <f t="shared" si="16"/>
        <v>43283</v>
      </c>
    </row>
    <row r="1033" s="6" customFormat="1" spans="1:33">
      <c r="A1033" s="5" t="s">
        <v>4951</v>
      </c>
      <c r="B1033" s="5" t="s">
        <v>4951</v>
      </c>
      <c r="C1033" s="5" t="s">
        <v>4952</v>
      </c>
      <c r="D1033" s="5" t="s">
        <v>4953</v>
      </c>
      <c r="E1033" s="5" t="s">
        <v>36</v>
      </c>
      <c r="F1033" s="5" t="s">
        <v>37</v>
      </c>
      <c r="G1033" s="5" t="s">
        <v>38</v>
      </c>
      <c r="H1033" s="5"/>
      <c r="I1033" s="5"/>
      <c r="J1033" s="5" t="s">
        <v>39</v>
      </c>
      <c r="K1033" s="5" t="s">
        <v>3714</v>
      </c>
      <c r="L1033" s="5" t="s">
        <v>148</v>
      </c>
      <c r="M1033" s="5" t="s">
        <v>149</v>
      </c>
      <c r="N1033" s="5" t="s">
        <v>36</v>
      </c>
      <c r="O1033" s="5">
        <v>2</v>
      </c>
      <c r="P1033" s="5" t="s">
        <v>43</v>
      </c>
      <c r="Q1033" s="5">
        <v>27.98</v>
      </c>
      <c r="R1033" s="5"/>
      <c r="S1033" s="5"/>
      <c r="T1033" s="5"/>
      <c r="U1033" s="5"/>
      <c r="V1033" s="5"/>
      <c r="W1033" s="5"/>
      <c r="X1033" s="5"/>
      <c r="Y1033" s="5" t="s">
        <v>4954</v>
      </c>
      <c r="Z1033" s="5" t="s">
        <v>151</v>
      </c>
      <c r="AA1033" s="5">
        <v>12144</v>
      </c>
      <c r="AB1033" s="5" t="s">
        <v>46</v>
      </c>
      <c r="AC1033" s="5"/>
      <c r="AD1033" s="5" t="b">
        <v>0</v>
      </c>
      <c r="AE1033" s="5"/>
      <c r="AF1033" s="5"/>
      <c r="AG1033" s="9">
        <f t="shared" si="16"/>
        <v>43283</v>
      </c>
    </row>
    <row r="1034" s="6" customFormat="1" spans="1:33">
      <c r="A1034" s="5" t="s">
        <v>4955</v>
      </c>
      <c r="B1034" s="5" t="s">
        <v>4955</v>
      </c>
      <c r="C1034" s="5" t="s">
        <v>4956</v>
      </c>
      <c r="D1034" s="5" t="s">
        <v>4957</v>
      </c>
      <c r="E1034" s="5" t="s">
        <v>36</v>
      </c>
      <c r="F1034" s="5" t="s">
        <v>37</v>
      </c>
      <c r="G1034" s="5" t="s">
        <v>38</v>
      </c>
      <c r="H1034" s="5"/>
      <c r="I1034" s="5"/>
      <c r="J1034" s="5" t="s">
        <v>39</v>
      </c>
      <c r="K1034" s="5" t="s">
        <v>3645</v>
      </c>
      <c r="L1034" s="5" t="s">
        <v>51</v>
      </c>
      <c r="M1034" s="5" t="s">
        <v>52</v>
      </c>
      <c r="N1034" s="5" t="s">
        <v>36</v>
      </c>
      <c r="O1034" s="5">
        <v>1</v>
      </c>
      <c r="P1034" s="5" t="s">
        <v>43</v>
      </c>
      <c r="Q1034" s="5">
        <v>18.99</v>
      </c>
      <c r="R1034" s="5"/>
      <c r="S1034" s="5"/>
      <c r="T1034" s="5"/>
      <c r="U1034" s="5"/>
      <c r="V1034" s="5"/>
      <c r="W1034" s="5"/>
      <c r="X1034" s="5"/>
      <c r="Y1034" s="5" t="s">
        <v>4958</v>
      </c>
      <c r="Z1034" s="5" t="s">
        <v>596</v>
      </c>
      <c r="AA1034" s="5" t="s">
        <v>4959</v>
      </c>
      <c r="AB1034" s="5" t="s">
        <v>46</v>
      </c>
      <c r="AC1034" s="5"/>
      <c r="AD1034" s="5" t="b">
        <v>0</v>
      </c>
      <c r="AE1034" s="5"/>
      <c r="AF1034" s="5"/>
      <c r="AG1034" s="9">
        <f t="shared" si="16"/>
        <v>43283</v>
      </c>
    </row>
    <row r="1035" s="6" customFormat="1" spans="1:33">
      <c r="A1035" s="5" t="s">
        <v>4960</v>
      </c>
      <c r="B1035" s="5" t="s">
        <v>4960</v>
      </c>
      <c r="C1035" s="5" t="s">
        <v>4961</v>
      </c>
      <c r="D1035" s="5" t="s">
        <v>4962</v>
      </c>
      <c r="E1035" s="5" t="s">
        <v>36</v>
      </c>
      <c r="F1035" s="5" t="s">
        <v>37</v>
      </c>
      <c r="G1035" s="5" t="s">
        <v>38</v>
      </c>
      <c r="H1035" s="5"/>
      <c r="I1035" s="5"/>
      <c r="J1035" s="5" t="s">
        <v>39</v>
      </c>
      <c r="K1035" s="5" t="s">
        <v>409</v>
      </c>
      <c r="L1035" s="5" t="s">
        <v>4963</v>
      </c>
      <c r="M1035" s="5" t="s">
        <v>4964</v>
      </c>
      <c r="N1035" s="5" t="s">
        <v>36</v>
      </c>
      <c r="O1035" s="5">
        <v>1</v>
      </c>
      <c r="P1035" s="5" t="s">
        <v>43</v>
      </c>
      <c r="Q1035" s="5">
        <v>9.9</v>
      </c>
      <c r="R1035" s="5"/>
      <c r="S1035" s="5"/>
      <c r="T1035" s="5"/>
      <c r="U1035" s="5"/>
      <c r="V1035" s="5"/>
      <c r="W1035" s="5"/>
      <c r="X1035" s="5"/>
      <c r="Y1035" s="5" t="s">
        <v>2655</v>
      </c>
      <c r="Z1035" s="5" t="s">
        <v>282</v>
      </c>
      <c r="AA1035" s="5" t="s">
        <v>4965</v>
      </c>
      <c r="AB1035" s="5" t="s">
        <v>46</v>
      </c>
      <c r="AC1035" s="5"/>
      <c r="AD1035" s="5" t="b">
        <v>0</v>
      </c>
      <c r="AE1035" s="5"/>
      <c r="AF1035" s="5"/>
      <c r="AG1035" s="9">
        <f t="shared" si="16"/>
        <v>43283</v>
      </c>
    </row>
    <row r="1036" s="6" customFormat="1" spans="1:33">
      <c r="A1036" s="5" t="s">
        <v>4966</v>
      </c>
      <c r="B1036" s="5" t="s">
        <v>4966</v>
      </c>
      <c r="C1036" s="5" t="s">
        <v>4967</v>
      </c>
      <c r="D1036" s="5" t="s">
        <v>4968</v>
      </c>
      <c r="E1036" s="5" t="s">
        <v>36</v>
      </c>
      <c r="F1036" s="5" t="s">
        <v>37</v>
      </c>
      <c r="G1036" s="5" t="s">
        <v>38</v>
      </c>
      <c r="H1036" s="5"/>
      <c r="I1036" s="5"/>
      <c r="J1036" s="5" t="s">
        <v>39</v>
      </c>
      <c r="K1036" s="5" t="s">
        <v>3798</v>
      </c>
      <c r="L1036" s="5" t="s">
        <v>1048</v>
      </c>
      <c r="M1036" s="5" t="s">
        <v>535</v>
      </c>
      <c r="N1036" s="5" t="s">
        <v>36</v>
      </c>
      <c r="O1036" s="5">
        <v>1</v>
      </c>
      <c r="P1036" s="5" t="s">
        <v>43</v>
      </c>
      <c r="Q1036" s="5">
        <v>24.99</v>
      </c>
      <c r="R1036" s="5"/>
      <c r="S1036" s="5"/>
      <c r="T1036" s="5"/>
      <c r="U1036" s="5"/>
      <c r="V1036" s="5"/>
      <c r="W1036" s="5"/>
      <c r="X1036" s="5"/>
      <c r="Y1036" s="5" t="s">
        <v>4969</v>
      </c>
      <c r="Z1036" s="5" t="s">
        <v>218</v>
      </c>
      <c r="AA1036" s="5">
        <v>20886</v>
      </c>
      <c r="AB1036" s="5" t="s">
        <v>46</v>
      </c>
      <c r="AC1036" s="5"/>
      <c r="AD1036" s="5" t="b">
        <v>0</v>
      </c>
      <c r="AE1036" s="5"/>
      <c r="AF1036" s="5"/>
      <c r="AG1036" s="9">
        <f t="shared" si="16"/>
        <v>43283</v>
      </c>
    </row>
    <row r="1037" s="6" customFormat="1" spans="1:33">
      <c r="A1037" s="5" t="s">
        <v>4970</v>
      </c>
      <c r="B1037" s="5" t="s">
        <v>4970</v>
      </c>
      <c r="C1037" s="5" t="s">
        <v>4971</v>
      </c>
      <c r="D1037" s="5" t="s">
        <v>4972</v>
      </c>
      <c r="E1037" s="5" t="s">
        <v>36</v>
      </c>
      <c r="F1037" s="5" t="s">
        <v>37</v>
      </c>
      <c r="G1037" s="5" t="s">
        <v>38</v>
      </c>
      <c r="H1037" s="5"/>
      <c r="I1037" s="5"/>
      <c r="J1037" s="5" t="s">
        <v>39</v>
      </c>
      <c r="K1037" s="5" t="s">
        <v>1763</v>
      </c>
      <c r="L1037" s="5" t="s">
        <v>1764</v>
      </c>
      <c r="M1037" s="5" t="s">
        <v>1765</v>
      </c>
      <c r="N1037" s="5" t="s">
        <v>36</v>
      </c>
      <c r="O1037" s="5">
        <v>1</v>
      </c>
      <c r="P1037" s="5" t="s">
        <v>43</v>
      </c>
      <c r="Q1037" s="5">
        <v>29.99</v>
      </c>
      <c r="R1037" s="5">
        <v>3.09</v>
      </c>
      <c r="S1037" s="5"/>
      <c r="T1037" s="5"/>
      <c r="U1037" s="5"/>
      <c r="V1037" s="5"/>
      <c r="W1037" s="5"/>
      <c r="X1037" s="5"/>
      <c r="Y1037" s="5" t="s">
        <v>4754</v>
      </c>
      <c r="Z1037" s="5" t="s">
        <v>474</v>
      </c>
      <c r="AA1037" s="5" t="s">
        <v>4973</v>
      </c>
      <c r="AB1037" s="5" t="s">
        <v>46</v>
      </c>
      <c r="AC1037" s="5"/>
      <c r="AD1037" s="5" t="b">
        <v>0</v>
      </c>
      <c r="AE1037" s="5"/>
      <c r="AF1037" s="5"/>
      <c r="AG1037" s="9">
        <f t="shared" si="16"/>
        <v>43283</v>
      </c>
    </row>
    <row r="1038" s="6" customFormat="1" spans="1:33">
      <c r="A1038" s="5" t="s">
        <v>4974</v>
      </c>
      <c r="B1038" s="5" t="s">
        <v>4974</v>
      </c>
      <c r="C1038" s="5" t="s">
        <v>4975</v>
      </c>
      <c r="D1038" s="5" t="s">
        <v>4976</v>
      </c>
      <c r="E1038" s="5" t="s">
        <v>36</v>
      </c>
      <c r="F1038" s="5" t="s">
        <v>37</v>
      </c>
      <c r="G1038" s="5" t="s">
        <v>38</v>
      </c>
      <c r="H1038" s="5"/>
      <c r="I1038" s="5"/>
      <c r="J1038" s="5" t="s">
        <v>39</v>
      </c>
      <c r="K1038" s="5" t="s">
        <v>3645</v>
      </c>
      <c r="L1038" s="5" t="s">
        <v>51</v>
      </c>
      <c r="M1038" s="5" t="s">
        <v>52</v>
      </c>
      <c r="N1038" s="5" t="s">
        <v>36</v>
      </c>
      <c r="O1038" s="5">
        <v>1</v>
      </c>
      <c r="P1038" s="5" t="s">
        <v>43</v>
      </c>
      <c r="Q1038" s="5">
        <v>18.99</v>
      </c>
      <c r="R1038" s="5"/>
      <c r="S1038" s="5"/>
      <c r="T1038" s="5"/>
      <c r="U1038" s="5"/>
      <c r="V1038" s="5"/>
      <c r="W1038" s="5"/>
      <c r="X1038" s="5"/>
      <c r="Y1038" s="5" t="s">
        <v>955</v>
      </c>
      <c r="Z1038" s="5" t="s">
        <v>142</v>
      </c>
      <c r="AA1038" s="5" t="s">
        <v>4977</v>
      </c>
      <c r="AB1038" s="5" t="s">
        <v>46</v>
      </c>
      <c r="AC1038" s="5"/>
      <c r="AD1038" s="5" t="b">
        <v>0</v>
      </c>
      <c r="AE1038" s="5"/>
      <c r="AF1038" s="5"/>
      <c r="AG1038" s="9">
        <f t="shared" si="16"/>
        <v>43283</v>
      </c>
    </row>
    <row r="1039" s="6" customFormat="1" spans="1:33">
      <c r="A1039" s="5" t="s">
        <v>4978</v>
      </c>
      <c r="B1039" s="5" t="s">
        <v>4978</v>
      </c>
      <c r="C1039" s="5" t="s">
        <v>4979</v>
      </c>
      <c r="D1039" s="5" t="s">
        <v>4980</v>
      </c>
      <c r="E1039" s="5" t="s">
        <v>36</v>
      </c>
      <c r="F1039" s="5" t="s">
        <v>37</v>
      </c>
      <c r="G1039" s="5" t="s">
        <v>38</v>
      </c>
      <c r="H1039" s="5"/>
      <c r="I1039" s="5"/>
      <c r="J1039" s="5" t="s">
        <v>39</v>
      </c>
      <c r="K1039" s="5" t="s">
        <v>4038</v>
      </c>
      <c r="L1039" s="5" t="s">
        <v>76</v>
      </c>
      <c r="M1039" s="5" t="s">
        <v>77</v>
      </c>
      <c r="N1039" s="5" t="s">
        <v>36</v>
      </c>
      <c r="O1039" s="5">
        <v>1</v>
      </c>
      <c r="P1039" s="5" t="s">
        <v>43</v>
      </c>
      <c r="Q1039" s="5">
        <v>13.99</v>
      </c>
      <c r="R1039" s="5"/>
      <c r="S1039" s="5"/>
      <c r="T1039" s="5"/>
      <c r="U1039" s="5"/>
      <c r="V1039" s="5"/>
      <c r="W1039" s="5"/>
      <c r="X1039" s="5"/>
      <c r="Y1039" s="5" t="s">
        <v>4981</v>
      </c>
      <c r="Z1039" s="5" t="s">
        <v>4982</v>
      </c>
      <c r="AA1039" s="5" t="s">
        <v>4983</v>
      </c>
      <c r="AB1039" s="5" t="s">
        <v>46</v>
      </c>
      <c r="AC1039" s="5"/>
      <c r="AD1039" s="5" t="b">
        <v>0</v>
      </c>
      <c r="AE1039" s="5"/>
      <c r="AF1039" s="5"/>
      <c r="AG1039" s="9">
        <f t="shared" si="16"/>
        <v>43283</v>
      </c>
    </row>
    <row r="1040" s="6" customFormat="1" spans="1:33">
      <c r="A1040" s="5" t="s">
        <v>4984</v>
      </c>
      <c r="B1040" s="5" t="s">
        <v>4984</v>
      </c>
      <c r="C1040" s="5" t="s">
        <v>4985</v>
      </c>
      <c r="D1040" s="5" t="s">
        <v>4986</v>
      </c>
      <c r="E1040" s="5" t="s">
        <v>36</v>
      </c>
      <c r="F1040" s="5" t="s">
        <v>37</v>
      </c>
      <c r="G1040" s="5" t="s">
        <v>38</v>
      </c>
      <c r="H1040" s="5"/>
      <c r="I1040" s="5"/>
      <c r="J1040" s="5" t="s">
        <v>39</v>
      </c>
      <c r="K1040" s="5" t="s">
        <v>4173</v>
      </c>
      <c r="L1040" s="5" t="s">
        <v>1958</v>
      </c>
      <c r="M1040" s="5" t="s">
        <v>271</v>
      </c>
      <c r="N1040" s="5" t="s">
        <v>36</v>
      </c>
      <c r="O1040" s="5">
        <v>1</v>
      </c>
      <c r="P1040" s="5" t="s">
        <v>43</v>
      </c>
      <c r="Q1040" s="5">
        <v>24.99</v>
      </c>
      <c r="R1040" s="5"/>
      <c r="S1040" s="5"/>
      <c r="T1040" s="5"/>
      <c r="U1040" s="5"/>
      <c r="V1040" s="5"/>
      <c r="W1040" s="5"/>
      <c r="X1040" s="5"/>
      <c r="Y1040" s="5" t="s">
        <v>3654</v>
      </c>
      <c r="Z1040" s="5" t="s">
        <v>335</v>
      </c>
      <c r="AA1040" s="5" t="s">
        <v>4987</v>
      </c>
      <c r="AB1040" s="5" t="s">
        <v>46</v>
      </c>
      <c r="AC1040" s="5"/>
      <c r="AD1040" s="5" t="b">
        <v>0</v>
      </c>
      <c r="AE1040" s="5"/>
      <c r="AF1040" s="5"/>
      <c r="AG1040" s="9">
        <f t="shared" si="16"/>
        <v>43283</v>
      </c>
    </row>
    <row r="1041" s="6" customFormat="1" spans="1:33">
      <c r="A1041" s="5" t="s">
        <v>4988</v>
      </c>
      <c r="B1041" s="5" t="s">
        <v>4988</v>
      </c>
      <c r="C1041" s="5" t="s">
        <v>4989</v>
      </c>
      <c r="D1041" s="5" t="s">
        <v>4990</v>
      </c>
      <c r="E1041" s="5" t="s">
        <v>36</v>
      </c>
      <c r="F1041" s="5" t="s">
        <v>37</v>
      </c>
      <c r="G1041" s="5" t="s">
        <v>38</v>
      </c>
      <c r="H1041" s="5"/>
      <c r="I1041" s="5"/>
      <c r="J1041" s="5" t="s">
        <v>39</v>
      </c>
      <c r="K1041" s="5" t="s">
        <v>3940</v>
      </c>
      <c r="L1041" s="5" t="s">
        <v>2099</v>
      </c>
      <c r="M1041" s="5" t="s">
        <v>121</v>
      </c>
      <c r="N1041" s="5" t="s">
        <v>36</v>
      </c>
      <c r="O1041" s="5">
        <v>1</v>
      </c>
      <c r="P1041" s="5" t="s">
        <v>43</v>
      </c>
      <c r="Q1041" s="5">
        <v>24.99</v>
      </c>
      <c r="R1041" s="5"/>
      <c r="S1041" s="5"/>
      <c r="T1041" s="5"/>
      <c r="U1041" s="5"/>
      <c r="V1041" s="5"/>
      <c r="W1041" s="5"/>
      <c r="X1041" s="5"/>
      <c r="Y1041" s="5" t="s">
        <v>196</v>
      </c>
      <c r="Z1041" s="5" t="s">
        <v>54</v>
      </c>
      <c r="AA1041" s="5" t="s">
        <v>4991</v>
      </c>
      <c r="AB1041" s="5" t="s">
        <v>46</v>
      </c>
      <c r="AC1041" s="5"/>
      <c r="AD1041" s="5" t="b">
        <v>0</v>
      </c>
      <c r="AE1041" s="5"/>
      <c r="AF1041" s="5"/>
      <c r="AG1041" s="9">
        <f t="shared" si="16"/>
        <v>43283</v>
      </c>
    </row>
    <row r="1042" s="6" customFormat="1" spans="1:33">
      <c r="A1042" s="5" t="s">
        <v>4992</v>
      </c>
      <c r="B1042" s="5" t="s">
        <v>4992</v>
      </c>
      <c r="C1042" s="5" t="s">
        <v>4993</v>
      </c>
      <c r="D1042" s="5" t="s">
        <v>4994</v>
      </c>
      <c r="E1042" s="5" t="s">
        <v>36</v>
      </c>
      <c r="F1042" s="5" t="s">
        <v>37</v>
      </c>
      <c r="G1042" s="5" t="s">
        <v>38</v>
      </c>
      <c r="H1042" s="5"/>
      <c r="I1042" s="5"/>
      <c r="J1042" s="5" t="s">
        <v>39</v>
      </c>
      <c r="K1042" s="5" t="s">
        <v>3745</v>
      </c>
      <c r="L1042" s="5" t="s">
        <v>202</v>
      </c>
      <c r="M1042" s="5" t="s">
        <v>203</v>
      </c>
      <c r="N1042" s="5" t="s">
        <v>36</v>
      </c>
      <c r="O1042" s="5">
        <v>1</v>
      </c>
      <c r="P1042" s="5" t="s">
        <v>43</v>
      </c>
      <c r="Q1042" s="5">
        <v>18.99</v>
      </c>
      <c r="R1042" s="5">
        <v>1.88</v>
      </c>
      <c r="S1042" s="5"/>
      <c r="T1042" s="5"/>
      <c r="U1042" s="5"/>
      <c r="V1042" s="5"/>
      <c r="W1042" s="5"/>
      <c r="X1042" s="5"/>
      <c r="Y1042" s="5" t="s">
        <v>4995</v>
      </c>
      <c r="Z1042" s="5" t="s">
        <v>474</v>
      </c>
      <c r="AA1042" s="5" t="s">
        <v>4996</v>
      </c>
      <c r="AB1042" s="5" t="s">
        <v>46</v>
      </c>
      <c r="AC1042" s="5"/>
      <c r="AD1042" s="5" t="b">
        <v>0</v>
      </c>
      <c r="AE1042" s="5"/>
      <c r="AF1042" s="5"/>
      <c r="AG1042" s="9">
        <f t="shared" si="16"/>
        <v>43283</v>
      </c>
    </row>
    <row r="1043" s="6" customFormat="1" spans="1:33">
      <c r="A1043" s="5" t="s">
        <v>4997</v>
      </c>
      <c r="B1043" s="5" t="s">
        <v>4997</v>
      </c>
      <c r="C1043" s="5" t="s">
        <v>4998</v>
      </c>
      <c r="D1043" s="5" t="s">
        <v>4999</v>
      </c>
      <c r="E1043" s="5" t="s">
        <v>36</v>
      </c>
      <c r="F1043" s="5" t="s">
        <v>37</v>
      </c>
      <c r="G1043" s="5" t="s">
        <v>38</v>
      </c>
      <c r="H1043" s="5"/>
      <c r="I1043" s="5"/>
      <c r="J1043" s="5" t="s">
        <v>128</v>
      </c>
      <c r="K1043" s="5" t="s">
        <v>760</v>
      </c>
      <c r="L1043" s="5" t="s">
        <v>761</v>
      </c>
      <c r="M1043" s="5" t="s">
        <v>762</v>
      </c>
      <c r="N1043" s="5" t="s">
        <v>36</v>
      </c>
      <c r="O1043" s="5">
        <v>1</v>
      </c>
      <c r="P1043" s="5" t="s">
        <v>43</v>
      </c>
      <c r="Q1043" s="5">
        <v>10</v>
      </c>
      <c r="R1043" s="5"/>
      <c r="S1043" s="5"/>
      <c r="T1043" s="5"/>
      <c r="U1043" s="5"/>
      <c r="V1043" s="5"/>
      <c r="W1043" s="5"/>
      <c r="X1043" s="5"/>
      <c r="Y1043" s="5" t="s">
        <v>5000</v>
      </c>
      <c r="Z1043" s="5" t="s">
        <v>975</v>
      </c>
      <c r="AA1043" s="5" t="s">
        <v>5001</v>
      </c>
      <c r="AB1043" s="5" t="s">
        <v>46</v>
      </c>
      <c r="AC1043" s="5"/>
      <c r="AD1043" s="5" t="b">
        <v>0</v>
      </c>
      <c r="AE1043" s="5"/>
      <c r="AF1043" s="5"/>
      <c r="AG1043" s="9">
        <f t="shared" si="16"/>
        <v>43283</v>
      </c>
    </row>
    <row r="1044" s="6" customFormat="1" spans="1:33">
      <c r="A1044" s="5" t="s">
        <v>5002</v>
      </c>
      <c r="B1044" s="5" t="s">
        <v>5002</v>
      </c>
      <c r="C1044" s="5" t="s">
        <v>5003</v>
      </c>
      <c r="D1044" s="5" t="s">
        <v>5004</v>
      </c>
      <c r="E1044" s="5" t="s">
        <v>36</v>
      </c>
      <c r="F1044" s="5" t="s">
        <v>37</v>
      </c>
      <c r="G1044" s="5" t="s">
        <v>38</v>
      </c>
      <c r="H1044" s="5"/>
      <c r="I1044" s="5"/>
      <c r="J1044" s="5" t="s">
        <v>39</v>
      </c>
      <c r="K1044" s="5" t="s">
        <v>4552</v>
      </c>
      <c r="L1044" s="5" t="s">
        <v>3245</v>
      </c>
      <c r="M1044" s="5" t="s">
        <v>280</v>
      </c>
      <c r="N1044" s="5" t="s">
        <v>36</v>
      </c>
      <c r="O1044" s="5">
        <v>1</v>
      </c>
      <c r="P1044" s="5" t="s">
        <v>43</v>
      </c>
      <c r="Q1044" s="5">
        <v>24.99</v>
      </c>
      <c r="R1044" s="5"/>
      <c r="S1044" s="5"/>
      <c r="T1044" s="5"/>
      <c r="U1044" s="5"/>
      <c r="V1044" s="5"/>
      <c r="W1044" s="5"/>
      <c r="X1044" s="5"/>
      <c r="Y1044" s="5" t="s">
        <v>5005</v>
      </c>
      <c r="Z1044" s="5" t="s">
        <v>1698</v>
      </c>
      <c r="AA1044" s="5">
        <v>32833</v>
      </c>
      <c r="AB1044" s="5" t="s">
        <v>46</v>
      </c>
      <c r="AC1044" s="5"/>
      <c r="AD1044" s="5" t="b">
        <v>0</v>
      </c>
      <c r="AE1044" s="5"/>
      <c r="AF1044" s="5"/>
      <c r="AG1044" s="9">
        <f t="shared" si="16"/>
        <v>43283</v>
      </c>
    </row>
    <row r="1045" s="6" customFormat="1" spans="1:33">
      <c r="A1045" s="5" t="s">
        <v>5006</v>
      </c>
      <c r="B1045" s="5" t="s">
        <v>5006</v>
      </c>
      <c r="C1045" s="5" t="s">
        <v>5007</v>
      </c>
      <c r="D1045" s="5" t="s">
        <v>5008</v>
      </c>
      <c r="E1045" s="5" t="s">
        <v>36</v>
      </c>
      <c r="F1045" s="5" t="s">
        <v>37</v>
      </c>
      <c r="G1045" s="5" t="s">
        <v>38</v>
      </c>
      <c r="H1045" s="5"/>
      <c r="I1045" s="5"/>
      <c r="J1045" s="5" t="s">
        <v>39</v>
      </c>
      <c r="K1045" s="5" t="s">
        <v>4307</v>
      </c>
      <c r="L1045" s="5" t="s">
        <v>1227</v>
      </c>
      <c r="M1045" s="5" t="s">
        <v>262</v>
      </c>
      <c r="N1045" s="5" t="s">
        <v>36</v>
      </c>
      <c r="O1045" s="5">
        <v>1</v>
      </c>
      <c r="P1045" s="5" t="s">
        <v>43</v>
      </c>
      <c r="Q1045" s="5">
        <v>18.99</v>
      </c>
      <c r="R1045" s="5"/>
      <c r="S1045" s="5"/>
      <c r="T1045" s="5"/>
      <c r="U1045" s="5"/>
      <c r="V1045" s="5"/>
      <c r="W1045" s="5"/>
      <c r="X1045" s="5"/>
      <c r="Y1045" s="5" t="s">
        <v>150</v>
      </c>
      <c r="Z1045" s="5" t="s">
        <v>151</v>
      </c>
      <c r="AA1045" s="5" t="s">
        <v>5009</v>
      </c>
      <c r="AB1045" s="5" t="s">
        <v>46</v>
      </c>
      <c r="AC1045" s="5"/>
      <c r="AD1045" s="5" t="b">
        <v>0</v>
      </c>
      <c r="AE1045" s="5"/>
      <c r="AF1045" s="5"/>
      <c r="AG1045" s="9">
        <f t="shared" si="16"/>
        <v>43283</v>
      </c>
    </row>
    <row r="1046" s="6" customFormat="1" spans="1:33">
      <c r="A1046" s="5" t="s">
        <v>5010</v>
      </c>
      <c r="B1046" s="5" t="s">
        <v>5010</v>
      </c>
      <c r="C1046" s="5" t="s">
        <v>5011</v>
      </c>
      <c r="D1046" s="5" t="s">
        <v>5012</v>
      </c>
      <c r="E1046" s="5" t="s">
        <v>36</v>
      </c>
      <c r="F1046" s="5" t="s">
        <v>37</v>
      </c>
      <c r="G1046" s="5" t="s">
        <v>38</v>
      </c>
      <c r="H1046" s="5"/>
      <c r="I1046" s="5"/>
      <c r="J1046" s="5" t="s">
        <v>39</v>
      </c>
      <c r="K1046" s="5" t="s">
        <v>58</v>
      </c>
      <c r="L1046" s="5" t="s">
        <v>59</v>
      </c>
      <c r="M1046" s="5" t="s">
        <v>60</v>
      </c>
      <c r="N1046" s="5" t="s">
        <v>36</v>
      </c>
      <c r="O1046" s="5">
        <v>1</v>
      </c>
      <c r="P1046" s="5" t="s">
        <v>43</v>
      </c>
      <c r="Q1046" s="5">
        <v>13.99</v>
      </c>
      <c r="R1046" s="5"/>
      <c r="S1046" s="5"/>
      <c r="T1046" s="5"/>
      <c r="U1046" s="5"/>
      <c r="V1046" s="5"/>
      <c r="W1046" s="5"/>
      <c r="X1046" s="5"/>
      <c r="Y1046" s="5" t="s">
        <v>2192</v>
      </c>
      <c r="Z1046" s="5" t="s">
        <v>264</v>
      </c>
      <c r="AA1046" s="5" t="s">
        <v>5013</v>
      </c>
      <c r="AB1046" s="5" t="s">
        <v>46</v>
      </c>
      <c r="AC1046" s="5"/>
      <c r="AD1046" s="5" t="b">
        <v>0</v>
      </c>
      <c r="AE1046" s="5"/>
      <c r="AF1046" s="5"/>
      <c r="AG1046" s="9">
        <f t="shared" si="16"/>
        <v>43283</v>
      </c>
    </row>
    <row r="1047" s="6" customFormat="1" spans="1:33">
      <c r="A1047" s="5" t="s">
        <v>5014</v>
      </c>
      <c r="B1047" s="5" t="s">
        <v>5014</v>
      </c>
      <c r="C1047" s="5" t="s">
        <v>5015</v>
      </c>
      <c r="D1047" s="5" t="s">
        <v>5016</v>
      </c>
      <c r="E1047" s="5" t="s">
        <v>36</v>
      </c>
      <c r="F1047" s="5" t="s">
        <v>37</v>
      </c>
      <c r="G1047" s="5" t="s">
        <v>38</v>
      </c>
      <c r="H1047" s="5"/>
      <c r="I1047" s="5"/>
      <c r="J1047" s="5" t="s">
        <v>39</v>
      </c>
      <c r="K1047" s="5" t="s">
        <v>3798</v>
      </c>
      <c r="L1047" s="5" t="s">
        <v>1048</v>
      </c>
      <c r="M1047" s="5" t="s">
        <v>535</v>
      </c>
      <c r="N1047" s="5" t="s">
        <v>36</v>
      </c>
      <c r="O1047" s="5">
        <v>1</v>
      </c>
      <c r="P1047" s="5" t="s">
        <v>43</v>
      </c>
      <c r="Q1047" s="5">
        <v>24.99</v>
      </c>
      <c r="R1047" s="5"/>
      <c r="S1047" s="5"/>
      <c r="T1047" s="5"/>
      <c r="U1047" s="5"/>
      <c r="V1047" s="5"/>
      <c r="W1047" s="5"/>
      <c r="X1047" s="5"/>
      <c r="Y1047" s="5" t="s">
        <v>5017</v>
      </c>
      <c r="Z1047" s="5" t="s">
        <v>87</v>
      </c>
      <c r="AA1047" s="5" t="s">
        <v>5018</v>
      </c>
      <c r="AB1047" s="5" t="s">
        <v>46</v>
      </c>
      <c r="AC1047" s="5"/>
      <c r="AD1047" s="5" t="b">
        <v>0</v>
      </c>
      <c r="AE1047" s="5"/>
      <c r="AF1047" s="5"/>
      <c r="AG1047" s="9">
        <f t="shared" si="16"/>
        <v>43283</v>
      </c>
    </row>
    <row r="1048" s="6" customFormat="1" spans="1:33">
      <c r="A1048" s="5" t="s">
        <v>5019</v>
      </c>
      <c r="B1048" s="5" t="s">
        <v>5019</v>
      </c>
      <c r="C1048" s="5" t="s">
        <v>5020</v>
      </c>
      <c r="D1048" s="5" t="s">
        <v>5021</v>
      </c>
      <c r="E1048" s="5" t="s">
        <v>36</v>
      </c>
      <c r="F1048" s="5" t="s">
        <v>37</v>
      </c>
      <c r="G1048" s="5" t="s">
        <v>38</v>
      </c>
      <c r="H1048" s="5"/>
      <c r="I1048" s="5"/>
      <c r="J1048" s="5" t="s">
        <v>39</v>
      </c>
      <c r="K1048" s="5" t="s">
        <v>2344</v>
      </c>
      <c r="L1048" s="5" t="s">
        <v>2345</v>
      </c>
      <c r="M1048" s="5" t="s">
        <v>2346</v>
      </c>
      <c r="N1048" s="5" t="s">
        <v>36</v>
      </c>
      <c r="O1048" s="5">
        <v>1</v>
      </c>
      <c r="P1048" s="5" t="s">
        <v>43</v>
      </c>
      <c r="Q1048" s="5">
        <v>13.99</v>
      </c>
      <c r="R1048" s="5"/>
      <c r="S1048" s="5"/>
      <c r="T1048" s="5"/>
      <c r="U1048" s="5"/>
      <c r="V1048" s="5"/>
      <c r="W1048" s="5"/>
      <c r="X1048" s="5"/>
      <c r="Y1048" s="5" t="s">
        <v>5022</v>
      </c>
      <c r="Z1048" s="5" t="s">
        <v>54</v>
      </c>
      <c r="AA1048" s="5">
        <v>93111</v>
      </c>
      <c r="AB1048" s="5" t="s">
        <v>46</v>
      </c>
      <c r="AC1048" s="5"/>
      <c r="AD1048" s="5" t="b">
        <v>0</v>
      </c>
      <c r="AE1048" s="5"/>
      <c r="AF1048" s="5"/>
      <c r="AG1048" s="9">
        <f t="shared" si="16"/>
        <v>43283</v>
      </c>
    </row>
    <row r="1049" s="6" customFormat="1" spans="1:33">
      <c r="A1049" s="5" t="s">
        <v>5023</v>
      </c>
      <c r="B1049" s="5" t="s">
        <v>5023</v>
      </c>
      <c r="C1049" s="5" t="s">
        <v>5024</v>
      </c>
      <c r="D1049" s="5" t="s">
        <v>5025</v>
      </c>
      <c r="E1049" s="5" t="s">
        <v>36</v>
      </c>
      <c r="F1049" s="5" t="s">
        <v>37</v>
      </c>
      <c r="G1049" s="5" t="s">
        <v>38</v>
      </c>
      <c r="H1049" s="5"/>
      <c r="I1049" s="5"/>
      <c r="J1049" s="5" t="s">
        <v>39</v>
      </c>
      <c r="K1049" s="5" t="s">
        <v>4038</v>
      </c>
      <c r="L1049" s="5" t="s">
        <v>76</v>
      </c>
      <c r="M1049" s="5" t="s">
        <v>77</v>
      </c>
      <c r="N1049" s="5" t="s">
        <v>36</v>
      </c>
      <c r="O1049" s="5">
        <v>1</v>
      </c>
      <c r="P1049" s="5" t="s">
        <v>43</v>
      </c>
      <c r="Q1049" s="5">
        <v>13.99</v>
      </c>
      <c r="R1049" s="5"/>
      <c r="S1049" s="5"/>
      <c r="T1049" s="5"/>
      <c r="U1049" s="5"/>
      <c r="V1049" s="5"/>
      <c r="W1049" s="5"/>
      <c r="X1049" s="5"/>
      <c r="Y1049" s="5" t="s">
        <v>1588</v>
      </c>
      <c r="Z1049" s="5" t="s">
        <v>142</v>
      </c>
      <c r="AA1049" s="5" t="s">
        <v>5026</v>
      </c>
      <c r="AB1049" s="5" t="s">
        <v>46</v>
      </c>
      <c r="AC1049" s="5"/>
      <c r="AD1049" s="5" t="b">
        <v>0</v>
      </c>
      <c r="AE1049" s="5"/>
      <c r="AF1049" s="5"/>
      <c r="AG1049" s="9">
        <f t="shared" si="16"/>
        <v>43283</v>
      </c>
    </row>
    <row r="1050" s="6" customFormat="1" spans="1:33">
      <c r="A1050" s="5" t="s">
        <v>5027</v>
      </c>
      <c r="B1050" s="5" t="s">
        <v>5027</v>
      </c>
      <c r="C1050" s="5" t="s">
        <v>5028</v>
      </c>
      <c r="D1050" s="5" t="s">
        <v>5029</v>
      </c>
      <c r="E1050" s="5" t="s">
        <v>36</v>
      </c>
      <c r="F1050" s="5" t="s">
        <v>37</v>
      </c>
      <c r="G1050" s="5" t="s">
        <v>38</v>
      </c>
      <c r="H1050" s="5"/>
      <c r="I1050" s="5"/>
      <c r="J1050" s="5" t="s">
        <v>39</v>
      </c>
      <c r="K1050" s="5" t="s">
        <v>4552</v>
      </c>
      <c r="L1050" s="5" t="s">
        <v>279</v>
      </c>
      <c r="M1050" s="5" t="s">
        <v>280</v>
      </c>
      <c r="N1050" s="5" t="s">
        <v>36</v>
      </c>
      <c r="O1050" s="5">
        <v>1</v>
      </c>
      <c r="P1050" s="5" t="s">
        <v>43</v>
      </c>
      <c r="Q1050" s="5">
        <v>24.99</v>
      </c>
      <c r="R1050" s="5"/>
      <c r="S1050" s="5"/>
      <c r="T1050" s="5"/>
      <c r="U1050" s="5"/>
      <c r="V1050" s="5"/>
      <c r="W1050" s="5"/>
      <c r="X1050" s="5"/>
      <c r="Y1050" s="5" t="s">
        <v>5030</v>
      </c>
      <c r="Z1050" s="5" t="s">
        <v>238</v>
      </c>
      <c r="AA1050" s="5" t="s">
        <v>5031</v>
      </c>
      <c r="AB1050" s="5" t="s">
        <v>46</v>
      </c>
      <c r="AC1050" s="5"/>
      <c r="AD1050" s="5" t="b">
        <v>0</v>
      </c>
      <c r="AE1050" s="5"/>
      <c r="AF1050" s="5"/>
      <c r="AG1050" s="9">
        <f t="shared" si="16"/>
        <v>43283</v>
      </c>
    </row>
    <row r="1051" s="6" customFormat="1" spans="1:33">
      <c r="A1051" s="5" t="s">
        <v>5032</v>
      </c>
      <c r="B1051" s="5" t="s">
        <v>5032</v>
      </c>
      <c r="C1051" s="5" t="s">
        <v>5033</v>
      </c>
      <c r="D1051" s="5" t="s">
        <v>5034</v>
      </c>
      <c r="E1051" s="5" t="s">
        <v>36</v>
      </c>
      <c r="F1051" s="5" t="s">
        <v>37</v>
      </c>
      <c r="G1051" s="5" t="s">
        <v>38</v>
      </c>
      <c r="H1051" s="5"/>
      <c r="I1051" s="5"/>
      <c r="J1051" s="5" t="s">
        <v>39</v>
      </c>
      <c r="K1051" s="5" t="s">
        <v>4173</v>
      </c>
      <c r="L1051" s="5" t="s">
        <v>1958</v>
      </c>
      <c r="M1051" s="5" t="s">
        <v>271</v>
      </c>
      <c r="N1051" s="5" t="s">
        <v>36</v>
      </c>
      <c r="O1051" s="5">
        <v>1</v>
      </c>
      <c r="P1051" s="5" t="s">
        <v>43</v>
      </c>
      <c r="Q1051" s="5">
        <v>24.99</v>
      </c>
      <c r="R1051" s="5"/>
      <c r="S1051" s="5"/>
      <c r="T1051" s="5"/>
      <c r="U1051" s="5"/>
      <c r="V1051" s="5"/>
      <c r="W1051" s="5"/>
      <c r="X1051" s="5"/>
      <c r="Y1051" s="5" t="s">
        <v>856</v>
      </c>
      <c r="Z1051" s="5" t="s">
        <v>151</v>
      </c>
      <c r="AA1051" s="5" t="s">
        <v>5035</v>
      </c>
      <c r="AB1051" s="5" t="s">
        <v>46</v>
      </c>
      <c r="AC1051" s="5"/>
      <c r="AD1051" s="5" t="b">
        <v>0</v>
      </c>
      <c r="AE1051" s="5"/>
      <c r="AF1051" s="5"/>
      <c r="AG1051" s="9">
        <f t="shared" si="16"/>
        <v>43283</v>
      </c>
    </row>
    <row r="1052" s="6" customFormat="1" spans="1:33">
      <c r="A1052" s="5" t="s">
        <v>5036</v>
      </c>
      <c r="B1052" s="5" t="s">
        <v>5036</v>
      </c>
      <c r="C1052" s="5" t="s">
        <v>5037</v>
      </c>
      <c r="D1052" s="5" t="s">
        <v>5038</v>
      </c>
      <c r="E1052" s="5" t="s">
        <v>614</v>
      </c>
      <c r="F1052" s="5" t="s">
        <v>37</v>
      </c>
      <c r="G1052" s="5" t="s">
        <v>38</v>
      </c>
      <c r="H1052" s="5"/>
      <c r="I1052" s="5"/>
      <c r="J1052" s="5" t="s">
        <v>39</v>
      </c>
      <c r="K1052" s="5" t="s">
        <v>3645</v>
      </c>
      <c r="L1052" s="5" t="s">
        <v>51</v>
      </c>
      <c r="M1052" s="5" t="s">
        <v>52</v>
      </c>
      <c r="N1052" s="5" t="s">
        <v>833</v>
      </c>
      <c r="O1052" s="5">
        <v>1</v>
      </c>
      <c r="P1052" s="5" t="s">
        <v>43</v>
      </c>
      <c r="Q1052" s="5">
        <v>18.99</v>
      </c>
      <c r="R1052" s="5"/>
      <c r="S1052" s="5"/>
      <c r="T1052" s="5"/>
      <c r="U1052" s="5"/>
      <c r="V1052" s="5"/>
      <c r="W1052" s="5"/>
      <c r="X1052" s="5"/>
      <c r="Y1052" s="5" t="s">
        <v>2020</v>
      </c>
      <c r="Z1052" s="5" t="s">
        <v>54</v>
      </c>
      <c r="AA1052" s="5" t="s">
        <v>5039</v>
      </c>
      <c r="AB1052" s="5" t="s">
        <v>46</v>
      </c>
      <c r="AC1052" s="5"/>
      <c r="AD1052" s="5" t="b">
        <v>0</v>
      </c>
      <c r="AE1052" s="5"/>
      <c r="AF1052" s="5"/>
      <c r="AG1052" s="9">
        <f t="shared" si="16"/>
        <v>43283</v>
      </c>
    </row>
    <row r="1053" s="6" customFormat="1" spans="1:33">
      <c r="A1053" s="5" t="s">
        <v>5040</v>
      </c>
      <c r="B1053" s="5" t="s">
        <v>5040</v>
      </c>
      <c r="C1053" s="5" t="s">
        <v>5041</v>
      </c>
      <c r="D1053" s="5" t="s">
        <v>5042</v>
      </c>
      <c r="E1053" s="5" t="s">
        <v>36</v>
      </c>
      <c r="F1053" s="5" t="s">
        <v>37</v>
      </c>
      <c r="G1053" s="5" t="s">
        <v>38</v>
      </c>
      <c r="H1053" s="5"/>
      <c r="I1053" s="5"/>
      <c r="J1053" s="5" t="s">
        <v>39</v>
      </c>
      <c r="K1053" s="5" t="s">
        <v>3645</v>
      </c>
      <c r="L1053" s="5" t="s">
        <v>51</v>
      </c>
      <c r="M1053" s="5" t="s">
        <v>52</v>
      </c>
      <c r="N1053" s="5" t="s">
        <v>36</v>
      </c>
      <c r="O1053" s="5">
        <v>1</v>
      </c>
      <c r="P1053" s="5" t="s">
        <v>43</v>
      </c>
      <c r="Q1053" s="5">
        <v>18.99</v>
      </c>
      <c r="R1053" s="5"/>
      <c r="S1053" s="5"/>
      <c r="T1053" s="5"/>
      <c r="U1053" s="5"/>
      <c r="V1053" s="5"/>
      <c r="W1053" s="5"/>
      <c r="X1053" s="5"/>
      <c r="Y1053" s="5" t="s">
        <v>5043</v>
      </c>
      <c r="Z1053" s="5" t="s">
        <v>792</v>
      </c>
      <c r="AA1053" s="5">
        <v>94545</v>
      </c>
      <c r="AB1053" s="5" t="s">
        <v>46</v>
      </c>
      <c r="AC1053" s="5"/>
      <c r="AD1053" s="5" t="b">
        <v>0</v>
      </c>
      <c r="AE1053" s="5"/>
      <c r="AF1053" s="5"/>
      <c r="AG1053" s="9">
        <f t="shared" si="16"/>
        <v>43283</v>
      </c>
    </row>
    <row r="1054" s="6" customFormat="1" spans="1:33">
      <c r="A1054" s="5" t="s">
        <v>5044</v>
      </c>
      <c r="B1054" s="5" t="s">
        <v>5044</v>
      </c>
      <c r="C1054" s="5" t="s">
        <v>5045</v>
      </c>
      <c r="D1054" s="5" t="s">
        <v>5046</v>
      </c>
      <c r="E1054" s="5" t="s">
        <v>36</v>
      </c>
      <c r="F1054" s="5" t="s">
        <v>37</v>
      </c>
      <c r="G1054" s="5" t="s">
        <v>38</v>
      </c>
      <c r="H1054" s="5"/>
      <c r="I1054" s="5"/>
      <c r="J1054" s="5" t="s">
        <v>39</v>
      </c>
      <c r="K1054" s="5" t="s">
        <v>3745</v>
      </c>
      <c r="L1054" s="5" t="s">
        <v>202</v>
      </c>
      <c r="M1054" s="5" t="s">
        <v>203</v>
      </c>
      <c r="N1054" s="5" t="s">
        <v>36</v>
      </c>
      <c r="O1054" s="5">
        <v>1</v>
      </c>
      <c r="P1054" s="5" t="s">
        <v>43</v>
      </c>
      <c r="Q1054" s="5">
        <v>18.99</v>
      </c>
      <c r="R1054" s="5"/>
      <c r="S1054" s="5"/>
      <c r="T1054" s="5"/>
      <c r="U1054" s="5"/>
      <c r="V1054" s="5"/>
      <c r="W1054" s="5"/>
      <c r="X1054" s="5"/>
      <c r="Y1054" s="5" t="s">
        <v>2596</v>
      </c>
      <c r="Z1054" s="5" t="s">
        <v>142</v>
      </c>
      <c r="AA1054" s="5" t="s">
        <v>5047</v>
      </c>
      <c r="AB1054" s="5" t="s">
        <v>46</v>
      </c>
      <c r="AC1054" s="5"/>
      <c r="AD1054" s="5" t="b">
        <v>0</v>
      </c>
      <c r="AE1054" s="5"/>
      <c r="AF1054" s="5"/>
      <c r="AG1054" s="9">
        <f t="shared" si="16"/>
        <v>43283</v>
      </c>
    </row>
    <row r="1055" s="6" customFormat="1" spans="1:33">
      <c r="A1055" s="5" t="s">
        <v>5048</v>
      </c>
      <c r="B1055" s="5" t="s">
        <v>5048</v>
      </c>
      <c r="C1055" s="5" t="s">
        <v>5049</v>
      </c>
      <c r="D1055" s="5" t="s">
        <v>5050</v>
      </c>
      <c r="E1055" s="5" t="s">
        <v>36</v>
      </c>
      <c r="F1055" s="5" t="s">
        <v>37</v>
      </c>
      <c r="G1055" s="5" t="s">
        <v>38</v>
      </c>
      <c r="H1055" s="5"/>
      <c r="I1055" s="5"/>
      <c r="J1055" s="5" t="s">
        <v>39</v>
      </c>
      <c r="K1055" s="5" t="s">
        <v>4038</v>
      </c>
      <c r="L1055" s="5" t="s">
        <v>76</v>
      </c>
      <c r="M1055" s="5" t="s">
        <v>77</v>
      </c>
      <c r="N1055" s="5" t="s">
        <v>36</v>
      </c>
      <c r="O1055" s="5">
        <v>1</v>
      </c>
      <c r="P1055" s="5" t="s">
        <v>43</v>
      </c>
      <c r="Q1055" s="5">
        <v>13.99</v>
      </c>
      <c r="R1055" s="5"/>
      <c r="S1055" s="5"/>
      <c r="T1055" s="5"/>
      <c r="U1055" s="5"/>
      <c r="V1055" s="5"/>
      <c r="W1055" s="5"/>
      <c r="X1055" s="5"/>
      <c r="Y1055" s="5" t="s">
        <v>5051</v>
      </c>
      <c r="Z1055" s="5" t="s">
        <v>142</v>
      </c>
      <c r="AA1055" s="5" t="s">
        <v>5052</v>
      </c>
      <c r="AB1055" s="5" t="s">
        <v>46</v>
      </c>
      <c r="AC1055" s="5"/>
      <c r="AD1055" s="5" t="b">
        <v>0</v>
      </c>
      <c r="AE1055" s="5"/>
      <c r="AF1055" s="5"/>
      <c r="AG1055" s="9">
        <f t="shared" si="16"/>
        <v>43283</v>
      </c>
    </row>
    <row r="1056" s="6" customFormat="1" spans="1:33">
      <c r="A1056" s="5" t="s">
        <v>5053</v>
      </c>
      <c r="B1056" s="5" t="s">
        <v>5053</v>
      </c>
      <c r="C1056" s="5" t="s">
        <v>5054</v>
      </c>
      <c r="D1056" s="5" t="s">
        <v>5055</v>
      </c>
      <c r="E1056" s="5" t="s">
        <v>36</v>
      </c>
      <c r="F1056" s="5" t="s">
        <v>37</v>
      </c>
      <c r="G1056" s="5" t="s">
        <v>38</v>
      </c>
      <c r="H1056" s="5"/>
      <c r="I1056" s="5"/>
      <c r="J1056" s="5" t="s">
        <v>39</v>
      </c>
      <c r="K1056" s="5" t="s">
        <v>3645</v>
      </c>
      <c r="L1056" s="5" t="s">
        <v>51</v>
      </c>
      <c r="M1056" s="5" t="s">
        <v>52</v>
      </c>
      <c r="N1056" s="5" t="s">
        <v>36</v>
      </c>
      <c r="O1056" s="5">
        <v>1</v>
      </c>
      <c r="P1056" s="5" t="s">
        <v>43</v>
      </c>
      <c r="Q1056" s="5">
        <v>18.99</v>
      </c>
      <c r="R1056" s="5"/>
      <c r="S1056" s="5"/>
      <c r="T1056" s="5"/>
      <c r="U1056" s="5"/>
      <c r="V1056" s="5"/>
      <c r="W1056" s="5"/>
      <c r="X1056" s="5"/>
      <c r="Y1056" s="5" t="s">
        <v>5056</v>
      </c>
      <c r="Z1056" s="5" t="s">
        <v>606</v>
      </c>
      <c r="AA1056" s="5" t="s">
        <v>5057</v>
      </c>
      <c r="AB1056" s="5" t="s">
        <v>46</v>
      </c>
      <c r="AC1056" s="5"/>
      <c r="AD1056" s="5" t="b">
        <v>0</v>
      </c>
      <c r="AE1056" s="5"/>
      <c r="AF1056" s="5"/>
      <c r="AG1056" s="9">
        <f t="shared" si="16"/>
        <v>43283</v>
      </c>
    </row>
    <row r="1057" s="6" customFormat="1" spans="1:33">
      <c r="A1057" s="5" t="s">
        <v>5058</v>
      </c>
      <c r="B1057" s="5" t="s">
        <v>5058</v>
      </c>
      <c r="C1057" s="5" t="s">
        <v>5059</v>
      </c>
      <c r="D1057" s="5" t="s">
        <v>5060</v>
      </c>
      <c r="E1057" s="5" t="s">
        <v>36</v>
      </c>
      <c r="F1057" s="5" t="s">
        <v>37</v>
      </c>
      <c r="G1057" s="5" t="s">
        <v>38</v>
      </c>
      <c r="H1057" s="5"/>
      <c r="I1057" s="5"/>
      <c r="J1057" s="5" t="s">
        <v>39</v>
      </c>
      <c r="K1057" s="5" t="s">
        <v>3745</v>
      </c>
      <c r="L1057" s="5" t="s">
        <v>202</v>
      </c>
      <c r="M1057" s="5" t="s">
        <v>203</v>
      </c>
      <c r="N1057" s="5" t="s">
        <v>36</v>
      </c>
      <c r="O1057" s="5">
        <v>1</v>
      </c>
      <c r="P1057" s="5" t="s">
        <v>43</v>
      </c>
      <c r="Q1057" s="5">
        <v>18.99</v>
      </c>
      <c r="R1057" s="5"/>
      <c r="S1057" s="5"/>
      <c r="T1057" s="5"/>
      <c r="U1057" s="5"/>
      <c r="V1057" s="5"/>
      <c r="W1057" s="5"/>
      <c r="X1057" s="5"/>
      <c r="Y1057" s="5" t="s">
        <v>246</v>
      </c>
      <c r="Z1057" s="5" t="s">
        <v>247</v>
      </c>
      <c r="AA1057" s="5">
        <v>76002</v>
      </c>
      <c r="AB1057" s="5" t="s">
        <v>46</v>
      </c>
      <c r="AC1057" s="5"/>
      <c r="AD1057" s="5" t="b">
        <v>0</v>
      </c>
      <c r="AE1057" s="5"/>
      <c r="AF1057" s="5"/>
      <c r="AG1057" s="9">
        <f t="shared" si="16"/>
        <v>43283</v>
      </c>
    </row>
    <row r="1058" s="6" customFormat="1" spans="1:33">
      <c r="A1058" s="5" t="s">
        <v>5061</v>
      </c>
      <c r="B1058" s="5" t="s">
        <v>5061</v>
      </c>
      <c r="C1058" s="5" t="s">
        <v>5062</v>
      </c>
      <c r="D1058" s="5" t="s">
        <v>5063</v>
      </c>
      <c r="E1058" s="5" t="s">
        <v>36</v>
      </c>
      <c r="F1058" s="5" t="s">
        <v>37</v>
      </c>
      <c r="G1058" s="5" t="s">
        <v>38</v>
      </c>
      <c r="H1058" s="5"/>
      <c r="I1058" s="5"/>
      <c r="J1058" s="5" t="s">
        <v>128</v>
      </c>
      <c r="K1058" s="5" t="s">
        <v>58</v>
      </c>
      <c r="L1058" s="5" t="s">
        <v>59</v>
      </c>
      <c r="M1058" s="5" t="s">
        <v>60</v>
      </c>
      <c r="N1058" s="5" t="s">
        <v>36</v>
      </c>
      <c r="O1058" s="5">
        <v>1</v>
      </c>
      <c r="P1058" s="5" t="s">
        <v>43</v>
      </c>
      <c r="Q1058" s="5">
        <v>13.99</v>
      </c>
      <c r="R1058" s="5">
        <v>1.15</v>
      </c>
      <c r="S1058" s="5">
        <v>1.86</v>
      </c>
      <c r="T1058" s="5"/>
      <c r="U1058" s="5"/>
      <c r="V1058" s="5"/>
      <c r="W1058" s="5"/>
      <c r="X1058" s="5">
        <v>1.86</v>
      </c>
      <c r="Y1058" s="5" t="s">
        <v>5064</v>
      </c>
      <c r="Z1058" s="5" t="s">
        <v>843</v>
      </c>
      <c r="AA1058" s="5">
        <v>73003</v>
      </c>
      <c r="AB1058" s="5" t="s">
        <v>46</v>
      </c>
      <c r="AC1058" s="5" t="s">
        <v>225</v>
      </c>
      <c r="AD1058" s="5" t="b">
        <v>0</v>
      </c>
      <c r="AE1058" s="5"/>
      <c r="AF1058" s="5"/>
      <c r="AG1058" s="9">
        <f t="shared" si="16"/>
        <v>43283</v>
      </c>
    </row>
    <row r="1059" s="6" customFormat="1" spans="1:33">
      <c r="A1059" s="5" t="s">
        <v>5065</v>
      </c>
      <c r="B1059" s="5" t="s">
        <v>5065</v>
      </c>
      <c r="C1059" s="5" t="s">
        <v>5066</v>
      </c>
      <c r="D1059" s="5" t="s">
        <v>5067</v>
      </c>
      <c r="E1059" s="5" t="s">
        <v>36</v>
      </c>
      <c r="F1059" s="5" t="s">
        <v>37</v>
      </c>
      <c r="G1059" s="5" t="s">
        <v>38</v>
      </c>
      <c r="H1059" s="5"/>
      <c r="I1059" s="5"/>
      <c r="J1059" s="5" t="s">
        <v>39</v>
      </c>
      <c r="K1059" s="5" t="s">
        <v>4038</v>
      </c>
      <c r="L1059" s="5" t="s">
        <v>76</v>
      </c>
      <c r="M1059" s="5" t="s">
        <v>77</v>
      </c>
      <c r="N1059" s="5" t="s">
        <v>36</v>
      </c>
      <c r="O1059" s="5">
        <v>1</v>
      </c>
      <c r="P1059" s="5" t="s">
        <v>43</v>
      </c>
      <c r="Q1059" s="5">
        <v>13.99</v>
      </c>
      <c r="R1059" s="5"/>
      <c r="S1059" s="5"/>
      <c r="T1059" s="5"/>
      <c r="U1059" s="5"/>
      <c r="V1059" s="5"/>
      <c r="W1059" s="5"/>
      <c r="X1059" s="5"/>
      <c r="Y1059" s="5" t="s">
        <v>5068</v>
      </c>
      <c r="Z1059" s="5" t="s">
        <v>105</v>
      </c>
      <c r="AA1059" s="5" t="s">
        <v>5069</v>
      </c>
      <c r="AB1059" s="5" t="s">
        <v>46</v>
      </c>
      <c r="AC1059" s="5"/>
      <c r="AD1059" s="5" t="b">
        <v>0</v>
      </c>
      <c r="AE1059" s="5"/>
      <c r="AF1059" s="5"/>
      <c r="AG1059" s="9">
        <f t="shared" si="16"/>
        <v>43283</v>
      </c>
    </row>
    <row r="1060" s="6" customFormat="1" spans="1:33">
      <c r="A1060" s="5" t="s">
        <v>5070</v>
      </c>
      <c r="B1060" s="5" t="s">
        <v>5070</v>
      </c>
      <c r="C1060" s="5" t="s">
        <v>5071</v>
      </c>
      <c r="D1060" s="5" t="s">
        <v>5072</v>
      </c>
      <c r="E1060" s="5" t="s">
        <v>36</v>
      </c>
      <c r="F1060" s="5" t="s">
        <v>37</v>
      </c>
      <c r="G1060" s="5" t="s">
        <v>38</v>
      </c>
      <c r="H1060" s="5"/>
      <c r="I1060" s="5"/>
      <c r="J1060" s="5" t="s">
        <v>39</v>
      </c>
      <c r="K1060" s="5" t="s">
        <v>3940</v>
      </c>
      <c r="L1060" s="5" t="s">
        <v>2099</v>
      </c>
      <c r="M1060" s="5" t="s">
        <v>121</v>
      </c>
      <c r="N1060" s="5" t="s">
        <v>36</v>
      </c>
      <c r="O1060" s="5">
        <v>1</v>
      </c>
      <c r="P1060" s="5" t="s">
        <v>43</v>
      </c>
      <c r="Q1060" s="5">
        <v>24.99</v>
      </c>
      <c r="R1060" s="5"/>
      <c r="S1060" s="5"/>
      <c r="T1060" s="5"/>
      <c r="U1060" s="5"/>
      <c r="V1060" s="5"/>
      <c r="W1060" s="5"/>
      <c r="X1060" s="5"/>
      <c r="Y1060" s="5" t="s">
        <v>5073</v>
      </c>
      <c r="Z1060" s="5" t="s">
        <v>151</v>
      </c>
      <c r="AA1060" s="5" t="s">
        <v>5074</v>
      </c>
      <c r="AB1060" s="5" t="s">
        <v>46</v>
      </c>
      <c r="AC1060" s="5"/>
      <c r="AD1060" s="5" t="b">
        <v>0</v>
      </c>
      <c r="AE1060" s="5"/>
      <c r="AF1060" s="5"/>
      <c r="AG1060" s="9">
        <f t="shared" si="16"/>
        <v>43283</v>
      </c>
    </row>
    <row r="1061" s="6" customFormat="1" spans="1:33">
      <c r="A1061" s="5" t="s">
        <v>5075</v>
      </c>
      <c r="B1061" s="5" t="s">
        <v>5075</v>
      </c>
      <c r="C1061" s="5" t="s">
        <v>5076</v>
      </c>
      <c r="D1061" s="5" t="s">
        <v>5077</v>
      </c>
      <c r="E1061" s="5" t="s">
        <v>36</v>
      </c>
      <c r="F1061" s="5" t="s">
        <v>37</v>
      </c>
      <c r="G1061" s="5" t="s">
        <v>38</v>
      </c>
      <c r="H1061" s="5"/>
      <c r="I1061" s="5"/>
      <c r="J1061" s="5" t="s">
        <v>128</v>
      </c>
      <c r="K1061" s="5" t="s">
        <v>4085</v>
      </c>
      <c r="L1061" s="5" t="s">
        <v>102</v>
      </c>
      <c r="M1061" s="5" t="s">
        <v>103</v>
      </c>
      <c r="N1061" s="5" t="s">
        <v>36</v>
      </c>
      <c r="O1061" s="5">
        <v>1</v>
      </c>
      <c r="P1061" s="5" t="s">
        <v>43</v>
      </c>
      <c r="Q1061" s="5">
        <v>13.99</v>
      </c>
      <c r="R1061" s="5"/>
      <c r="S1061" s="5">
        <v>1.07</v>
      </c>
      <c r="T1061" s="5"/>
      <c r="U1061" s="5"/>
      <c r="V1061" s="5"/>
      <c r="W1061" s="5"/>
      <c r="X1061" s="5">
        <v>1.07</v>
      </c>
      <c r="Y1061" s="5" t="s">
        <v>5078</v>
      </c>
      <c r="Z1061" s="5" t="s">
        <v>142</v>
      </c>
      <c r="AA1061" s="5" t="s">
        <v>5079</v>
      </c>
      <c r="AB1061" s="5" t="s">
        <v>46</v>
      </c>
      <c r="AC1061" s="5" t="s">
        <v>225</v>
      </c>
      <c r="AD1061" s="5" t="b">
        <v>0</v>
      </c>
      <c r="AE1061" s="5"/>
      <c r="AF1061" s="5"/>
      <c r="AG1061" s="9">
        <f t="shared" si="16"/>
        <v>43283</v>
      </c>
    </row>
    <row r="1062" s="6" customFormat="1" spans="1:33">
      <c r="A1062" s="5" t="s">
        <v>5080</v>
      </c>
      <c r="B1062" s="5" t="s">
        <v>5080</v>
      </c>
      <c r="C1062" s="5" t="s">
        <v>5081</v>
      </c>
      <c r="D1062" s="5" t="s">
        <v>5082</v>
      </c>
      <c r="E1062" s="5" t="s">
        <v>36</v>
      </c>
      <c r="F1062" s="5" t="s">
        <v>37</v>
      </c>
      <c r="G1062" s="5" t="s">
        <v>38</v>
      </c>
      <c r="H1062" s="5"/>
      <c r="I1062" s="5"/>
      <c r="J1062" s="5" t="s">
        <v>39</v>
      </c>
      <c r="K1062" s="5" t="s">
        <v>3714</v>
      </c>
      <c r="L1062" s="5" t="s">
        <v>148</v>
      </c>
      <c r="M1062" s="5" t="s">
        <v>149</v>
      </c>
      <c r="N1062" s="5" t="s">
        <v>36</v>
      </c>
      <c r="O1062" s="5">
        <v>1</v>
      </c>
      <c r="P1062" s="5" t="s">
        <v>43</v>
      </c>
      <c r="Q1062" s="5">
        <v>13.99</v>
      </c>
      <c r="R1062" s="5"/>
      <c r="S1062" s="5"/>
      <c r="T1062" s="5"/>
      <c r="U1062" s="5"/>
      <c r="V1062" s="5"/>
      <c r="W1062" s="5"/>
      <c r="X1062" s="5"/>
      <c r="Y1062" s="5" t="s">
        <v>5083</v>
      </c>
      <c r="Z1062" s="5" t="s">
        <v>54</v>
      </c>
      <c r="AA1062" s="5" t="s">
        <v>5084</v>
      </c>
      <c r="AB1062" s="5" t="s">
        <v>46</v>
      </c>
      <c r="AC1062" s="5"/>
      <c r="AD1062" s="5" t="b">
        <v>0</v>
      </c>
      <c r="AE1062" s="5"/>
      <c r="AF1062" s="5"/>
      <c r="AG1062" s="9">
        <f t="shared" si="16"/>
        <v>43283</v>
      </c>
    </row>
    <row r="1063" s="6" customFormat="1" spans="1:33">
      <c r="A1063" s="5" t="s">
        <v>5085</v>
      </c>
      <c r="B1063" s="5" t="s">
        <v>5085</v>
      </c>
      <c r="C1063" s="5" t="s">
        <v>5086</v>
      </c>
      <c r="D1063" s="5" t="s">
        <v>5087</v>
      </c>
      <c r="E1063" s="5" t="s">
        <v>36</v>
      </c>
      <c r="F1063" s="5" t="s">
        <v>37</v>
      </c>
      <c r="G1063" s="5" t="s">
        <v>38</v>
      </c>
      <c r="H1063" s="5"/>
      <c r="I1063" s="5"/>
      <c r="J1063" s="5" t="s">
        <v>39</v>
      </c>
      <c r="K1063" s="5" t="s">
        <v>58</v>
      </c>
      <c r="L1063" s="5" t="s">
        <v>59</v>
      </c>
      <c r="M1063" s="5" t="s">
        <v>60</v>
      </c>
      <c r="N1063" s="5" t="s">
        <v>36</v>
      </c>
      <c r="O1063" s="5">
        <v>1</v>
      </c>
      <c r="P1063" s="5" t="s">
        <v>43</v>
      </c>
      <c r="Q1063" s="5">
        <v>13.99</v>
      </c>
      <c r="R1063" s="5"/>
      <c r="S1063" s="5"/>
      <c r="T1063" s="5"/>
      <c r="U1063" s="5"/>
      <c r="V1063" s="5"/>
      <c r="W1063" s="5"/>
      <c r="X1063" s="5"/>
      <c r="Y1063" s="5" t="s">
        <v>1664</v>
      </c>
      <c r="Z1063" s="5" t="s">
        <v>54</v>
      </c>
      <c r="AA1063" s="5" t="s">
        <v>5088</v>
      </c>
      <c r="AB1063" s="5" t="s">
        <v>46</v>
      </c>
      <c r="AC1063" s="5"/>
      <c r="AD1063" s="5" t="b">
        <v>0</v>
      </c>
      <c r="AE1063" s="5"/>
      <c r="AF1063" s="5"/>
      <c r="AG1063" s="9">
        <f t="shared" si="16"/>
        <v>43283</v>
      </c>
    </row>
    <row r="1064" s="6" customFormat="1" spans="1:33">
      <c r="A1064" s="5" t="s">
        <v>5089</v>
      </c>
      <c r="B1064" s="5" t="s">
        <v>5089</v>
      </c>
      <c r="C1064" s="5" t="s">
        <v>5090</v>
      </c>
      <c r="D1064" s="5" t="s">
        <v>5091</v>
      </c>
      <c r="E1064" s="5" t="s">
        <v>36</v>
      </c>
      <c r="F1064" s="5" t="s">
        <v>37</v>
      </c>
      <c r="G1064" s="5" t="s">
        <v>38</v>
      </c>
      <c r="H1064" s="5"/>
      <c r="I1064" s="5"/>
      <c r="J1064" s="5" t="s">
        <v>39</v>
      </c>
      <c r="K1064" s="5" t="s">
        <v>3672</v>
      </c>
      <c r="L1064" s="5" t="s">
        <v>3673</v>
      </c>
      <c r="M1064" s="5" t="s">
        <v>3674</v>
      </c>
      <c r="N1064" s="5" t="s">
        <v>36</v>
      </c>
      <c r="O1064" s="5">
        <v>1</v>
      </c>
      <c r="P1064" s="5" t="s">
        <v>43</v>
      </c>
      <c r="Q1064" s="5">
        <v>12</v>
      </c>
      <c r="R1064" s="5"/>
      <c r="S1064" s="5"/>
      <c r="T1064" s="5"/>
      <c r="U1064" s="5"/>
      <c r="V1064" s="5"/>
      <c r="W1064" s="5"/>
      <c r="X1064" s="5"/>
      <c r="Y1064" s="5" t="s">
        <v>196</v>
      </c>
      <c r="Z1064" s="5" t="s">
        <v>54</v>
      </c>
      <c r="AA1064" s="5" t="s">
        <v>5092</v>
      </c>
      <c r="AB1064" s="5" t="s">
        <v>46</v>
      </c>
      <c r="AC1064" s="5"/>
      <c r="AD1064" s="5" t="b">
        <v>0</v>
      </c>
      <c r="AE1064" s="5"/>
      <c r="AF1064" s="5"/>
      <c r="AG1064" s="9">
        <f t="shared" si="16"/>
        <v>43283</v>
      </c>
    </row>
    <row r="1065" s="6" customFormat="1" spans="1:33">
      <c r="A1065" s="5" t="s">
        <v>5093</v>
      </c>
      <c r="B1065" s="5" t="s">
        <v>5093</v>
      </c>
      <c r="C1065" s="5" t="s">
        <v>5094</v>
      </c>
      <c r="D1065" s="5" t="s">
        <v>5095</v>
      </c>
      <c r="E1065" s="5" t="s">
        <v>36</v>
      </c>
      <c r="F1065" s="5" t="s">
        <v>37</v>
      </c>
      <c r="G1065" s="5" t="s">
        <v>38</v>
      </c>
      <c r="H1065" s="5"/>
      <c r="I1065" s="5"/>
      <c r="J1065" s="5" t="s">
        <v>39</v>
      </c>
      <c r="K1065" s="5" t="s">
        <v>251</v>
      </c>
      <c r="L1065" s="5" t="s">
        <v>252</v>
      </c>
      <c r="M1065" s="5" t="s">
        <v>253</v>
      </c>
      <c r="N1065" s="5" t="s">
        <v>36</v>
      </c>
      <c r="O1065" s="5">
        <v>1</v>
      </c>
      <c r="P1065" s="5" t="s">
        <v>43</v>
      </c>
      <c r="Q1065" s="5">
        <v>12.98</v>
      </c>
      <c r="R1065" s="5"/>
      <c r="S1065" s="5"/>
      <c r="T1065" s="5"/>
      <c r="U1065" s="5"/>
      <c r="V1065" s="5"/>
      <c r="W1065" s="5"/>
      <c r="X1065" s="5"/>
      <c r="Y1065" s="5" t="s">
        <v>544</v>
      </c>
      <c r="Z1065" s="5" t="s">
        <v>2876</v>
      </c>
      <c r="AA1065" s="5">
        <v>11209</v>
      </c>
      <c r="AB1065" s="5" t="s">
        <v>46</v>
      </c>
      <c r="AC1065" s="5"/>
      <c r="AD1065" s="5" t="b">
        <v>0</v>
      </c>
      <c r="AE1065" s="5"/>
      <c r="AF1065" s="5"/>
      <c r="AG1065" s="9">
        <f t="shared" si="16"/>
        <v>43283</v>
      </c>
    </row>
    <row r="1066" s="6" customFormat="1" spans="1:33">
      <c r="A1066" s="5" t="s">
        <v>5096</v>
      </c>
      <c r="B1066" s="5" t="s">
        <v>5096</v>
      </c>
      <c r="C1066" s="5" t="s">
        <v>5097</v>
      </c>
      <c r="D1066" s="5" t="s">
        <v>5098</v>
      </c>
      <c r="E1066" s="5" t="s">
        <v>36</v>
      </c>
      <c r="F1066" s="5" t="s">
        <v>37</v>
      </c>
      <c r="G1066" s="5" t="s">
        <v>38</v>
      </c>
      <c r="H1066" s="5"/>
      <c r="I1066" s="5"/>
      <c r="J1066" s="5" t="s">
        <v>39</v>
      </c>
      <c r="K1066" s="5" t="s">
        <v>4085</v>
      </c>
      <c r="L1066" s="5" t="s">
        <v>102</v>
      </c>
      <c r="M1066" s="5" t="s">
        <v>103</v>
      </c>
      <c r="N1066" s="5" t="s">
        <v>36</v>
      </c>
      <c r="O1066" s="5">
        <v>1</v>
      </c>
      <c r="P1066" s="5" t="s">
        <v>43</v>
      </c>
      <c r="Q1066" s="5">
        <v>13.99</v>
      </c>
      <c r="R1066" s="5"/>
      <c r="S1066" s="5"/>
      <c r="T1066" s="5"/>
      <c r="U1066" s="5"/>
      <c r="V1066" s="5"/>
      <c r="W1066" s="5"/>
      <c r="X1066" s="5"/>
      <c r="Y1066" s="5" t="s">
        <v>5099</v>
      </c>
      <c r="Z1066" s="5" t="s">
        <v>5100</v>
      </c>
      <c r="AA1066" s="5">
        <v>78656</v>
      </c>
      <c r="AB1066" s="5" t="s">
        <v>46</v>
      </c>
      <c r="AC1066" s="5"/>
      <c r="AD1066" s="5" t="b">
        <v>0</v>
      </c>
      <c r="AE1066" s="5"/>
      <c r="AF1066" s="5"/>
      <c r="AG1066" s="9">
        <f t="shared" si="16"/>
        <v>43283</v>
      </c>
    </row>
    <row r="1067" s="6" customFormat="1" spans="1:33">
      <c r="A1067" s="5" t="s">
        <v>5101</v>
      </c>
      <c r="B1067" s="5" t="s">
        <v>5101</v>
      </c>
      <c r="C1067" s="5" t="s">
        <v>5102</v>
      </c>
      <c r="D1067" s="5" t="s">
        <v>5103</v>
      </c>
      <c r="E1067" s="5" t="s">
        <v>36</v>
      </c>
      <c r="F1067" s="5" t="s">
        <v>37</v>
      </c>
      <c r="G1067" s="5" t="s">
        <v>38</v>
      </c>
      <c r="H1067" s="5"/>
      <c r="I1067" s="5"/>
      <c r="J1067" s="5" t="s">
        <v>39</v>
      </c>
      <c r="K1067" s="5" t="s">
        <v>3745</v>
      </c>
      <c r="L1067" s="5" t="s">
        <v>202</v>
      </c>
      <c r="M1067" s="5" t="s">
        <v>203</v>
      </c>
      <c r="N1067" s="5" t="s">
        <v>36</v>
      </c>
      <c r="O1067" s="5">
        <v>1</v>
      </c>
      <c r="P1067" s="5" t="s">
        <v>43</v>
      </c>
      <c r="Q1067" s="5">
        <v>18.99</v>
      </c>
      <c r="R1067" s="5"/>
      <c r="S1067" s="5"/>
      <c r="T1067" s="5"/>
      <c r="U1067" s="5"/>
      <c r="V1067" s="5"/>
      <c r="W1067" s="5"/>
      <c r="X1067" s="5"/>
      <c r="Y1067" s="5" t="s">
        <v>5104</v>
      </c>
      <c r="Z1067" s="5" t="s">
        <v>247</v>
      </c>
      <c r="AA1067" s="5" t="s">
        <v>5105</v>
      </c>
      <c r="AB1067" s="5" t="s">
        <v>46</v>
      </c>
      <c r="AC1067" s="5"/>
      <c r="AD1067" s="5" t="b">
        <v>0</v>
      </c>
      <c r="AE1067" s="5"/>
      <c r="AF1067" s="5"/>
      <c r="AG1067" s="9">
        <f t="shared" si="16"/>
        <v>43283</v>
      </c>
    </row>
    <row r="1068" s="6" customFormat="1" spans="1:33">
      <c r="A1068" s="5" t="s">
        <v>5106</v>
      </c>
      <c r="B1068" s="5" t="s">
        <v>5106</v>
      </c>
      <c r="C1068" s="5" t="s">
        <v>5107</v>
      </c>
      <c r="D1068" s="5" t="s">
        <v>5108</v>
      </c>
      <c r="E1068" s="5" t="s">
        <v>36</v>
      </c>
      <c r="F1068" s="5" t="s">
        <v>37</v>
      </c>
      <c r="G1068" s="5" t="s">
        <v>38</v>
      </c>
      <c r="H1068" s="5"/>
      <c r="I1068" s="5"/>
      <c r="J1068" s="5" t="s">
        <v>39</v>
      </c>
      <c r="K1068" s="5" t="s">
        <v>5109</v>
      </c>
      <c r="L1068" s="5" t="s">
        <v>5110</v>
      </c>
      <c r="M1068" s="5" t="s">
        <v>5111</v>
      </c>
      <c r="N1068" s="5" t="s">
        <v>36</v>
      </c>
      <c r="O1068" s="5">
        <v>1</v>
      </c>
      <c r="P1068" s="5" t="s">
        <v>43</v>
      </c>
      <c r="Q1068" s="5">
        <v>12</v>
      </c>
      <c r="R1068" s="5"/>
      <c r="S1068" s="5"/>
      <c r="T1068" s="5"/>
      <c r="U1068" s="5"/>
      <c r="V1068" s="5"/>
      <c r="W1068" s="5"/>
      <c r="X1068" s="5"/>
      <c r="Y1068" s="5" t="s">
        <v>5112</v>
      </c>
      <c r="Z1068" s="5" t="s">
        <v>5113</v>
      </c>
      <c r="AA1068" s="5" t="s">
        <v>5114</v>
      </c>
      <c r="AB1068" s="5" t="s">
        <v>46</v>
      </c>
      <c r="AC1068" s="5"/>
      <c r="AD1068" s="5" t="b">
        <v>0</v>
      </c>
      <c r="AE1068" s="5"/>
      <c r="AF1068" s="5"/>
      <c r="AG1068" s="9">
        <f t="shared" si="16"/>
        <v>43283</v>
      </c>
    </row>
    <row r="1069" s="6" customFormat="1" spans="1:33">
      <c r="A1069" s="5" t="s">
        <v>5115</v>
      </c>
      <c r="B1069" s="5" t="s">
        <v>5115</v>
      </c>
      <c r="C1069" s="5" t="s">
        <v>5116</v>
      </c>
      <c r="D1069" s="5" t="s">
        <v>5117</v>
      </c>
      <c r="E1069" s="5" t="s">
        <v>36</v>
      </c>
      <c r="F1069" s="5" t="s">
        <v>37</v>
      </c>
      <c r="G1069" s="5" t="s">
        <v>38</v>
      </c>
      <c r="H1069" s="5"/>
      <c r="I1069" s="5"/>
      <c r="J1069" s="5" t="s">
        <v>39</v>
      </c>
      <c r="K1069" s="5" t="s">
        <v>3940</v>
      </c>
      <c r="L1069" s="5" t="s">
        <v>2099</v>
      </c>
      <c r="M1069" s="5" t="s">
        <v>121</v>
      </c>
      <c r="N1069" s="5" t="s">
        <v>36</v>
      </c>
      <c r="O1069" s="5">
        <v>1</v>
      </c>
      <c r="P1069" s="5" t="s">
        <v>43</v>
      </c>
      <c r="Q1069" s="5">
        <v>24.99</v>
      </c>
      <c r="R1069" s="5"/>
      <c r="S1069" s="5"/>
      <c r="T1069" s="5"/>
      <c r="U1069" s="5"/>
      <c r="V1069" s="5"/>
      <c r="W1069" s="5"/>
      <c r="X1069" s="5"/>
      <c r="Y1069" s="5" t="s">
        <v>5118</v>
      </c>
      <c r="Z1069" s="5" t="s">
        <v>54</v>
      </c>
      <c r="AA1069" s="5" t="s">
        <v>5119</v>
      </c>
      <c r="AB1069" s="5" t="s">
        <v>46</v>
      </c>
      <c r="AC1069" s="5"/>
      <c r="AD1069" s="5" t="b">
        <v>0</v>
      </c>
      <c r="AE1069" s="5"/>
      <c r="AF1069" s="5"/>
      <c r="AG1069" s="9">
        <f t="shared" si="16"/>
        <v>43283</v>
      </c>
    </row>
    <row r="1070" s="6" customFormat="1" spans="1:33">
      <c r="A1070" s="5" t="s">
        <v>5120</v>
      </c>
      <c r="B1070" s="5" t="s">
        <v>5120</v>
      </c>
      <c r="C1070" s="5" t="s">
        <v>5121</v>
      </c>
      <c r="D1070" s="5" t="s">
        <v>5122</v>
      </c>
      <c r="E1070" s="5" t="s">
        <v>36</v>
      </c>
      <c r="F1070" s="5" t="s">
        <v>37</v>
      </c>
      <c r="G1070" s="5" t="s">
        <v>38</v>
      </c>
      <c r="H1070" s="5"/>
      <c r="I1070" s="5"/>
      <c r="J1070" s="5" t="s">
        <v>39</v>
      </c>
      <c r="K1070" s="5" t="s">
        <v>3679</v>
      </c>
      <c r="L1070" s="5" t="s">
        <v>4376</v>
      </c>
      <c r="M1070" s="5" t="s">
        <v>1293</v>
      </c>
      <c r="N1070" s="5" t="s">
        <v>36</v>
      </c>
      <c r="O1070" s="5">
        <v>1</v>
      </c>
      <c r="P1070" s="5" t="s">
        <v>43</v>
      </c>
      <c r="Q1070" s="5">
        <v>13.99</v>
      </c>
      <c r="R1070" s="5"/>
      <c r="S1070" s="5"/>
      <c r="T1070" s="5"/>
      <c r="U1070" s="5"/>
      <c r="V1070" s="5"/>
      <c r="W1070" s="5"/>
      <c r="X1070" s="5"/>
      <c r="Y1070" s="5" t="s">
        <v>437</v>
      </c>
      <c r="Z1070" s="5" t="s">
        <v>151</v>
      </c>
      <c r="AA1070" s="5" t="s">
        <v>5123</v>
      </c>
      <c r="AB1070" s="5" t="s">
        <v>46</v>
      </c>
      <c r="AC1070" s="5"/>
      <c r="AD1070" s="5" t="b">
        <v>0</v>
      </c>
      <c r="AE1070" s="5"/>
      <c r="AF1070" s="5"/>
      <c r="AG1070" s="9">
        <f t="shared" si="16"/>
        <v>43283</v>
      </c>
    </row>
    <row r="1071" s="6" customFormat="1" spans="1:33">
      <c r="A1071" s="5" t="s">
        <v>5124</v>
      </c>
      <c r="B1071" s="5" t="s">
        <v>5124</v>
      </c>
      <c r="C1071" s="5" t="s">
        <v>5125</v>
      </c>
      <c r="D1071" s="5" t="s">
        <v>5126</v>
      </c>
      <c r="E1071" s="5" t="s">
        <v>36</v>
      </c>
      <c r="F1071" s="5" t="s">
        <v>37</v>
      </c>
      <c r="G1071" s="5" t="s">
        <v>38</v>
      </c>
      <c r="H1071" s="5"/>
      <c r="I1071" s="5"/>
      <c r="J1071" s="5" t="s">
        <v>39</v>
      </c>
      <c r="K1071" s="5" t="s">
        <v>3645</v>
      </c>
      <c r="L1071" s="5" t="s">
        <v>51</v>
      </c>
      <c r="M1071" s="5" t="s">
        <v>52</v>
      </c>
      <c r="N1071" s="5" t="s">
        <v>36</v>
      </c>
      <c r="O1071" s="5">
        <v>1</v>
      </c>
      <c r="P1071" s="5" t="s">
        <v>43</v>
      </c>
      <c r="Q1071" s="5">
        <v>18.99</v>
      </c>
      <c r="R1071" s="5"/>
      <c r="S1071" s="5"/>
      <c r="T1071" s="5"/>
      <c r="U1071" s="5"/>
      <c r="V1071" s="5"/>
      <c r="W1071" s="5"/>
      <c r="X1071" s="5"/>
      <c r="Y1071" s="5" t="s">
        <v>2268</v>
      </c>
      <c r="Z1071" s="5" t="s">
        <v>505</v>
      </c>
      <c r="AA1071" s="5" t="s">
        <v>5127</v>
      </c>
      <c r="AB1071" s="5" t="s">
        <v>46</v>
      </c>
      <c r="AC1071" s="5"/>
      <c r="AD1071" s="5" t="b">
        <v>0</v>
      </c>
      <c r="AE1071" s="5"/>
      <c r="AF1071" s="5"/>
      <c r="AG1071" s="9">
        <f t="shared" si="16"/>
        <v>43283</v>
      </c>
    </row>
    <row r="1072" s="6" customFormat="1" spans="1:33">
      <c r="A1072" s="5" t="s">
        <v>5124</v>
      </c>
      <c r="B1072" s="5" t="s">
        <v>5124</v>
      </c>
      <c r="C1072" s="5" t="s">
        <v>5125</v>
      </c>
      <c r="D1072" s="5" t="s">
        <v>5126</v>
      </c>
      <c r="E1072" s="5" t="s">
        <v>36</v>
      </c>
      <c r="F1072" s="5" t="s">
        <v>37</v>
      </c>
      <c r="G1072" s="5" t="s">
        <v>38</v>
      </c>
      <c r="H1072" s="5"/>
      <c r="I1072" s="5"/>
      <c r="J1072" s="5" t="s">
        <v>39</v>
      </c>
      <c r="K1072" s="5" t="s">
        <v>3703</v>
      </c>
      <c r="L1072" s="5" t="s">
        <v>388</v>
      </c>
      <c r="M1072" s="5" t="s">
        <v>389</v>
      </c>
      <c r="N1072" s="5" t="s">
        <v>36</v>
      </c>
      <c r="O1072" s="5">
        <v>1</v>
      </c>
      <c r="P1072" s="5" t="s">
        <v>43</v>
      </c>
      <c r="Q1072" s="5">
        <v>18.99</v>
      </c>
      <c r="R1072" s="5"/>
      <c r="S1072" s="5"/>
      <c r="T1072" s="5"/>
      <c r="U1072" s="5"/>
      <c r="V1072" s="5"/>
      <c r="W1072" s="5"/>
      <c r="X1072" s="5"/>
      <c r="Y1072" s="5" t="s">
        <v>2268</v>
      </c>
      <c r="Z1072" s="5" t="s">
        <v>505</v>
      </c>
      <c r="AA1072" s="5" t="s">
        <v>5127</v>
      </c>
      <c r="AB1072" s="5" t="s">
        <v>46</v>
      </c>
      <c r="AC1072" s="5"/>
      <c r="AD1072" s="5" t="b">
        <v>0</v>
      </c>
      <c r="AE1072" s="5"/>
      <c r="AF1072" s="5"/>
      <c r="AG1072" s="9">
        <f t="shared" si="16"/>
        <v>43283</v>
      </c>
    </row>
    <row r="1073" s="6" customFormat="1" spans="1:33">
      <c r="A1073" s="5" t="s">
        <v>5128</v>
      </c>
      <c r="B1073" s="5" t="s">
        <v>5128</v>
      </c>
      <c r="C1073" s="5" t="s">
        <v>5129</v>
      </c>
      <c r="D1073" s="5" t="s">
        <v>5130</v>
      </c>
      <c r="E1073" s="5" t="s">
        <v>36</v>
      </c>
      <c r="F1073" s="5" t="s">
        <v>37</v>
      </c>
      <c r="G1073" s="5" t="s">
        <v>38</v>
      </c>
      <c r="H1073" s="5"/>
      <c r="I1073" s="5"/>
      <c r="J1073" s="5" t="s">
        <v>128</v>
      </c>
      <c r="K1073" s="5" t="s">
        <v>4038</v>
      </c>
      <c r="L1073" s="5" t="s">
        <v>76</v>
      </c>
      <c r="M1073" s="5" t="s">
        <v>77</v>
      </c>
      <c r="N1073" s="5" t="s">
        <v>36</v>
      </c>
      <c r="O1073" s="5">
        <v>1</v>
      </c>
      <c r="P1073" s="5" t="s">
        <v>43</v>
      </c>
      <c r="Q1073" s="5">
        <v>13.99</v>
      </c>
      <c r="R1073" s="5"/>
      <c r="S1073" s="5">
        <v>1.58</v>
      </c>
      <c r="T1073" s="5"/>
      <c r="U1073" s="5"/>
      <c r="V1073" s="5"/>
      <c r="W1073" s="5"/>
      <c r="X1073" s="5">
        <v>1.58</v>
      </c>
      <c r="Y1073" s="5" t="s">
        <v>1664</v>
      </c>
      <c r="Z1073" s="5" t="s">
        <v>54</v>
      </c>
      <c r="AA1073" s="5" t="s">
        <v>5131</v>
      </c>
      <c r="AB1073" s="5" t="s">
        <v>46</v>
      </c>
      <c r="AC1073" s="5" t="s">
        <v>225</v>
      </c>
      <c r="AD1073" s="5" t="b">
        <v>0</v>
      </c>
      <c r="AE1073" s="5"/>
      <c r="AF1073" s="5"/>
      <c r="AG1073" s="9">
        <f t="shared" si="16"/>
        <v>43283</v>
      </c>
    </row>
    <row r="1074" s="6" customFormat="1" spans="1:33">
      <c r="A1074" s="5" t="s">
        <v>5132</v>
      </c>
      <c r="B1074" s="5" t="s">
        <v>5132</v>
      </c>
      <c r="C1074" s="5" t="s">
        <v>5133</v>
      </c>
      <c r="D1074" s="5" t="s">
        <v>5134</v>
      </c>
      <c r="E1074" s="5" t="s">
        <v>36</v>
      </c>
      <c r="F1074" s="5" t="s">
        <v>37</v>
      </c>
      <c r="G1074" s="5" t="s">
        <v>38</v>
      </c>
      <c r="H1074" s="5"/>
      <c r="I1074" s="5"/>
      <c r="J1074" s="5" t="s">
        <v>39</v>
      </c>
      <c r="K1074" s="5" t="s">
        <v>3745</v>
      </c>
      <c r="L1074" s="5" t="s">
        <v>202</v>
      </c>
      <c r="M1074" s="5" t="s">
        <v>203</v>
      </c>
      <c r="N1074" s="5" t="s">
        <v>36</v>
      </c>
      <c r="O1074" s="5">
        <v>1</v>
      </c>
      <c r="P1074" s="5" t="s">
        <v>43</v>
      </c>
      <c r="Q1074" s="5">
        <v>18.99</v>
      </c>
      <c r="R1074" s="5"/>
      <c r="S1074" s="5"/>
      <c r="T1074" s="5"/>
      <c r="U1074" s="5"/>
      <c r="V1074" s="5"/>
      <c r="W1074" s="5"/>
      <c r="X1074" s="5"/>
      <c r="Y1074" s="5" t="s">
        <v>5135</v>
      </c>
      <c r="Z1074" s="5" t="s">
        <v>142</v>
      </c>
      <c r="AA1074" s="5">
        <v>32225</v>
      </c>
      <c r="AB1074" s="5" t="s">
        <v>46</v>
      </c>
      <c r="AC1074" s="5"/>
      <c r="AD1074" s="5" t="b">
        <v>0</v>
      </c>
      <c r="AE1074" s="5"/>
      <c r="AF1074" s="5"/>
      <c r="AG1074" s="9">
        <f t="shared" si="16"/>
        <v>43283</v>
      </c>
    </row>
    <row r="1075" s="6" customFormat="1" spans="1:33">
      <c r="A1075" s="5" t="s">
        <v>5136</v>
      </c>
      <c r="B1075" s="5" t="s">
        <v>5136</v>
      </c>
      <c r="C1075" s="5" t="s">
        <v>5137</v>
      </c>
      <c r="D1075" s="5" t="s">
        <v>5138</v>
      </c>
      <c r="E1075" s="5" t="s">
        <v>36</v>
      </c>
      <c r="F1075" s="5" t="s">
        <v>37</v>
      </c>
      <c r="G1075" s="5" t="s">
        <v>38</v>
      </c>
      <c r="H1075" s="5"/>
      <c r="I1075" s="5"/>
      <c r="J1075" s="5" t="s">
        <v>39</v>
      </c>
      <c r="K1075" s="5" t="s">
        <v>3745</v>
      </c>
      <c r="L1075" s="5" t="s">
        <v>202</v>
      </c>
      <c r="M1075" s="5" t="s">
        <v>203</v>
      </c>
      <c r="N1075" s="5" t="s">
        <v>36</v>
      </c>
      <c r="O1075" s="5">
        <v>1</v>
      </c>
      <c r="P1075" s="5" t="s">
        <v>43</v>
      </c>
      <c r="Q1075" s="5">
        <v>18.99</v>
      </c>
      <c r="R1075" s="5"/>
      <c r="S1075" s="5"/>
      <c r="T1075" s="5"/>
      <c r="U1075" s="5"/>
      <c r="V1075" s="5"/>
      <c r="W1075" s="5"/>
      <c r="X1075" s="5"/>
      <c r="Y1075" s="5" t="s">
        <v>1510</v>
      </c>
      <c r="Z1075" s="5" t="s">
        <v>130</v>
      </c>
      <c r="AA1075" s="5" t="s">
        <v>1511</v>
      </c>
      <c r="AB1075" s="5" t="s">
        <v>46</v>
      </c>
      <c r="AC1075" s="5"/>
      <c r="AD1075" s="5" t="b">
        <v>0</v>
      </c>
      <c r="AE1075" s="5"/>
      <c r="AF1075" s="5"/>
      <c r="AG1075" s="9">
        <f t="shared" si="16"/>
        <v>43283</v>
      </c>
    </row>
    <row r="1076" s="6" customFormat="1" spans="1:33">
      <c r="A1076" s="5" t="s">
        <v>5139</v>
      </c>
      <c r="B1076" s="5" t="s">
        <v>5139</v>
      </c>
      <c r="C1076" s="5" t="s">
        <v>5140</v>
      </c>
      <c r="D1076" s="5" t="s">
        <v>5141</v>
      </c>
      <c r="E1076" s="5" t="s">
        <v>36</v>
      </c>
      <c r="F1076" s="5" t="s">
        <v>37</v>
      </c>
      <c r="G1076" s="5" t="s">
        <v>38</v>
      </c>
      <c r="H1076" s="5"/>
      <c r="I1076" s="5"/>
      <c r="J1076" s="5" t="s">
        <v>39</v>
      </c>
      <c r="K1076" s="5" t="s">
        <v>3798</v>
      </c>
      <c r="L1076" s="5" t="s">
        <v>1048</v>
      </c>
      <c r="M1076" s="5" t="s">
        <v>535</v>
      </c>
      <c r="N1076" s="5" t="s">
        <v>36</v>
      </c>
      <c r="O1076" s="5">
        <v>1</v>
      </c>
      <c r="P1076" s="5" t="s">
        <v>43</v>
      </c>
      <c r="Q1076" s="5">
        <v>24.99</v>
      </c>
      <c r="R1076" s="5"/>
      <c r="S1076" s="5"/>
      <c r="T1076" s="5"/>
      <c r="U1076" s="5"/>
      <c r="V1076" s="5"/>
      <c r="W1076" s="5"/>
      <c r="X1076" s="5"/>
      <c r="Y1076" s="5" t="s">
        <v>5142</v>
      </c>
      <c r="Z1076" s="5" t="s">
        <v>247</v>
      </c>
      <c r="AA1076" s="5" t="s">
        <v>5143</v>
      </c>
      <c r="AB1076" s="5" t="s">
        <v>46</v>
      </c>
      <c r="AC1076" s="5"/>
      <c r="AD1076" s="5" t="b">
        <v>0</v>
      </c>
      <c r="AE1076" s="5"/>
      <c r="AF1076" s="5"/>
      <c r="AG1076" s="9">
        <f t="shared" si="16"/>
        <v>43283</v>
      </c>
    </row>
    <row r="1077" s="6" customFormat="1" spans="1:33">
      <c r="A1077" s="5" t="s">
        <v>5144</v>
      </c>
      <c r="B1077" s="5" t="s">
        <v>5144</v>
      </c>
      <c r="C1077" s="5" t="s">
        <v>5145</v>
      </c>
      <c r="D1077" s="5" t="s">
        <v>5146</v>
      </c>
      <c r="E1077" s="5" t="s">
        <v>36</v>
      </c>
      <c r="F1077" s="5" t="s">
        <v>37</v>
      </c>
      <c r="G1077" s="5" t="s">
        <v>38</v>
      </c>
      <c r="H1077" s="5"/>
      <c r="I1077" s="5"/>
      <c r="J1077" s="5" t="s">
        <v>39</v>
      </c>
      <c r="K1077" s="5" t="s">
        <v>3714</v>
      </c>
      <c r="L1077" s="5" t="s">
        <v>148</v>
      </c>
      <c r="M1077" s="5" t="s">
        <v>149</v>
      </c>
      <c r="N1077" s="5" t="s">
        <v>36</v>
      </c>
      <c r="O1077" s="5">
        <v>1</v>
      </c>
      <c r="P1077" s="5" t="s">
        <v>43</v>
      </c>
      <c r="Q1077" s="5">
        <v>13.99</v>
      </c>
      <c r="R1077" s="5"/>
      <c r="S1077" s="5"/>
      <c r="T1077" s="5"/>
      <c r="U1077" s="5"/>
      <c r="V1077" s="5"/>
      <c r="W1077" s="5"/>
      <c r="X1077" s="5"/>
      <c r="Y1077" s="5" t="s">
        <v>5147</v>
      </c>
      <c r="Z1077" s="5" t="s">
        <v>596</v>
      </c>
      <c r="AA1077" s="5" t="s">
        <v>5148</v>
      </c>
      <c r="AB1077" s="5" t="s">
        <v>46</v>
      </c>
      <c r="AC1077" s="5"/>
      <c r="AD1077" s="5" t="b">
        <v>0</v>
      </c>
      <c r="AE1077" s="5"/>
      <c r="AF1077" s="5"/>
      <c r="AG1077" s="9">
        <f t="shared" si="16"/>
        <v>43283</v>
      </c>
    </row>
    <row r="1078" s="6" customFormat="1" spans="1:33">
      <c r="A1078" s="5" t="s">
        <v>5149</v>
      </c>
      <c r="B1078" s="5" t="s">
        <v>4554</v>
      </c>
      <c r="C1078" s="5" t="s">
        <v>5150</v>
      </c>
      <c r="D1078" s="5" t="s">
        <v>5151</v>
      </c>
      <c r="E1078" s="5" t="s">
        <v>36</v>
      </c>
      <c r="F1078" s="5" t="s">
        <v>37</v>
      </c>
      <c r="G1078" s="5" t="s">
        <v>1121</v>
      </c>
      <c r="H1078" s="5"/>
      <c r="I1078" s="5"/>
      <c r="J1078" s="5" t="s">
        <v>128</v>
      </c>
      <c r="K1078" s="5" t="s">
        <v>3668</v>
      </c>
      <c r="L1078" s="5" t="s">
        <v>578</v>
      </c>
      <c r="M1078" s="5" t="s">
        <v>572</v>
      </c>
      <c r="N1078" s="5" t="s">
        <v>36</v>
      </c>
      <c r="O1078" s="5">
        <v>1</v>
      </c>
      <c r="P1078" s="5"/>
      <c r="Q1078" s="5"/>
      <c r="R1078" s="5"/>
      <c r="S1078" s="5"/>
      <c r="T1078" s="5"/>
      <c r="U1078" s="5"/>
      <c r="V1078" s="5"/>
      <c r="W1078" s="5"/>
      <c r="X1078" s="5"/>
      <c r="Y1078" s="5" t="s">
        <v>4557</v>
      </c>
      <c r="Z1078" s="5" t="s">
        <v>105</v>
      </c>
      <c r="AA1078" s="5">
        <v>8088</v>
      </c>
      <c r="AB1078" s="5" t="s">
        <v>46</v>
      </c>
      <c r="AC1078" s="5"/>
      <c r="AD1078" s="5" t="b">
        <v>0</v>
      </c>
      <c r="AE1078" s="5"/>
      <c r="AF1078" s="5"/>
      <c r="AG1078" s="9">
        <f t="shared" si="16"/>
        <v>43284</v>
      </c>
    </row>
    <row r="1079" s="6" customFormat="1" spans="1:33">
      <c r="A1079" s="5" t="s">
        <v>5152</v>
      </c>
      <c r="B1079" s="5" t="s">
        <v>5152</v>
      </c>
      <c r="C1079" s="5" t="s">
        <v>5153</v>
      </c>
      <c r="D1079" s="5" t="s">
        <v>5154</v>
      </c>
      <c r="E1079" s="5" t="s">
        <v>36</v>
      </c>
      <c r="F1079" s="5" t="s">
        <v>37</v>
      </c>
      <c r="G1079" s="5" t="s">
        <v>38</v>
      </c>
      <c r="H1079" s="5"/>
      <c r="I1079" s="5"/>
      <c r="J1079" s="5" t="s">
        <v>39</v>
      </c>
      <c r="K1079" s="5" t="s">
        <v>3714</v>
      </c>
      <c r="L1079" s="5" t="s">
        <v>148</v>
      </c>
      <c r="M1079" s="5" t="s">
        <v>149</v>
      </c>
      <c r="N1079" s="5" t="s">
        <v>36</v>
      </c>
      <c r="O1079" s="5">
        <v>1</v>
      </c>
      <c r="P1079" s="5" t="s">
        <v>43</v>
      </c>
      <c r="Q1079" s="5">
        <v>13.99</v>
      </c>
      <c r="R1079" s="5"/>
      <c r="S1079" s="5"/>
      <c r="T1079" s="5"/>
      <c r="U1079" s="5"/>
      <c r="V1079" s="5"/>
      <c r="W1079" s="5"/>
      <c r="X1079" s="5"/>
      <c r="Y1079" s="5" t="s">
        <v>5155</v>
      </c>
      <c r="Z1079" s="5" t="s">
        <v>123</v>
      </c>
      <c r="AA1079" s="5" t="s">
        <v>5156</v>
      </c>
      <c r="AB1079" s="5" t="s">
        <v>46</v>
      </c>
      <c r="AC1079" s="5"/>
      <c r="AD1079" s="5" t="b">
        <v>0</v>
      </c>
      <c r="AE1079" s="5"/>
      <c r="AF1079" s="5"/>
      <c r="AG1079" s="9">
        <f t="shared" si="16"/>
        <v>43284</v>
      </c>
    </row>
    <row r="1080" s="6" customFormat="1" spans="1:33">
      <c r="A1080" s="5" t="s">
        <v>5157</v>
      </c>
      <c r="B1080" s="5" t="s">
        <v>5157</v>
      </c>
      <c r="C1080" s="5" t="s">
        <v>5158</v>
      </c>
      <c r="D1080" s="5" t="s">
        <v>5159</v>
      </c>
      <c r="E1080" s="5" t="s">
        <v>36</v>
      </c>
      <c r="F1080" s="5" t="s">
        <v>37</v>
      </c>
      <c r="G1080" s="5" t="s">
        <v>38</v>
      </c>
      <c r="H1080" s="5"/>
      <c r="I1080" s="5"/>
      <c r="J1080" s="5" t="s">
        <v>39</v>
      </c>
      <c r="K1080" s="5" t="s">
        <v>2973</v>
      </c>
      <c r="L1080" s="5" t="s">
        <v>2974</v>
      </c>
      <c r="M1080" s="5" t="s">
        <v>2975</v>
      </c>
      <c r="N1080" s="5" t="s">
        <v>36</v>
      </c>
      <c r="O1080" s="5">
        <v>1</v>
      </c>
      <c r="P1080" s="5" t="s">
        <v>43</v>
      </c>
      <c r="Q1080" s="5">
        <v>18.99</v>
      </c>
      <c r="R1080" s="5"/>
      <c r="S1080" s="5"/>
      <c r="T1080" s="5"/>
      <c r="U1080" s="5"/>
      <c r="V1080" s="5"/>
      <c r="W1080" s="5"/>
      <c r="X1080" s="5"/>
      <c r="Y1080" s="5" t="s">
        <v>5160</v>
      </c>
      <c r="Z1080" s="5" t="s">
        <v>238</v>
      </c>
      <c r="AA1080" s="5">
        <v>30809</v>
      </c>
      <c r="AB1080" s="5" t="s">
        <v>46</v>
      </c>
      <c r="AC1080" s="5"/>
      <c r="AD1080" s="5" t="b">
        <v>0</v>
      </c>
      <c r="AE1080" s="5"/>
      <c r="AF1080" s="5"/>
      <c r="AG1080" s="9">
        <f t="shared" si="16"/>
        <v>43284</v>
      </c>
    </row>
    <row r="1081" s="6" customFormat="1" spans="1:33">
      <c r="A1081" s="5" t="s">
        <v>5161</v>
      </c>
      <c r="B1081" s="5" t="s">
        <v>5161</v>
      </c>
      <c r="C1081" s="5" t="s">
        <v>5162</v>
      </c>
      <c r="D1081" s="5" t="s">
        <v>5163</v>
      </c>
      <c r="E1081" s="5" t="s">
        <v>36</v>
      </c>
      <c r="F1081" s="5" t="s">
        <v>37</v>
      </c>
      <c r="G1081" s="5" t="s">
        <v>38</v>
      </c>
      <c r="H1081" s="5"/>
      <c r="I1081" s="5"/>
      <c r="J1081" s="5" t="s">
        <v>39</v>
      </c>
      <c r="K1081" s="5" t="s">
        <v>58</v>
      </c>
      <c r="L1081" s="5" t="s">
        <v>59</v>
      </c>
      <c r="M1081" s="5" t="s">
        <v>60</v>
      </c>
      <c r="N1081" s="5" t="s">
        <v>36</v>
      </c>
      <c r="O1081" s="5">
        <v>1</v>
      </c>
      <c r="P1081" s="5" t="s">
        <v>43</v>
      </c>
      <c r="Q1081" s="5">
        <v>13.99</v>
      </c>
      <c r="R1081" s="5"/>
      <c r="S1081" s="5"/>
      <c r="T1081" s="5"/>
      <c r="U1081" s="5"/>
      <c r="V1081" s="5"/>
      <c r="W1081" s="5"/>
      <c r="X1081" s="5"/>
      <c r="Y1081" s="5" t="s">
        <v>5164</v>
      </c>
      <c r="Z1081" s="5" t="s">
        <v>96</v>
      </c>
      <c r="AA1081" s="5" t="s">
        <v>5165</v>
      </c>
      <c r="AB1081" s="5" t="s">
        <v>46</v>
      </c>
      <c r="AC1081" s="5"/>
      <c r="AD1081" s="5" t="b">
        <v>0</v>
      </c>
      <c r="AE1081" s="5"/>
      <c r="AF1081" s="5"/>
      <c r="AG1081" s="9">
        <f t="shared" si="16"/>
        <v>43284</v>
      </c>
    </row>
    <row r="1082" s="6" customFormat="1" spans="1:33">
      <c r="A1082" s="5" t="s">
        <v>5166</v>
      </c>
      <c r="B1082" s="5" t="s">
        <v>5166</v>
      </c>
      <c r="C1082" s="5" t="s">
        <v>5167</v>
      </c>
      <c r="D1082" s="5" t="s">
        <v>5168</v>
      </c>
      <c r="E1082" s="5" t="s">
        <v>36</v>
      </c>
      <c r="F1082" s="5" t="s">
        <v>37</v>
      </c>
      <c r="G1082" s="5" t="s">
        <v>38</v>
      </c>
      <c r="H1082" s="5"/>
      <c r="I1082" s="5"/>
      <c r="J1082" s="5" t="s">
        <v>39</v>
      </c>
      <c r="K1082" s="5" t="s">
        <v>3651</v>
      </c>
      <c r="L1082" s="5" t="s">
        <v>3652</v>
      </c>
      <c r="M1082" s="5" t="s">
        <v>3653</v>
      </c>
      <c r="N1082" s="5" t="s">
        <v>36</v>
      </c>
      <c r="O1082" s="5">
        <v>1</v>
      </c>
      <c r="P1082" s="5" t="s">
        <v>43</v>
      </c>
      <c r="Q1082" s="5">
        <v>35.99</v>
      </c>
      <c r="R1082" s="5"/>
      <c r="S1082" s="5"/>
      <c r="T1082" s="5"/>
      <c r="U1082" s="5"/>
      <c r="V1082" s="5"/>
      <c r="W1082" s="5"/>
      <c r="X1082" s="5"/>
      <c r="Y1082" s="5" t="s">
        <v>5169</v>
      </c>
      <c r="Z1082" s="5" t="s">
        <v>247</v>
      </c>
      <c r="AA1082" s="5" t="s">
        <v>5170</v>
      </c>
      <c r="AB1082" s="5" t="s">
        <v>46</v>
      </c>
      <c r="AC1082" s="5"/>
      <c r="AD1082" s="5" t="b">
        <v>0</v>
      </c>
      <c r="AE1082" s="5"/>
      <c r="AF1082" s="5"/>
      <c r="AG1082" s="9">
        <f t="shared" si="16"/>
        <v>43284</v>
      </c>
    </row>
    <row r="1083" s="6" customFormat="1" spans="1:33">
      <c r="A1083" s="5" t="s">
        <v>5171</v>
      </c>
      <c r="B1083" s="5" t="s">
        <v>5171</v>
      </c>
      <c r="C1083" s="5" t="s">
        <v>5172</v>
      </c>
      <c r="D1083" s="5" t="s">
        <v>5173</v>
      </c>
      <c r="E1083" s="5" t="s">
        <v>36</v>
      </c>
      <c r="F1083" s="5" t="s">
        <v>37</v>
      </c>
      <c r="G1083" s="5" t="s">
        <v>38</v>
      </c>
      <c r="H1083" s="5"/>
      <c r="I1083" s="5"/>
      <c r="J1083" s="5" t="s">
        <v>39</v>
      </c>
      <c r="K1083" s="5" t="s">
        <v>345</v>
      </c>
      <c r="L1083" s="5" t="s">
        <v>346</v>
      </c>
      <c r="M1083" s="5" t="s">
        <v>347</v>
      </c>
      <c r="N1083" s="5" t="s">
        <v>36</v>
      </c>
      <c r="O1083" s="5">
        <v>1</v>
      </c>
      <c r="P1083" s="5" t="s">
        <v>43</v>
      </c>
      <c r="Q1083" s="5">
        <v>17.98</v>
      </c>
      <c r="R1083" s="5"/>
      <c r="S1083" s="5"/>
      <c r="T1083" s="5"/>
      <c r="U1083" s="5"/>
      <c r="V1083" s="5"/>
      <c r="W1083" s="5"/>
      <c r="X1083" s="5"/>
      <c r="Y1083" s="5" t="s">
        <v>4617</v>
      </c>
      <c r="Z1083" s="5" t="s">
        <v>87</v>
      </c>
      <c r="AA1083" s="5" t="s">
        <v>5174</v>
      </c>
      <c r="AB1083" s="5" t="s">
        <v>46</v>
      </c>
      <c r="AC1083" s="5"/>
      <c r="AD1083" s="5" t="b">
        <v>0</v>
      </c>
      <c r="AE1083" s="5"/>
      <c r="AF1083" s="5"/>
      <c r="AG1083" s="9">
        <f t="shared" si="16"/>
        <v>43284</v>
      </c>
    </row>
    <row r="1084" s="6" customFormat="1" spans="1:33">
      <c r="A1084" s="5" t="s">
        <v>5175</v>
      </c>
      <c r="B1084" s="5" t="s">
        <v>5175</v>
      </c>
      <c r="C1084" s="5" t="s">
        <v>5176</v>
      </c>
      <c r="D1084" s="5" t="s">
        <v>5177</v>
      </c>
      <c r="E1084" s="5" t="s">
        <v>36</v>
      </c>
      <c r="F1084" s="5" t="s">
        <v>37</v>
      </c>
      <c r="G1084" s="5" t="s">
        <v>38</v>
      </c>
      <c r="H1084" s="5"/>
      <c r="I1084" s="5"/>
      <c r="J1084" s="5" t="s">
        <v>39</v>
      </c>
      <c r="K1084" s="5" t="s">
        <v>4085</v>
      </c>
      <c r="L1084" s="5" t="s">
        <v>102</v>
      </c>
      <c r="M1084" s="5" t="s">
        <v>103</v>
      </c>
      <c r="N1084" s="5" t="s">
        <v>36</v>
      </c>
      <c r="O1084" s="5">
        <v>1</v>
      </c>
      <c r="P1084" s="5" t="s">
        <v>43</v>
      </c>
      <c r="Q1084" s="5">
        <v>13.99</v>
      </c>
      <c r="R1084" s="5"/>
      <c r="S1084" s="5"/>
      <c r="T1084" s="5"/>
      <c r="U1084" s="5"/>
      <c r="V1084" s="5"/>
      <c r="W1084" s="5"/>
      <c r="X1084" s="5"/>
      <c r="Y1084" s="5" t="s">
        <v>3499</v>
      </c>
      <c r="Z1084" s="5" t="s">
        <v>87</v>
      </c>
      <c r="AA1084" s="5" t="s">
        <v>5178</v>
      </c>
      <c r="AB1084" s="5" t="s">
        <v>46</v>
      </c>
      <c r="AC1084" s="5"/>
      <c r="AD1084" s="5" t="b">
        <v>0</v>
      </c>
      <c r="AE1084" s="5"/>
      <c r="AF1084" s="5"/>
      <c r="AG1084" s="9">
        <f t="shared" si="16"/>
        <v>43284</v>
      </c>
    </row>
    <row r="1085" s="6" customFormat="1" spans="1:33">
      <c r="A1085" s="5" t="s">
        <v>5179</v>
      </c>
      <c r="B1085" s="5" t="s">
        <v>5179</v>
      </c>
      <c r="C1085" s="5" t="s">
        <v>5180</v>
      </c>
      <c r="D1085" s="5" t="s">
        <v>5181</v>
      </c>
      <c r="E1085" s="5" t="s">
        <v>36</v>
      </c>
      <c r="F1085" s="5" t="s">
        <v>37</v>
      </c>
      <c r="G1085" s="5" t="s">
        <v>38</v>
      </c>
      <c r="H1085" s="5"/>
      <c r="I1085" s="5"/>
      <c r="J1085" s="5" t="s">
        <v>39</v>
      </c>
      <c r="K1085" s="5" t="s">
        <v>209</v>
      </c>
      <c r="L1085" s="5" t="s">
        <v>210</v>
      </c>
      <c r="M1085" s="5" t="s">
        <v>211</v>
      </c>
      <c r="N1085" s="5" t="s">
        <v>36</v>
      </c>
      <c r="O1085" s="5">
        <v>1</v>
      </c>
      <c r="P1085" s="5" t="s">
        <v>43</v>
      </c>
      <c r="Q1085" s="5">
        <v>13.99</v>
      </c>
      <c r="R1085" s="5"/>
      <c r="S1085" s="5"/>
      <c r="T1085" s="5"/>
      <c r="U1085" s="5"/>
      <c r="V1085" s="5"/>
      <c r="W1085" s="5"/>
      <c r="X1085" s="5"/>
      <c r="Y1085" s="5" t="s">
        <v>5182</v>
      </c>
      <c r="Z1085" s="5" t="s">
        <v>54</v>
      </c>
      <c r="AA1085" s="5" t="s">
        <v>5183</v>
      </c>
      <c r="AB1085" s="5" t="s">
        <v>46</v>
      </c>
      <c r="AC1085" s="5"/>
      <c r="AD1085" s="5" t="b">
        <v>0</v>
      </c>
      <c r="AE1085" s="5"/>
      <c r="AF1085" s="5"/>
      <c r="AG1085" s="9">
        <f t="shared" si="16"/>
        <v>43284</v>
      </c>
    </row>
    <row r="1086" s="6" customFormat="1" spans="1:33">
      <c r="A1086" s="5" t="s">
        <v>5184</v>
      </c>
      <c r="B1086" s="5" t="s">
        <v>5184</v>
      </c>
      <c r="C1086" s="5" t="s">
        <v>5185</v>
      </c>
      <c r="D1086" s="5" t="s">
        <v>5186</v>
      </c>
      <c r="E1086" s="5" t="s">
        <v>36</v>
      </c>
      <c r="F1086" s="5" t="s">
        <v>37</v>
      </c>
      <c r="G1086" s="5" t="s">
        <v>38</v>
      </c>
      <c r="H1086" s="5"/>
      <c r="I1086" s="5"/>
      <c r="J1086" s="5" t="s">
        <v>39</v>
      </c>
      <c r="K1086" s="5" t="s">
        <v>2222</v>
      </c>
      <c r="L1086" s="5" t="s">
        <v>2223</v>
      </c>
      <c r="M1086" s="5" t="s">
        <v>2224</v>
      </c>
      <c r="N1086" s="5" t="s">
        <v>36</v>
      </c>
      <c r="O1086" s="5">
        <v>1</v>
      </c>
      <c r="P1086" s="5" t="s">
        <v>43</v>
      </c>
      <c r="Q1086" s="5">
        <v>29.99</v>
      </c>
      <c r="R1086" s="5">
        <v>1.8</v>
      </c>
      <c r="S1086" s="5"/>
      <c r="T1086" s="5"/>
      <c r="U1086" s="5"/>
      <c r="V1086" s="5"/>
      <c r="W1086" s="5"/>
      <c r="X1086" s="5"/>
      <c r="Y1086" s="5" t="s">
        <v>5187</v>
      </c>
      <c r="Z1086" s="5" t="s">
        <v>255</v>
      </c>
      <c r="AA1086" s="5">
        <v>19072</v>
      </c>
      <c r="AB1086" s="5" t="s">
        <v>46</v>
      </c>
      <c r="AC1086" s="5"/>
      <c r="AD1086" s="5" t="b">
        <v>0</v>
      </c>
      <c r="AE1086" s="5"/>
      <c r="AF1086" s="5"/>
      <c r="AG1086" s="9">
        <f t="shared" si="16"/>
        <v>43284</v>
      </c>
    </row>
    <row r="1087" s="6" customFormat="1" spans="1:33">
      <c r="A1087" s="5" t="s">
        <v>5188</v>
      </c>
      <c r="B1087" s="5" t="s">
        <v>5188</v>
      </c>
      <c r="C1087" s="5" t="s">
        <v>5189</v>
      </c>
      <c r="D1087" s="5" t="s">
        <v>5190</v>
      </c>
      <c r="E1087" s="5" t="s">
        <v>36</v>
      </c>
      <c r="F1087" s="5" t="s">
        <v>37</v>
      </c>
      <c r="G1087" s="5" t="s">
        <v>38</v>
      </c>
      <c r="H1087" s="5"/>
      <c r="I1087" s="5"/>
      <c r="J1087" s="5" t="s">
        <v>39</v>
      </c>
      <c r="K1087" s="5" t="s">
        <v>5191</v>
      </c>
      <c r="L1087" s="5" t="s">
        <v>5192</v>
      </c>
      <c r="M1087" s="5" t="s">
        <v>5193</v>
      </c>
      <c r="N1087" s="5" t="s">
        <v>36</v>
      </c>
      <c r="O1087" s="5">
        <v>1</v>
      </c>
      <c r="P1087" s="5" t="s">
        <v>43</v>
      </c>
      <c r="Q1087" s="5">
        <v>24.99</v>
      </c>
      <c r="R1087" s="5"/>
      <c r="S1087" s="5"/>
      <c r="T1087" s="5"/>
      <c r="U1087" s="5"/>
      <c r="V1087" s="5"/>
      <c r="W1087" s="5"/>
      <c r="X1087" s="5"/>
      <c r="Y1087" s="5" t="s">
        <v>880</v>
      </c>
      <c r="Z1087" s="5" t="s">
        <v>151</v>
      </c>
      <c r="AA1087" s="5" t="s">
        <v>5194</v>
      </c>
      <c r="AB1087" s="5" t="s">
        <v>46</v>
      </c>
      <c r="AC1087" s="5"/>
      <c r="AD1087" s="5" t="b">
        <v>0</v>
      </c>
      <c r="AE1087" s="5"/>
      <c r="AF1087" s="5"/>
      <c r="AG1087" s="9">
        <f t="shared" si="16"/>
        <v>43284</v>
      </c>
    </row>
    <row r="1088" s="6" customFormat="1" spans="1:33">
      <c r="A1088" s="5" t="s">
        <v>5195</v>
      </c>
      <c r="B1088" s="5" t="s">
        <v>5195</v>
      </c>
      <c r="C1088" s="5" t="s">
        <v>5196</v>
      </c>
      <c r="D1088" s="5" t="s">
        <v>5197</v>
      </c>
      <c r="E1088" s="5" t="s">
        <v>36</v>
      </c>
      <c r="F1088" s="5" t="s">
        <v>37</v>
      </c>
      <c r="G1088" s="5" t="s">
        <v>38</v>
      </c>
      <c r="H1088" s="5"/>
      <c r="I1088" s="5"/>
      <c r="J1088" s="5" t="s">
        <v>39</v>
      </c>
      <c r="K1088" s="5" t="s">
        <v>4085</v>
      </c>
      <c r="L1088" s="5" t="s">
        <v>102</v>
      </c>
      <c r="M1088" s="5" t="s">
        <v>103</v>
      </c>
      <c r="N1088" s="5" t="s">
        <v>36</v>
      </c>
      <c r="O1088" s="5">
        <v>1</v>
      </c>
      <c r="P1088" s="5" t="s">
        <v>43</v>
      </c>
      <c r="Q1088" s="5">
        <v>13.99</v>
      </c>
      <c r="R1088" s="5"/>
      <c r="S1088" s="5"/>
      <c r="T1088" s="5"/>
      <c r="U1088" s="5"/>
      <c r="V1088" s="5"/>
      <c r="W1088" s="5"/>
      <c r="X1088" s="5"/>
      <c r="Y1088" s="5" t="s">
        <v>5198</v>
      </c>
      <c r="Z1088" s="5" t="s">
        <v>142</v>
      </c>
      <c r="AA1088" s="5" t="s">
        <v>5199</v>
      </c>
      <c r="AB1088" s="5" t="s">
        <v>46</v>
      </c>
      <c r="AC1088" s="5"/>
      <c r="AD1088" s="5" t="b">
        <v>0</v>
      </c>
      <c r="AE1088" s="5"/>
      <c r="AF1088" s="5"/>
      <c r="AG1088" s="9">
        <f t="shared" si="16"/>
        <v>43284</v>
      </c>
    </row>
    <row r="1089" s="6" customFormat="1" spans="1:33">
      <c r="A1089" s="5" t="s">
        <v>5200</v>
      </c>
      <c r="B1089" s="5" t="s">
        <v>5200</v>
      </c>
      <c r="C1089" s="5" t="s">
        <v>5201</v>
      </c>
      <c r="D1089" s="5" t="s">
        <v>5202</v>
      </c>
      <c r="E1089" s="5" t="s">
        <v>36</v>
      </c>
      <c r="F1089" s="5" t="s">
        <v>37</v>
      </c>
      <c r="G1089" s="5" t="s">
        <v>38</v>
      </c>
      <c r="H1089" s="5"/>
      <c r="I1089" s="5"/>
      <c r="J1089" s="5" t="s">
        <v>39</v>
      </c>
      <c r="K1089" s="5" t="s">
        <v>4173</v>
      </c>
      <c r="L1089" s="5" t="s">
        <v>1958</v>
      </c>
      <c r="M1089" s="5" t="s">
        <v>271</v>
      </c>
      <c r="N1089" s="5" t="s">
        <v>36</v>
      </c>
      <c r="O1089" s="5">
        <v>1</v>
      </c>
      <c r="P1089" s="5" t="s">
        <v>43</v>
      </c>
      <c r="Q1089" s="5">
        <v>24.99</v>
      </c>
      <c r="R1089" s="5"/>
      <c r="S1089" s="5"/>
      <c r="T1089" s="5"/>
      <c r="U1089" s="5"/>
      <c r="V1089" s="5"/>
      <c r="W1089" s="5"/>
      <c r="X1089" s="5"/>
      <c r="Y1089" s="5" t="s">
        <v>5203</v>
      </c>
      <c r="Z1089" s="5" t="s">
        <v>151</v>
      </c>
      <c r="AA1089" s="5" t="s">
        <v>5204</v>
      </c>
      <c r="AB1089" s="5" t="s">
        <v>46</v>
      </c>
      <c r="AC1089" s="5"/>
      <c r="AD1089" s="5" t="b">
        <v>0</v>
      </c>
      <c r="AE1089" s="5"/>
      <c r="AF1089" s="5"/>
      <c r="AG1089" s="9">
        <f t="shared" si="16"/>
        <v>43284</v>
      </c>
    </row>
    <row r="1090" s="6" customFormat="1" spans="1:33">
      <c r="A1090" s="5" t="s">
        <v>5205</v>
      </c>
      <c r="B1090" s="5" t="s">
        <v>5205</v>
      </c>
      <c r="C1090" s="5" t="s">
        <v>5206</v>
      </c>
      <c r="D1090" s="5" t="s">
        <v>5207</v>
      </c>
      <c r="E1090" s="5" t="s">
        <v>36</v>
      </c>
      <c r="F1090" s="5" t="s">
        <v>37</v>
      </c>
      <c r="G1090" s="5" t="s">
        <v>38</v>
      </c>
      <c r="H1090" s="5"/>
      <c r="I1090" s="5"/>
      <c r="J1090" s="5" t="s">
        <v>39</v>
      </c>
      <c r="K1090" s="5" t="s">
        <v>293</v>
      </c>
      <c r="L1090" s="5" t="s">
        <v>294</v>
      </c>
      <c r="M1090" s="5" t="s">
        <v>295</v>
      </c>
      <c r="N1090" s="5" t="s">
        <v>36</v>
      </c>
      <c r="O1090" s="5">
        <v>1</v>
      </c>
      <c r="P1090" s="5" t="s">
        <v>43</v>
      </c>
      <c r="Q1090" s="5">
        <v>18.99</v>
      </c>
      <c r="R1090" s="5"/>
      <c r="S1090" s="5"/>
      <c r="T1090" s="5"/>
      <c r="U1090" s="5"/>
      <c r="V1090" s="5"/>
      <c r="W1090" s="5"/>
      <c r="X1090" s="5"/>
      <c r="Y1090" s="5" t="s">
        <v>2347</v>
      </c>
      <c r="Z1090" s="5" t="s">
        <v>96</v>
      </c>
      <c r="AA1090" s="5" t="s">
        <v>5208</v>
      </c>
      <c r="AB1090" s="5" t="s">
        <v>46</v>
      </c>
      <c r="AC1090" s="5"/>
      <c r="AD1090" s="5" t="b">
        <v>0</v>
      </c>
      <c r="AE1090" s="5"/>
      <c r="AF1090" s="5"/>
      <c r="AG1090" s="9">
        <f t="shared" ref="AG1090:AG1153" si="17">DATEVALUE(LEFT(C1090,10))</f>
        <v>43284</v>
      </c>
    </row>
    <row r="1091" s="6" customFormat="1" spans="1:33">
      <c r="A1091" s="5" t="s">
        <v>5209</v>
      </c>
      <c r="B1091" s="5" t="s">
        <v>5209</v>
      </c>
      <c r="C1091" s="5" t="s">
        <v>5210</v>
      </c>
      <c r="D1091" s="5" t="s">
        <v>5211</v>
      </c>
      <c r="E1091" s="5" t="s">
        <v>36</v>
      </c>
      <c r="F1091" s="5" t="s">
        <v>37</v>
      </c>
      <c r="G1091" s="5" t="s">
        <v>38</v>
      </c>
      <c r="H1091" s="5"/>
      <c r="I1091" s="5"/>
      <c r="J1091" s="5" t="s">
        <v>39</v>
      </c>
      <c r="K1091" s="5" t="s">
        <v>4085</v>
      </c>
      <c r="L1091" s="5" t="s">
        <v>102</v>
      </c>
      <c r="M1091" s="5" t="s">
        <v>103</v>
      </c>
      <c r="N1091" s="5" t="s">
        <v>36</v>
      </c>
      <c r="O1091" s="5">
        <v>1</v>
      </c>
      <c r="P1091" s="5" t="s">
        <v>43</v>
      </c>
      <c r="Q1091" s="5">
        <v>13.99</v>
      </c>
      <c r="R1091" s="5">
        <v>1.18</v>
      </c>
      <c r="S1091" s="5"/>
      <c r="T1091" s="5"/>
      <c r="U1091" s="5"/>
      <c r="V1091" s="5"/>
      <c r="W1091" s="5"/>
      <c r="X1091" s="5"/>
      <c r="Y1091" s="5" t="s">
        <v>5212</v>
      </c>
      <c r="Z1091" s="5" t="s">
        <v>843</v>
      </c>
      <c r="AA1091" s="5" t="s">
        <v>5213</v>
      </c>
      <c r="AB1091" s="5" t="s">
        <v>46</v>
      </c>
      <c r="AC1091" s="5"/>
      <c r="AD1091" s="5" t="b">
        <v>0</v>
      </c>
      <c r="AE1091" s="5"/>
      <c r="AF1091" s="5"/>
      <c r="AG1091" s="9">
        <f t="shared" si="17"/>
        <v>43284</v>
      </c>
    </row>
    <row r="1092" s="6" customFormat="1" spans="1:33">
      <c r="A1092" s="5" t="s">
        <v>5214</v>
      </c>
      <c r="B1092" s="5" t="s">
        <v>5214</v>
      </c>
      <c r="C1092" s="5" t="s">
        <v>5215</v>
      </c>
      <c r="D1092" s="5" t="s">
        <v>5216</v>
      </c>
      <c r="E1092" s="5" t="s">
        <v>36</v>
      </c>
      <c r="F1092" s="5" t="s">
        <v>37</v>
      </c>
      <c r="G1092" s="5" t="s">
        <v>38</v>
      </c>
      <c r="H1092" s="5"/>
      <c r="I1092" s="5"/>
      <c r="J1092" s="5" t="s">
        <v>39</v>
      </c>
      <c r="K1092" s="5" t="s">
        <v>4085</v>
      </c>
      <c r="L1092" s="5" t="s">
        <v>102</v>
      </c>
      <c r="M1092" s="5" t="s">
        <v>103</v>
      </c>
      <c r="N1092" s="5" t="s">
        <v>36</v>
      </c>
      <c r="O1092" s="5">
        <v>1</v>
      </c>
      <c r="P1092" s="5" t="s">
        <v>43</v>
      </c>
      <c r="Q1092" s="5">
        <v>13.99</v>
      </c>
      <c r="R1092" s="5"/>
      <c r="S1092" s="5"/>
      <c r="T1092" s="5"/>
      <c r="U1092" s="5"/>
      <c r="V1092" s="5"/>
      <c r="W1092" s="5"/>
      <c r="X1092" s="5"/>
      <c r="Y1092" s="5" t="s">
        <v>5217</v>
      </c>
      <c r="Z1092" s="5" t="s">
        <v>54</v>
      </c>
      <c r="AA1092" s="5" t="s">
        <v>5218</v>
      </c>
      <c r="AB1092" s="5" t="s">
        <v>46</v>
      </c>
      <c r="AC1092" s="5"/>
      <c r="AD1092" s="5" t="b">
        <v>0</v>
      </c>
      <c r="AE1092" s="5"/>
      <c r="AF1092" s="5"/>
      <c r="AG1092" s="9">
        <f t="shared" si="17"/>
        <v>43284</v>
      </c>
    </row>
    <row r="1093" s="6" customFormat="1" spans="1:33">
      <c r="A1093" s="5" t="s">
        <v>5219</v>
      </c>
      <c r="B1093" s="5" t="s">
        <v>5219</v>
      </c>
      <c r="C1093" s="5" t="s">
        <v>5220</v>
      </c>
      <c r="D1093" s="5" t="s">
        <v>5221</v>
      </c>
      <c r="E1093" s="5" t="s">
        <v>36</v>
      </c>
      <c r="F1093" s="5" t="s">
        <v>37</v>
      </c>
      <c r="G1093" s="5" t="s">
        <v>38</v>
      </c>
      <c r="H1093" s="5"/>
      <c r="I1093" s="5"/>
      <c r="J1093" s="5" t="s">
        <v>39</v>
      </c>
      <c r="K1093" s="5" t="s">
        <v>4038</v>
      </c>
      <c r="L1093" s="5" t="s">
        <v>76</v>
      </c>
      <c r="M1093" s="5" t="s">
        <v>77</v>
      </c>
      <c r="N1093" s="5" t="s">
        <v>36</v>
      </c>
      <c r="O1093" s="5">
        <v>1</v>
      </c>
      <c r="P1093" s="5" t="s">
        <v>43</v>
      </c>
      <c r="Q1093" s="5">
        <v>13.99</v>
      </c>
      <c r="R1093" s="5"/>
      <c r="S1093" s="5"/>
      <c r="T1093" s="5"/>
      <c r="U1093" s="5"/>
      <c r="V1093" s="5"/>
      <c r="W1093" s="5"/>
      <c r="X1093" s="5"/>
      <c r="Y1093" s="5" t="s">
        <v>5222</v>
      </c>
      <c r="Z1093" s="5" t="s">
        <v>1050</v>
      </c>
      <c r="AA1093" s="5">
        <v>53010</v>
      </c>
      <c r="AB1093" s="5" t="s">
        <v>46</v>
      </c>
      <c r="AC1093" s="5"/>
      <c r="AD1093" s="5" t="b">
        <v>0</v>
      </c>
      <c r="AE1093" s="5"/>
      <c r="AF1093" s="5"/>
      <c r="AG1093" s="9">
        <f t="shared" si="17"/>
        <v>43284</v>
      </c>
    </row>
    <row r="1094" s="6" customFormat="1" spans="1:33">
      <c r="A1094" s="5" t="s">
        <v>5223</v>
      </c>
      <c r="B1094" s="5" t="s">
        <v>5223</v>
      </c>
      <c r="C1094" s="5" t="s">
        <v>5224</v>
      </c>
      <c r="D1094" s="5" t="s">
        <v>5225</v>
      </c>
      <c r="E1094" s="5" t="s">
        <v>36</v>
      </c>
      <c r="F1094" s="5" t="s">
        <v>37</v>
      </c>
      <c r="G1094" s="5" t="s">
        <v>38</v>
      </c>
      <c r="H1094" s="5"/>
      <c r="I1094" s="5"/>
      <c r="J1094" s="5" t="s">
        <v>39</v>
      </c>
      <c r="K1094" s="5" t="s">
        <v>209</v>
      </c>
      <c r="L1094" s="5" t="s">
        <v>210</v>
      </c>
      <c r="M1094" s="5" t="s">
        <v>211</v>
      </c>
      <c r="N1094" s="5" t="s">
        <v>36</v>
      </c>
      <c r="O1094" s="5">
        <v>1</v>
      </c>
      <c r="P1094" s="5" t="s">
        <v>43</v>
      </c>
      <c r="Q1094" s="5">
        <v>13.99</v>
      </c>
      <c r="R1094" s="5"/>
      <c r="S1094" s="5"/>
      <c r="T1094" s="5"/>
      <c r="U1094" s="5"/>
      <c r="V1094" s="5"/>
      <c r="W1094" s="5"/>
      <c r="X1094" s="5"/>
      <c r="Y1094" s="5" t="s">
        <v>5226</v>
      </c>
      <c r="Z1094" s="5" t="s">
        <v>1878</v>
      </c>
      <c r="AA1094" s="5">
        <v>32086</v>
      </c>
      <c r="AB1094" s="5" t="s">
        <v>46</v>
      </c>
      <c r="AC1094" s="5"/>
      <c r="AD1094" s="5" t="b">
        <v>0</v>
      </c>
      <c r="AE1094" s="5"/>
      <c r="AF1094" s="5"/>
      <c r="AG1094" s="9">
        <f t="shared" si="17"/>
        <v>43284</v>
      </c>
    </row>
    <row r="1095" s="6" customFormat="1" spans="1:33">
      <c r="A1095" s="5" t="s">
        <v>5227</v>
      </c>
      <c r="B1095" s="5" t="s">
        <v>5227</v>
      </c>
      <c r="C1095" s="5" t="s">
        <v>5228</v>
      </c>
      <c r="D1095" s="5" t="s">
        <v>5229</v>
      </c>
      <c r="E1095" s="5" t="s">
        <v>36</v>
      </c>
      <c r="F1095" s="5" t="s">
        <v>37</v>
      </c>
      <c r="G1095" s="5" t="s">
        <v>38</v>
      </c>
      <c r="H1095" s="5"/>
      <c r="I1095" s="5"/>
      <c r="J1095" s="5" t="s">
        <v>39</v>
      </c>
      <c r="K1095" s="5" t="s">
        <v>5230</v>
      </c>
      <c r="L1095" s="5" t="s">
        <v>5231</v>
      </c>
      <c r="M1095" s="5" t="s">
        <v>5232</v>
      </c>
      <c r="N1095" s="5" t="s">
        <v>36</v>
      </c>
      <c r="O1095" s="5">
        <v>1</v>
      </c>
      <c r="P1095" s="5" t="s">
        <v>43</v>
      </c>
      <c r="Q1095" s="5">
        <v>12.98</v>
      </c>
      <c r="R1095" s="5"/>
      <c r="S1095" s="5"/>
      <c r="T1095" s="5"/>
      <c r="U1095" s="5"/>
      <c r="V1095" s="5"/>
      <c r="W1095" s="5"/>
      <c r="X1095" s="5"/>
      <c r="Y1095" s="5" t="s">
        <v>5233</v>
      </c>
      <c r="Z1095" s="5" t="s">
        <v>142</v>
      </c>
      <c r="AA1095" s="5" t="s">
        <v>5234</v>
      </c>
      <c r="AB1095" s="5" t="s">
        <v>46</v>
      </c>
      <c r="AC1095" s="5"/>
      <c r="AD1095" s="5" t="b">
        <v>0</v>
      </c>
      <c r="AE1095" s="5"/>
      <c r="AF1095" s="5"/>
      <c r="AG1095" s="9">
        <f t="shared" si="17"/>
        <v>43284</v>
      </c>
    </row>
    <row r="1096" s="6" customFormat="1" spans="1:33">
      <c r="A1096" s="5" t="s">
        <v>5227</v>
      </c>
      <c r="B1096" s="5" t="s">
        <v>5227</v>
      </c>
      <c r="C1096" s="5" t="s">
        <v>5228</v>
      </c>
      <c r="D1096" s="5" t="s">
        <v>5229</v>
      </c>
      <c r="E1096" s="5" t="s">
        <v>36</v>
      </c>
      <c r="F1096" s="5" t="s">
        <v>37</v>
      </c>
      <c r="G1096" s="5" t="s">
        <v>38</v>
      </c>
      <c r="H1096" s="5"/>
      <c r="I1096" s="5"/>
      <c r="J1096" s="5" t="s">
        <v>39</v>
      </c>
      <c r="K1096" s="5" t="s">
        <v>554</v>
      </c>
      <c r="L1096" s="5" t="s">
        <v>555</v>
      </c>
      <c r="M1096" s="5" t="s">
        <v>556</v>
      </c>
      <c r="N1096" s="5" t="s">
        <v>36</v>
      </c>
      <c r="O1096" s="5">
        <v>1</v>
      </c>
      <c r="P1096" s="5" t="s">
        <v>43</v>
      </c>
      <c r="Q1096" s="5">
        <v>10</v>
      </c>
      <c r="R1096" s="5"/>
      <c r="S1096" s="5"/>
      <c r="T1096" s="5"/>
      <c r="U1096" s="5"/>
      <c r="V1096" s="5"/>
      <c r="W1096" s="5"/>
      <c r="X1096" s="5"/>
      <c r="Y1096" s="5" t="s">
        <v>5233</v>
      </c>
      <c r="Z1096" s="5" t="s">
        <v>142</v>
      </c>
      <c r="AA1096" s="5" t="s">
        <v>5234</v>
      </c>
      <c r="AB1096" s="5" t="s">
        <v>46</v>
      </c>
      <c r="AC1096" s="5"/>
      <c r="AD1096" s="5" t="b">
        <v>0</v>
      </c>
      <c r="AE1096" s="5"/>
      <c r="AF1096" s="5"/>
      <c r="AG1096" s="9">
        <f t="shared" si="17"/>
        <v>43284</v>
      </c>
    </row>
    <row r="1097" s="6" customFormat="1" spans="1:33">
      <c r="A1097" s="5" t="s">
        <v>5235</v>
      </c>
      <c r="B1097" s="5" t="s">
        <v>5235</v>
      </c>
      <c r="C1097" s="5" t="s">
        <v>5236</v>
      </c>
      <c r="D1097" s="5" t="s">
        <v>5237</v>
      </c>
      <c r="E1097" s="5" t="s">
        <v>5238</v>
      </c>
      <c r="F1097" s="5" t="s">
        <v>37</v>
      </c>
      <c r="G1097" s="5" t="s">
        <v>38</v>
      </c>
      <c r="H1097" s="5"/>
      <c r="I1097" s="5"/>
      <c r="J1097" s="5" t="s">
        <v>128</v>
      </c>
      <c r="K1097" s="5" t="s">
        <v>3798</v>
      </c>
      <c r="L1097" s="5" t="s">
        <v>1048</v>
      </c>
      <c r="M1097" s="5" t="s">
        <v>535</v>
      </c>
      <c r="N1097" s="5" t="s">
        <v>833</v>
      </c>
      <c r="O1097" s="5">
        <v>1</v>
      </c>
      <c r="P1097" s="5" t="s">
        <v>43</v>
      </c>
      <c r="Q1097" s="5">
        <v>24.99</v>
      </c>
      <c r="R1097" s="5"/>
      <c r="S1097" s="5"/>
      <c r="T1097" s="5"/>
      <c r="U1097" s="5"/>
      <c r="V1097" s="5"/>
      <c r="W1097" s="5"/>
      <c r="X1097" s="5"/>
      <c r="Y1097" s="5" t="s">
        <v>5239</v>
      </c>
      <c r="Z1097" s="5" t="s">
        <v>255</v>
      </c>
      <c r="AA1097" s="5">
        <v>18104</v>
      </c>
      <c r="AB1097" s="5" t="s">
        <v>46</v>
      </c>
      <c r="AC1097" s="5" t="s">
        <v>225</v>
      </c>
      <c r="AD1097" s="5" t="b">
        <v>0</v>
      </c>
      <c r="AE1097" s="5"/>
      <c r="AF1097" s="5"/>
      <c r="AG1097" s="9">
        <f t="shared" si="17"/>
        <v>43284</v>
      </c>
    </row>
    <row r="1098" s="6" customFormat="1" spans="1:33">
      <c r="A1098" s="5" t="s">
        <v>5240</v>
      </c>
      <c r="B1098" s="5" t="s">
        <v>5240</v>
      </c>
      <c r="C1098" s="5" t="s">
        <v>5241</v>
      </c>
      <c r="D1098" s="5" t="s">
        <v>5242</v>
      </c>
      <c r="E1098" s="5" t="s">
        <v>36</v>
      </c>
      <c r="F1098" s="5" t="s">
        <v>37</v>
      </c>
      <c r="G1098" s="5" t="s">
        <v>38</v>
      </c>
      <c r="H1098" s="5"/>
      <c r="I1098" s="5"/>
      <c r="J1098" s="5" t="s">
        <v>39</v>
      </c>
      <c r="K1098" s="5" t="s">
        <v>3752</v>
      </c>
      <c r="L1098" s="5" t="s">
        <v>244</v>
      </c>
      <c r="M1098" s="5" t="s">
        <v>245</v>
      </c>
      <c r="N1098" s="5" t="s">
        <v>36</v>
      </c>
      <c r="O1098" s="5">
        <v>1</v>
      </c>
      <c r="P1098" s="5" t="s">
        <v>43</v>
      </c>
      <c r="Q1098" s="5">
        <v>18.99</v>
      </c>
      <c r="R1098" s="5">
        <v>1.14</v>
      </c>
      <c r="S1098" s="5"/>
      <c r="T1098" s="5"/>
      <c r="U1098" s="5"/>
      <c r="V1098" s="5"/>
      <c r="W1098" s="5"/>
      <c r="X1098" s="5"/>
      <c r="Y1098" s="5" t="s">
        <v>5243</v>
      </c>
      <c r="Z1098" s="5" t="s">
        <v>255</v>
      </c>
      <c r="AA1098" s="5" t="s">
        <v>5244</v>
      </c>
      <c r="AB1098" s="5" t="s">
        <v>46</v>
      </c>
      <c r="AC1098" s="5"/>
      <c r="AD1098" s="5" t="b">
        <v>0</v>
      </c>
      <c r="AE1098" s="5"/>
      <c r="AF1098" s="5"/>
      <c r="AG1098" s="9">
        <f t="shared" si="17"/>
        <v>43284</v>
      </c>
    </row>
    <row r="1099" s="6" customFormat="1" spans="1:33">
      <c r="A1099" s="5" t="s">
        <v>5245</v>
      </c>
      <c r="B1099" s="5" t="s">
        <v>5245</v>
      </c>
      <c r="C1099" s="5" t="s">
        <v>5246</v>
      </c>
      <c r="D1099" s="5" t="s">
        <v>5247</v>
      </c>
      <c r="E1099" s="5" t="s">
        <v>36</v>
      </c>
      <c r="F1099" s="5" t="s">
        <v>37</v>
      </c>
      <c r="G1099" s="5" t="s">
        <v>38</v>
      </c>
      <c r="H1099" s="5"/>
      <c r="I1099" s="5"/>
      <c r="J1099" s="5" t="s">
        <v>39</v>
      </c>
      <c r="K1099" s="5" t="s">
        <v>3745</v>
      </c>
      <c r="L1099" s="5" t="s">
        <v>202</v>
      </c>
      <c r="M1099" s="5" t="s">
        <v>203</v>
      </c>
      <c r="N1099" s="5" t="s">
        <v>36</v>
      </c>
      <c r="O1099" s="5">
        <v>1</v>
      </c>
      <c r="P1099" s="5" t="s">
        <v>43</v>
      </c>
      <c r="Q1099" s="5">
        <v>18.99</v>
      </c>
      <c r="R1099" s="5">
        <v>1.68</v>
      </c>
      <c r="S1099" s="5"/>
      <c r="T1099" s="5"/>
      <c r="U1099" s="5"/>
      <c r="V1099" s="5"/>
      <c r="W1099" s="5"/>
      <c r="X1099" s="5"/>
      <c r="Y1099" s="5" t="s">
        <v>5248</v>
      </c>
      <c r="Z1099" s="5" t="s">
        <v>843</v>
      </c>
      <c r="AA1099" s="5" t="s">
        <v>5249</v>
      </c>
      <c r="AB1099" s="5" t="s">
        <v>46</v>
      </c>
      <c r="AC1099" s="5"/>
      <c r="AD1099" s="5" t="b">
        <v>0</v>
      </c>
      <c r="AE1099" s="5"/>
      <c r="AF1099" s="5"/>
      <c r="AG1099" s="9">
        <f t="shared" si="17"/>
        <v>43284</v>
      </c>
    </row>
    <row r="1100" s="6" customFormat="1" spans="1:33">
      <c r="A1100" s="5" t="s">
        <v>5250</v>
      </c>
      <c r="B1100" s="5" t="s">
        <v>5250</v>
      </c>
      <c r="C1100" s="5" t="s">
        <v>5251</v>
      </c>
      <c r="D1100" s="5" t="s">
        <v>5252</v>
      </c>
      <c r="E1100" s="5" t="s">
        <v>36</v>
      </c>
      <c r="F1100" s="5" t="s">
        <v>37</v>
      </c>
      <c r="G1100" s="5" t="s">
        <v>38</v>
      </c>
      <c r="H1100" s="5"/>
      <c r="I1100" s="5"/>
      <c r="J1100" s="5" t="s">
        <v>39</v>
      </c>
      <c r="K1100" s="5" t="s">
        <v>3745</v>
      </c>
      <c r="L1100" s="5" t="s">
        <v>202</v>
      </c>
      <c r="M1100" s="5" t="s">
        <v>203</v>
      </c>
      <c r="N1100" s="5" t="s">
        <v>36</v>
      </c>
      <c r="O1100" s="5">
        <v>1</v>
      </c>
      <c r="P1100" s="5" t="s">
        <v>43</v>
      </c>
      <c r="Q1100" s="5">
        <v>18.99</v>
      </c>
      <c r="R1100" s="5"/>
      <c r="S1100" s="5"/>
      <c r="T1100" s="5"/>
      <c r="U1100" s="5"/>
      <c r="V1100" s="5"/>
      <c r="W1100" s="5"/>
      <c r="X1100" s="5"/>
      <c r="Y1100" s="5" t="s">
        <v>5253</v>
      </c>
      <c r="Z1100" s="5" t="s">
        <v>463</v>
      </c>
      <c r="AA1100" s="5" t="s">
        <v>5254</v>
      </c>
      <c r="AB1100" s="5" t="s">
        <v>46</v>
      </c>
      <c r="AC1100" s="5"/>
      <c r="AD1100" s="5" t="b">
        <v>0</v>
      </c>
      <c r="AE1100" s="5"/>
      <c r="AF1100" s="5"/>
      <c r="AG1100" s="9">
        <f t="shared" si="17"/>
        <v>43284</v>
      </c>
    </row>
    <row r="1101" s="6" customFormat="1" spans="1:33">
      <c r="A1101" s="5" t="s">
        <v>5255</v>
      </c>
      <c r="B1101" s="5" t="s">
        <v>5255</v>
      </c>
      <c r="C1101" s="5" t="s">
        <v>5256</v>
      </c>
      <c r="D1101" s="5" t="s">
        <v>5257</v>
      </c>
      <c r="E1101" s="5" t="s">
        <v>36</v>
      </c>
      <c r="F1101" s="5" t="s">
        <v>37</v>
      </c>
      <c r="G1101" s="5" t="s">
        <v>38</v>
      </c>
      <c r="H1101" s="5"/>
      <c r="I1101" s="5"/>
      <c r="J1101" s="5" t="s">
        <v>39</v>
      </c>
      <c r="K1101" s="5" t="s">
        <v>4173</v>
      </c>
      <c r="L1101" s="5" t="s">
        <v>1958</v>
      </c>
      <c r="M1101" s="5" t="s">
        <v>271</v>
      </c>
      <c r="N1101" s="5" t="s">
        <v>36</v>
      </c>
      <c r="O1101" s="5">
        <v>1</v>
      </c>
      <c r="P1101" s="5" t="s">
        <v>43</v>
      </c>
      <c r="Q1101" s="5">
        <v>24.99</v>
      </c>
      <c r="R1101" s="5"/>
      <c r="S1101" s="5"/>
      <c r="T1101" s="5"/>
      <c r="U1101" s="5"/>
      <c r="V1101" s="5"/>
      <c r="W1101" s="5"/>
      <c r="X1101" s="5"/>
      <c r="Y1101" s="5" t="s">
        <v>856</v>
      </c>
      <c r="Z1101" s="5" t="s">
        <v>151</v>
      </c>
      <c r="AA1101" s="5" t="s">
        <v>5035</v>
      </c>
      <c r="AB1101" s="5" t="s">
        <v>46</v>
      </c>
      <c r="AC1101" s="5"/>
      <c r="AD1101" s="5" t="b">
        <v>0</v>
      </c>
      <c r="AE1101" s="5"/>
      <c r="AF1101" s="5"/>
      <c r="AG1101" s="9">
        <f t="shared" si="17"/>
        <v>43284</v>
      </c>
    </row>
    <row r="1102" s="6" customFormat="1" spans="1:33">
      <c r="A1102" s="5" t="s">
        <v>5258</v>
      </c>
      <c r="B1102" s="5" t="s">
        <v>5258</v>
      </c>
      <c r="C1102" s="5" t="s">
        <v>5259</v>
      </c>
      <c r="D1102" s="5" t="s">
        <v>5260</v>
      </c>
      <c r="E1102" s="5" t="s">
        <v>36</v>
      </c>
      <c r="F1102" s="5" t="s">
        <v>37</v>
      </c>
      <c r="G1102" s="5" t="s">
        <v>38</v>
      </c>
      <c r="H1102" s="5"/>
      <c r="I1102" s="5"/>
      <c r="J1102" s="5" t="s">
        <v>39</v>
      </c>
      <c r="K1102" s="5" t="s">
        <v>3752</v>
      </c>
      <c r="L1102" s="5" t="s">
        <v>244</v>
      </c>
      <c r="M1102" s="5" t="s">
        <v>245</v>
      </c>
      <c r="N1102" s="5" t="s">
        <v>36</v>
      </c>
      <c r="O1102" s="5">
        <v>1</v>
      </c>
      <c r="P1102" s="5" t="s">
        <v>43</v>
      </c>
      <c r="Q1102" s="5">
        <v>18.99</v>
      </c>
      <c r="R1102" s="5"/>
      <c r="S1102" s="5"/>
      <c r="T1102" s="5"/>
      <c r="U1102" s="5"/>
      <c r="V1102" s="5"/>
      <c r="W1102" s="5"/>
      <c r="X1102" s="5"/>
      <c r="Y1102" s="5" t="s">
        <v>5261</v>
      </c>
      <c r="Z1102" s="5" t="s">
        <v>391</v>
      </c>
      <c r="AA1102" s="5" t="s">
        <v>5262</v>
      </c>
      <c r="AB1102" s="5" t="s">
        <v>46</v>
      </c>
      <c r="AC1102" s="5"/>
      <c r="AD1102" s="5" t="b">
        <v>0</v>
      </c>
      <c r="AE1102" s="5"/>
      <c r="AF1102" s="5"/>
      <c r="AG1102" s="9">
        <f t="shared" si="17"/>
        <v>43284</v>
      </c>
    </row>
    <row r="1103" s="6" customFormat="1" spans="1:33">
      <c r="A1103" s="5" t="s">
        <v>5263</v>
      </c>
      <c r="B1103" s="5" t="s">
        <v>5263</v>
      </c>
      <c r="C1103" s="5" t="s">
        <v>5264</v>
      </c>
      <c r="D1103" s="5" t="s">
        <v>5265</v>
      </c>
      <c r="E1103" s="5" t="s">
        <v>36</v>
      </c>
      <c r="F1103" s="5" t="s">
        <v>37</v>
      </c>
      <c r="G1103" s="5" t="s">
        <v>38</v>
      </c>
      <c r="H1103" s="5"/>
      <c r="I1103" s="5"/>
      <c r="J1103" s="5" t="s">
        <v>39</v>
      </c>
      <c r="K1103" s="5" t="s">
        <v>2973</v>
      </c>
      <c r="L1103" s="5" t="s">
        <v>2974</v>
      </c>
      <c r="M1103" s="5" t="s">
        <v>2975</v>
      </c>
      <c r="N1103" s="5" t="s">
        <v>36</v>
      </c>
      <c r="O1103" s="5">
        <v>1</v>
      </c>
      <c r="P1103" s="5" t="s">
        <v>43</v>
      </c>
      <c r="Q1103" s="5">
        <v>18.99</v>
      </c>
      <c r="R1103" s="5"/>
      <c r="S1103" s="5"/>
      <c r="T1103" s="5"/>
      <c r="U1103" s="5"/>
      <c r="V1103" s="5"/>
      <c r="W1103" s="5"/>
      <c r="X1103" s="5"/>
      <c r="Y1103" s="5" t="s">
        <v>5266</v>
      </c>
      <c r="Z1103" s="5" t="s">
        <v>170</v>
      </c>
      <c r="AA1103" s="5" t="s">
        <v>5267</v>
      </c>
      <c r="AB1103" s="5" t="s">
        <v>46</v>
      </c>
      <c r="AC1103" s="5"/>
      <c r="AD1103" s="5" t="b">
        <v>0</v>
      </c>
      <c r="AE1103" s="5"/>
      <c r="AF1103" s="5"/>
      <c r="AG1103" s="9">
        <f t="shared" si="17"/>
        <v>43284</v>
      </c>
    </row>
    <row r="1104" s="6" customFormat="1" spans="1:33">
      <c r="A1104" s="5" t="s">
        <v>5268</v>
      </c>
      <c r="B1104" s="5" t="s">
        <v>5268</v>
      </c>
      <c r="C1104" s="5" t="s">
        <v>5269</v>
      </c>
      <c r="D1104" s="5" t="s">
        <v>5270</v>
      </c>
      <c r="E1104" s="5" t="s">
        <v>36</v>
      </c>
      <c r="F1104" s="5" t="s">
        <v>37</v>
      </c>
      <c r="G1104" s="5" t="s">
        <v>38</v>
      </c>
      <c r="H1104" s="5"/>
      <c r="I1104" s="5"/>
      <c r="J1104" s="5" t="s">
        <v>39</v>
      </c>
      <c r="K1104" s="5" t="s">
        <v>4038</v>
      </c>
      <c r="L1104" s="5" t="s">
        <v>76</v>
      </c>
      <c r="M1104" s="5" t="s">
        <v>77</v>
      </c>
      <c r="N1104" s="5" t="s">
        <v>36</v>
      </c>
      <c r="O1104" s="5">
        <v>1</v>
      </c>
      <c r="P1104" s="5" t="s">
        <v>43</v>
      </c>
      <c r="Q1104" s="5">
        <v>13.99</v>
      </c>
      <c r="R1104" s="5"/>
      <c r="S1104" s="5"/>
      <c r="T1104" s="5"/>
      <c r="U1104" s="5"/>
      <c r="V1104" s="5"/>
      <c r="W1104" s="5"/>
      <c r="X1104" s="5"/>
      <c r="Y1104" s="5" t="s">
        <v>5271</v>
      </c>
      <c r="Z1104" s="5" t="s">
        <v>792</v>
      </c>
      <c r="AA1104" s="5">
        <v>94301</v>
      </c>
      <c r="AB1104" s="5" t="s">
        <v>46</v>
      </c>
      <c r="AC1104" s="5"/>
      <c r="AD1104" s="5" t="b">
        <v>0</v>
      </c>
      <c r="AE1104" s="5"/>
      <c r="AF1104" s="5"/>
      <c r="AG1104" s="9">
        <f t="shared" si="17"/>
        <v>43284</v>
      </c>
    </row>
    <row r="1105" s="6" customFormat="1" spans="1:33">
      <c r="A1105" s="5" t="s">
        <v>5272</v>
      </c>
      <c r="B1105" s="5" t="s">
        <v>5272</v>
      </c>
      <c r="C1105" s="5" t="s">
        <v>5273</v>
      </c>
      <c r="D1105" s="5" t="s">
        <v>5274</v>
      </c>
      <c r="E1105" s="5" t="s">
        <v>36</v>
      </c>
      <c r="F1105" s="5" t="s">
        <v>37</v>
      </c>
      <c r="G1105" s="5" t="s">
        <v>38</v>
      </c>
      <c r="H1105" s="5"/>
      <c r="I1105" s="5"/>
      <c r="J1105" s="5" t="s">
        <v>39</v>
      </c>
      <c r="K1105" s="5" t="s">
        <v>434</v>
      </c>
      <c r="L1105" s="5" t="s">
        <v>435</v>
      </c>
      <c r="M1105" s="5" t="s">
        <v>436</v>
      </c>
      <c r="N1105" s="5" t="s">
        <v>36</v>
      </c>
      <c r="O1105" s="5">
        <v>1</v>
      </c>
      <c r="P1105" s="5" t="s">
        <v>43</v>
      </c>
      <c r="Q1105" s="5">
        <v>13.99</v>
      </c>
      <c r="R1105" s="5"/>
      <c r="S1105" s="5"/>
      <c r="T1105" s="5"/>
      <c r="U1105" s="5"/>
      <c r="V1105" s="5"/>
      <c r="W1105" s="5"/>
      <c r="X1105" s="5"/>
      <c r="Y1105" s="5" t="s">
        <v>5275</v>
      </c>
      <c r="Z1105" s="5" t="s">
        <v>54</v>
      </c>
      <c r="AA1105" s="5" t="s">
        <v>5276</v>
      </c>
      <c r="AB1105" s="5" t="s">
        <v>46</v>
      </c>
      <c r="AC1105" s="5"/>
      <c r="AD1105" s="5" t="b">
        <v>0</v>
      </c>
      <c r="AE1105" s="5"/>
      <c r="AF1105" s="5"/>
      <c r="AG1105" s="9">
        <f t="shared" si="17"/>
        <v>43284</v>
      </c>
    </row>
    <row r="1106" s="6" customFormat="1" spans="1:33">
      <c r="A1106" s="5" t="s">
        <v>5277</v>
      </c>
      <c r="B1106" s="5" t="s">
        <v>5277</v>
      </c>
      <c r="C1106" s="5" t="s">
        <v>5278</v>
      </c>
      <c r="D1106" s="5" t="s">
        <v>5279</v>
      </c>
      <c r="E1106" s="5" t="s">
        <v>36</v>
      </c>
      <c r="F1106" s="5" t="s">
        <v>37</v>
      </c>
      <c r="G1106" s="5" t="s">
        <v>38</v>
      </c>
      <c r="H1106" s="5"/>
      <c r="I1106" s="5"/>
      <c r="J1106" s="5" t="s">
        <v>39</v>
      </c>
      <c r="K1106" s="5" t="s">
        <v>3940</v>
      </c>
      <c r="L1106" s="5" t="s">
        <v>2099</v>
      </c>
      <c r="M1106" s="5" t="s">
        <v>121</v>
      </c>
      <c r="N1106" s="5" t="s">
        <v>36</v>
      </c>
      <c r="O1106" s="5">
        <v>1</v>
      </c>
      <c r="P1106" s="5" t="s">
        <v>43</v>
      </c>
      <c r="Q1106" s="5">
        <v>24.99</v>
      </c>
      <c r="R1106" s="5"/>
      <c r="S1106" s="5"/>
      <c r="T1106" s="5"/>
      <c r="U1106" s="5"/>
      <c r="V1106" s="5"/>
      <c r="W1106" s="5"/>
      <c r="X1106" s="5"/>
      <c r="Y1106" s="5" t="s">
        <v>5280</v>
      </c>
      <c r="Z1106" s="5" t="s">
        <v>329</v>
      </c>
      <c r="AA1106" s="5" t="s">
        <v>5281</v>
      </c>
      <c r="AB1106" s="5" t="s">
        <v>46</v>
      </c>
      <c r="AC1106" s="5"/>
      <c r="AD1106" s="5" t="b">
        <v>0</v>
      </c>
      <c r="AE1106" s="5"/>
      <c r="AF1106" s="5"/>
      <c r="AG1106" s="9">
        <f t="shared" si="17"/>
        <v>43284</v>
      </c>
    </row>
    <row r="1107" s="6" customFormat="1" spans="1:33">
      <c r="A1107" s="5" t="s">
        <v>5282</v>
      </c>
      <c r="B1107" s="5" t="s">
        <v>5282</v>
      </c>
      <c r="C1107" s="5" t="s">
        <v>5283</v>
      </c>
      <c r="D1107" s="5" t="s">
        <v>5284</v>
      </c>
      <c r="E1107" s="5" t="s">
        <v>36</v>
      </c>
      <c r="F1107" s="5" t="s">
        <v>37</v>
      </c>
      <c r="G1107" s="5" t="s">
        <v>38</v>
      </c>
      <c r="H1107" s="5"/>
      <c r="I1107" s="5"/>
      <c r="J1107" s="5" t="s">
        <v>39</v>
      </c>
      <c r="K1107" s="5" t="s">
        <v>3679</v>
      </c>
      <c r="L1107" s="5" t="s">
        <v>4376</v>
      </c>
      <c r="M1107" s="5" t="s">
        <v>1293</v>
      </c>
      <c r="N1107" s="5" t="s">
        <v>36</v>
      </c>
      <c r="O1107" s="5">
        <v>1</v>
      </c>
      <c r="P1107" s="5" t="s">
        <v>43</v>
      </c>
      <c r="Q1107" s="5">
        <v>13.99</v>
      </c>
      <c r="R1107" s="5"/>
      <c r="S1107" s="5"/>
      <c r="T1107" s="5"/>
      <c r="U1107" s="5"/>
      <c r="V1107" s="5"/>
      <c r="W1107" s="5"/>
      <c r="X1107" s="5"/>
      <c r="Y1107" s="5" t="s">
        <v>946</v>
      </c>
      <c r="Z1107" s="5" t="s">
        <v>247</v>
      </c>
      <c r="AA1107" s="5" t="s">
        <v>5285</v>
      </c>
      <c r="AB1107" s="5" t="s">
        <v>46</v>
      </c>
      <c r="AC1107" s="5"/>
      <c r="AD1107" s="5" t="b">
        <v>0</v>
      </c>
      <c r="AE1107" s="5"/>
      <c r="AF1107" s="5"/>
      <c r="AG1107" s="9">
        <f t="shared" si="17"/>
        <v>43284</v>
      </c>
    </row>
    <row r="1108" s="6" customFormat="1" spans="1:33">
      <c r="A1108" s="5" t="s">
        <v>5286</v>
      </c>
      <c r="B1108" s="5" t="s">
        <v>5286</v>
      </c>
      <c r="C1108" s="5" t="s">
        <v>5287</v>
      </c>
      <c r="D1108" s="5" t="s">
        <v>5288</v>
      </c>
      <c r="E1108" s="5" t="s">
        <v>36</v>
      </c>
      <c r="F1108" s="5" t="s">
        <v>37</v>
      </c>
      <c r="G1108" s="5" t="s">
        <v>38</v>
      </c>
      <c r="H1108" s="5"/>
      <c r="I1108" s="5"/>
      <c r="J1108" s="5" t="s">
        <v>39</v>
      </c>
      <c r="K1108" s="5" t="s">
        <v>3668</v>
      </c>
      <c r="L1108" s="5" t="s">
        <v>578</v>
      </c>
      <c r="M1108" s="5" t="s">
        <v>572</v>
      </c>
      <c r="N1108" s="5" t="s">
        <v>36</v>
      </c>
      <c r="O1108" s="5">
        <v>1</v>
      </c>
      <c r="P1108" s="5" t="s">
        <v>43</v>
      </c>
      <c r="Q1108" s="5">
        <v>24.99</v>
      </c>
      <c r="R1108" s="5"/>
      <c r="S1108" s="5"/>
      <c r="T1108" s="5"/>
      <c r="U1108" s="5"/>
      <c r="V1108" s="5"/>
      <c r="W1108" s="5"/>
      <c r="X1108" s="5"/>
      <c r="Y1108" s="5" t="s">
        <v>381</v>
      </c>
      <c r="Z1108" s="5" t="s">
        <v>54</v>
      </c>
      <c r="AA1108" s="5" t="s">
        <v>5289</v>
      </c>
      <c r="AB1108" s="5" t="s">
        <v>46</v>
      </c>
      <c r="AC1108" s="5"/>
      <c r="AD1108" s="5" t="b">
        <v>0</v>
      </c>
      <c r="AE1108" s="5"/>
      <c r="AF1108" s="5"/>
      <c r="AG1108" s="9">
        <f t="shared" si="17"/>
        <v>43284</v>
      </c>
    </row>
    <row r="1109" s="6" customFormat="1" spans="1:33">
      <c r="A1109" s="5" t="s">
        <v>5290</v>
      </c>
      <c r="B1109" s="5" t="s">
        <v>5290</v>
      </c>
      <c r="C1109" s="5" t="s">
        <v>5291</v>
      </c>
      <c r="D1109" s="5" t="s">
        <v>5292</v>
      </c>
      <c r="E1109" s="5" t="s">
        <v>36</v>
      </c>
      <c r="F1109" s="5" t="s">
        <v>37</v>
      </c>
      <c r="G1109" s="5" t="s">
        <v>38</v>
      </c>
      <c r="H1109" s="5"/>
      <c r="I1109" s="5"/>
      <c r="J1109" s="5" t="s">
        <v>39</v>
      </c>
      <c r="K1109" s="5" t="s">
        <v>4173</v>
      </c>
      <c r="L1109" s="5" t="s">
        <v>1958</v>
      </c>
      <c r="M1109" s="5" t="s">
        <v>271</v>
      </c>
      <c r="N1109" s="5" t="s">
        <v>36</v>
      </c>
      <c r="O1109" s="5">
        <v>1</v>
      </c>
      <c r="P1109" s="5" t="s">
        <v>43</v>
      </c>
      <c r="Q1109" s="5">
        <v>24.99</v>
      </c>
      <c r="R1109" s="5"/>
      <c r="S1109" s="5"/>
      <c r="T1109" s="5"/>
      <c r="U1109" s="5"/>
      <c r="V1109" s="5"/>
      <c r="W1109" s="5"/>
      <c r="X1109" s="5"/>
      <c r="Y1109" s="5" t="s">
        <v>5293</v>
      </c>
      <c r="Z1109" s="5" t="s">
        <v>54</v>
      </c>
      <c r="AA1109" s="5">
        <v>90706</v>
      </c>
      <c r="AB1109" s="5" t="s">
        <v>46</v>
      </c>
      <c r="AC1109" s="5"/>
      <c r="AD1109" s="5" t="b">
        <v>0</v>
      </c>
      <c r="AE1109" s="5"/>
      <c r="AF1109" s="5"/>
      <c r="AG1109" s="9">
        <f t="shared" si="17"/>
        <v>43284</v>
      </c>
    </row>
    <row r="1110" s="6" customFormat="1" spans="1:33">
      <c r="A1110" s="5" t="s">
        <v>5294</v>
      </c>
      <c r="B1110" s="5" t="s">
        <v>5294</v>
      </c>
      <c r="C1110" s="5" t="s">
        <v>5295</v>
      </c>
      <c r="D1110" s="5" t="s">
        <v>5296</v>
      </c>
      <c r="E1110" s="5" t="s">
        <v>36</v>
      </c>
      <c r="F1110" s="5" t="s">
        <v>37</v>
      </c>
      <c r="G1110" s="5" t="s">
        <v>38</v>
      </c>
      <c r="H1110" s="5"/>
      <c r="I1110" s="5"/>
      <c r="J1110" s="5" t="s">
        <v>39</v>
      </c>
      <c r="K1110" s="5" t="s">
        <v>4155</v>
      </c>
      <c r="L1110" s="5" t="s">
        <v>111</v>
      </c>
      <c r="M1110" s="5" t="s">
        <v>112</v>
      </c>
      <c r="N1110" s="5" t="s">
        <v>36</v>
      </c>
      <c r="O1110" s="5">
        <v>1</v>
      </c>
      <c r="P1110" s="5" t="s">
        <v>43</v>
      </c>
      <c r="Q1110" s="5">
        <v>13.99</v>
      </c>
      <c r="R1110" s="5"/>
      <c r="S1110" s="5"/>
      <c r="T1110" s="5"/>
      <c r="U1110" s="5"/>
      <c r="V1110" s="5"/>
      <c r="W1110" s="5"/>
      <c r="X1110" s="5"/>
      <c r="Y1110" s="5" t="s">
        <v>5297</v>
      </c>
      <c r="Z1110" s="5" t="s">
        <v>5298</v>
      </c>
      <c r="AA1110" s="5">
        <v>33155</v>
      </c>
      <c r="AB1110" s="5" t="s">
        <v>46</v>
      </c>
      <c r="AC1110" s="5"/>
      <c r="AD1110" s="5" t="b">
        <v>0</v>
      </c>
      <c r="AE1110" s="5"/>
      <c r="AF1110" s="5"/>
      <c r="AG1110" s="9">
        <f t="shared" si="17"/>
        <v>43284</v>
      </c>
    </row>
    <row r="1111" s="6" customFormat="1" spans="1:33">
      <c r="A1111" s="5" t="s">
        <v>5299</v>
      </c>
      <c r="B1111" s="5" t="s">
        <v>5299</v>
      </c>
      <c r="C1111" s="5" t="s">
        <v>5300</v>
      </c>
      <c r="D1111" s="5" t="s">
        <v>5301</v>
      </c>
      <c r="E1111" s="5" t="s">
        <v>36</v>
      </c>
      <c r="F1111" s="5" t="s">
        <v>37</v>
      </c>
      <c r="G1111" s="5" t="s">
        <v>38</v>
      </c>
      <c r="H1111" s="5"/>
      <c r="I1111" s="5"/>
      <c r="J1111" s="5" t="s">
        <v>39</v>
      </c>
      <c r="K1111" s="5" t="s">
        <v>5302</v>
      </c>
      <c r="L1111" s="5" t="s">
        <v>5303</v>
      </c>
      <c r="M1111" s="5" t="s">
        <v>5304</v>
      </c>
      <c r="N1111" s="5" t="s">
        <v>36</v>
      </c>
      <c r="O1111" s="5">
        <v>1</v>
      </c>
      <c r="P1111" s="5" t="s">
        <v>43</v>
      </c>
      <c r="Q1111" s="5">
        <v>10</v>
      </c>
      <c r="R1111" s="5"/>
      <c r="S1111" s="5"/>
      <c r="T1111" s="5"/>
      <c r="U1111" s="5"/>
      <c r="V1111" s="5"/>
      <c r="W1111" s="5"/>
      <c r="X1111" s="5"/>
      <c r="Y1111" s="5" t="s">
        <v>5305</v>
      </c>
      <c r="Z1111" s="5" t="s">
        <v>151</v>
      </c>
      <c r="AA1111" s="5" t="s">
        <v>5306</v>
      </c>
      <c r="AB1111" s="5" t="s">
        <v>46</v>
      </c>
      <c r="AC1111" s="5"/>
      <c r="AD1111" s="5" t="b">
        <v>0</v>
      </c>
      <c r="AE1111" s="5"/>
      <c r="AF1111" s="5"/>
      <c r="AG1111" s="9">
        <f t="shared" si="17"/>
        <v>43284</v>
      </c>
    </row>
    <row r="1112" s="6" customFormat="1" spans="1:33">
      <c r="A1112" s="5" t="s">
        <v>5307</v>
      </c>
      <c r="B1112" s="5" t="s">
        <v>5307</v>
      </c>
      <c r="C1112" s="5" t="s">
        <v>5308</v>
      </c>
      <c r="D1112" s="5" t="s">
        <v>5309</v>
      </c>
      <c r="E1112" s="5" t="s">
        <v>36</v>
      </c>
      <c r="F1112" s="5" t="s">
        <v>37</v>
      </c>
      <c r="G1112" s="5" t="s">
        <v>38</v>
      </c>
      <c r="H1112" s="5"/>
      <c r="I1112" s="5"/>
      <c r="J1112" s="5" t="s">
        <v>39</v>
      </c>
      <c r="K1112" s="5" t="s">
        <v>2344</v>
      </c>
      <c r="L1112" s="5" t="s">
        <v>2345</v>
      </c>
      <c r="M1112" s="5" t="s">
        <v>2346</v>
      </c>
      <c r="N1112" s="5" t="s">
        <v>36</v>
      </c>
      <c r="O1112" s="5">
        <v>1</v>
      </c>
      <c r="P1112" s="5" t="s">
        <v>43</v>
      </c>
      <c r="Q1112" s="5">
        <v>13.99</v>
      </c>
      <c r="R1112" s="5"/>
      <c r="S1112" s="5"/>
      <c r="T1112" s="5"/>
      <c r="U1112" s="5"/>
      <c r="V1112" s="5"/>
      <c r="W1112" s="5"/>
      <c r="X1112" s="5"/>
      <c r="Y1112" s="5" t="s">
        <v>5310</v>
      </c>
      <c r="Z1112" s="5" t="s">
        <v>282</v>
      </c>
      <c r="AA1112" s="5">
        <v>48334</v>
      </c>
      <c r="AB1112" s="5" t="s">
        <v>46</v>
      </c>
      <c r="AC1112" s="5"/>
      <c r="AD1112" s="5" t="b">
        <v>0</v>
      </c>
      <c r="AE1112" s="5"/>
      <c r="AF1112" s="5"/>
      <c r="AG1112" s="9">
        <f t="shared" si="17"/>
        <v>43284</v>
      </c>
    </row>
    <row r="1113" s="6" customFormat="1" spans="1:33">
      <c r="A1113" s="5" t="s">
        <v>5311</v>
      </c>
      <c r="B1113" s="5" t="s">
        <v>5311</v>
      </c>
      <c r="C1113" s="5" t="s">
        <v>5312</v>
      </c>
      <c r="D1113" s="5" t="s">
        <v>5313</v>
      </c>
      <c r="E1113" s="5" t="s">
        <v>614</v>
      </c>
      <c r="F1113" s="5" t="s">
        <v>37</v>
      </c>
      <c r="G1113" s="5" t="s">
        <v>38</v>
      </c>
      <c r="H1113" s="5"/>
      <c r="I1113" s="5"/>
      <c r="J1113" s="5" t="s">
        <v>39</v>
      </c>
      <c r="K1113" s="5" t="s">
        <v>5302</v>
      </c>
      <c r="L1113" s="5" t="s">
        <v>5303</v>
      </c>
      <c r="M1113" s="5" t="s">
        <v>5304</v>
      </c>
      <c r="N1113" s="5" t="s">
        <v>614</v>
      </c>
      <c r="O1113" s="5">
        <v>0</v>
      </c>
      <c r="P1113" s="5"/>
      <c r="Q1113" s="5"/>
      <c r="R1113" s="5"/>
      <c r="S1113" s="5"/>
      <c r="T1113" s="5"/>
      <c r="U1113" s="5"/>
      <c r="V1113" s="5"/>
      <c r="W1113" s="5"/>
      <c r="X1113" s="5"/>
      <c r="Y1113" s="5" t="s">
        <v>5305</v>
      </c>
      <c r="Z1113" s="5" t="s">
        <v>151</v>
      </c>
      <c r="AA1113" s="5" t="s">
        <v>5306</v>
      </c>
      <c r="AB1113" s="5" t="s">
        <v>46</v>
      </c>
      <c r="AC1113" s="5"/>
      <c r="AD1113" s="5" t="b">
        <v>0</v>
      </c>
      <c r="AE1113" s="5"/>
      <c r="AF1113" s="5"/>
      <c r="AG1113" s="9">
        <f t="shared" si="17"/>
        <v>43284</v>
      </c>
    </row>
    <row r="1114" s="6" customFormat="1" spans="1:33">
      <c r="A1114" s="5" t="s">
        <v>5314</v>
      </c>
      <c r="B1114" s="5" t="s">
        <v>5314</v>
      </c>
      <c r="C1114" s="5" t="s">
        <v>5315</v>
      </c>
      <c r="D1114" s="5" t="s">
        <v>5316</v>
      </c>
      <c r="E1114" s="5" t="s">
        <v>36</v>
      </c>
      <c r="F1114" s="5" t="s">
        <v>37</v>
      </c>
      <c r="G1114" s="5" t="s">
        <v>38</v>
      </c>
      <c r="H1114" s="5"/>
      <c r="I1114" s="5"/>
      <c r="J1114" s="5" t="s">
        <v>39</v>
      </c>
      <c r="K1114" s="5" t="s">
        <v>3923</v>
      </c>
      <c r="L1114" s="5" t="s">
        <v>2578</v>
      </c>
      <c r="M1114" s="5" t="s">
        <v>314</v>
      </c>
      <c r="N1114" s="5" t="s">
        <v>36</v>
      </c>
      <c r="O1114" s="5">
        <v>1</v>
      </c>
      <c r="P1114" s="5" t="s">
        <v>43</v>
      </c>
      <c r="Q1114" s="5">
        <v>23.99</v>
      </c>
      <c r="R1114" s="5"/>
      <c r="S1114" s="5"/>
      <c r="T1114" s="5"/>
      <c r="U1114" s="5"/>
      <c r="V1114" s="5"/>
      <c r="W1114" s="5"/>
      <c r="X1114" s="5"/>
      <c r="Y1114" s="5" t="s">
        <v>5317</v>
      </c>
      <c r="Z1114" s="5" t="s">
        <v>54</v>
      </c>
      <c r="AA1114" s="5" t="s">
        <v>5318</v>
      </c>
      <c r="AB1114" s="5" t="s">
        <v>46</v>
      </c>
      <c r="AC1114" s="5"/>
      <c r="AD1114" s="5" t="b">
        <v>0</v>
      </c>
      <c r="AE1114" s="5"/>
      <c r="AF1114" s="5"/>
      <c r="AG1114" s="9">
        <f t="shared" si="17"/>
        <v>43284</v>
      </c>
    </row>
    <row r="1115" s="6" customFormat="1" spans="1:33">
      <c r="A1115" s="5" t="s">
        <v>5319</v>
      </c>
      <c r="B1115" s="5" t="s">
        <v>5319</v>
      </c>
      <c r="C1115" s="5" t="s">
        <v>5320</v>
      </c>
      <c r="D1115" s="5" t="s">
        <v>5321</v>
      </c>
      <c r="E1115" s="5" t="s">
        <v>36</v>
      </c>
      <c r="F1115" s="5" t="s">
        <v>37</v>
      </c>
      <c r="G1115" s="5" t="s">
        <v>38</v>
      </c>
      <c r="H1115" s="5"/>
      <c r="I1115" s="5"/>
      <c r="J1115" s="5" t="s">
        <v>39</v>
      </c>
      <c r="K1115" s="5" t="s">
        <v>409</v>
      </c>
      <c r="L1115" s="5" t="s">
        <v>4300</v>
      </c>
      <c r="M1115" s="5" t="s">
        <v>4301</v>
      </c>
      <c r="N1115" s="5" t="s">
        <v>36</v>
      </c>
      <c r="O1115" s="5">
        <v>1</v>
      </c>
      <c r="P1115" s="5" t="s">
        <v>43</v>
      </c>
      <c r="Q1115" s="5">
        <v>9.9</v>
      </c>
      <c r="R1115" s="5"/>
      <c r="S1115" s="5"/>
      <c r="T1115" s="5"/>
      <c r="U1115" s="5"/>
      <c r="V1115" s="5"/>
      <c r="W1115" s="5"/>
      <c r="X1115" s="5"/>
      <c r="Y1115" s="5" t="s">
        <v>5322</v>
      </c>
      <c r="Z1115" s="5" t="s">
        <v>437</v>
      </c>
      <c r="AA1115" s="5" t="s">
        <v>5323</v>
      </c>
      <c r="AB1115" s="5" t="s">
        <v>46</v>
      </c>
      <c r="AC1115" s="5"/>
      <c r="AD1115" s="5" t="b">
        <v>0</v>
      </c>
      <c r="AE1115" s="5"/>
      <c r="AF1115" s="5"/>
      <c r="AG1115" s="9">
        <f t="shared" si="17"/>
        <v>43284</v>
      </c>
    </row>
    <row r="1116" s="6" customFormat="1" spans="1:33">
      <c r="A1116" s="5" t="s">
        <v>5324</v>
      </c>
      <c r="B1116" s="5" t="s">
        <v>5324</v>
      </c>
      <c r="C1116" s="5" t="s">
        <v>5325</v>
      </c>
      <c r="D1116" s="5" t="s">
        <v>5326</v>
      </c>
      <c r="E1116" s="5" t="s">
        <v>614</v>
      </c>
      <c r="F1116" s="5" t="s">
        <v>37</v>
      </c>
      <c r="G1116" s="5" t="s">
        <v>38</v>
      </c>
      <c r="H1116" s="5"/>
      <c r="I1116" s="5"/>
      <c r="J1116" s="5" t="s">
        <v>39</v>
      </c>
      <c r="K1116" s="5" t="s">
        <v>4038</v>
      </c>
      <c r="L1116" s="5" t="s">
        <v>76</v>
      </c>
      <c r="M1116" s="5" t="s">
        <v>77</v>
      </c>
      <c r="N1116" s="5" t="s">
        <v>614</v>
      </c>
      <c r="O1116" s="5">
        <v>0</v>
      </c>
      <c r="P1116" s="5"/>
      <c r="Q1116" s="5"/>
      <c r="R1116" s="5"/>
      <c r="S1116" s="5"/>
      <c r="T1116" s="5"/>
      <c r="U1116" s="5"/>
      <c r="V1116" s="5"/>
      <c r="W1116" s="5"/>
      <c r="X1116" s="5"/>
      <c r="Y1116" s="5" t="s">
        <v>5327</v>
      </c>
      <c r="Z1116" s="5" t="s">
        <v>130</v>
      </c>
      <c r="AA1116" s="5">
        <v>25118</v>
      </c>
      <c r="AB1116" s="5" t="s">
        <v>46</v>
      </c>
      <c r="AC1116" s="5"/>
      <c r="AD1116" s="5" t="b">
        <v>0</v>
      </c>
      <c r="AE1116" s="5"/>
      <c r="AF1116" s="5"/>
      <c r="AG1116" s="9">
        <f t="shared" si="17"/>
        <v>43284</v>
      </c>
    </row>
    <row r="1117" s="6" customFormat="1" spans="1:33">
      <c r="A1117" s="5" t="s">
        <v>5328</v>
      </c>
      <c r="B1117" s="5" t="s">
        <v>5328</v>
      </c>
      <c r="C1117" s="5" t="s">
        <v>5329</v>
      </c>
      <c r="D1117" s="5" t="s">
        <v>5330</v>
      </c>
      <c r="E1117" s="5" t="s">
        <v>36</v>
      </c>
      <c r="F1117" s="5" t="s">
        <v>37</v>
      </c>
      <c r="G1117" s="5" t="s">
        <v>38</v>
      </c>
      <c r="H1117" s="5"/>
      <c r="I1117" s="5"/>
      <c r="J1117" s="5" t="s">
        <v>39</v>
      </c>
      <c r="K1117" s="5" t="s">
        <v>3745</v>
      </c>
      <c r="L1117" s="5" t="s">
        <v>202</v>
      </c>
      <c r="M1117" s="5" t="s">
        <v>203</v>
      </c>
      <c r="N1117" s="5" t="s">
        <v>36</v>
      </c>
      <c r="O1117" s="5">
        <v>1</v>
      </c>
      <c r="P1117" s="5" t="s">
        <v>43</v>
      </c>
      <c r="Q1117" s="5">
        <v>18.99</v>
      </c>
      <c r="R1117" s="5"/>
      <c r="S1117" s="5"/>
      <c r="T1117" s="5"/>
      <c r="U1117" s="5"/>
      <c r="V1117" s="5"/>
      <c r="W1117" s="5"/>
      <c r="X1117" s="5"/>
      <c r="Y1117" s="5" t="s">
        <v>2494</v>
      </c>
      <c r="Z1117" s="5" t="s">
        <v>96</v>
      </c>
      <c r="AA1117" s="5" t="s">
        <v>5331</v>
      </c>
      <c r="AB1117" s="5" t="s">
        <v>46</v>
      </c>
      <c r="AC1117" s="5"/>
      <c r="AD1117" s="5" t="b">
        <v>0</v>
      </c>
      <c r="AE1117" s="5"/>
      <c r="AF1117" s="5"/>
      <c r="AG1117" s="9">
        <f t="shared" si="17"/>
        <v>43284</v>
      </c>
    </row>
    <row r="1118" s="6" customFormat="1" spans="1:33">
      <c r="A1118" s="5" t="s">
        <v>5332</v>
      </c>
      <c r="B1118" s="5" t="s">
        <v>5332</v>
      </c>
      <c r="C1118" s="5" t="s">
        <v>5333</v>
      </c>
      <c r="D1118" s="5" t="s">
        <v>5334</v>
      </c>
      <c r="E1118" s="5" t="s">
        <v>36</v>
      </c>
      <c r="F1118" s="5" t="s">
        <v>37</v>
      </c>
      <c r="G1118" s="5" t="s">
        <v>38</v>
      </c>
      <c r="H1118" s="5"/>
      <c r="I1118" s="5"/>
      <c r="J1118" s="5" t="s">
        <v>39</v>
      </c>
      <c r="K1118" s="5" t="s">
        <v>3645</v>
      </c>
      <c r="L1118" s="5" t="s">
        <v>51</v>
      </c>
      <c r="M1118" s="5" t="s">
        <v>52</v>
      </c>
      <c r="N1118" s="5" t="s">
        <v>36</v>
      </c>
      <c r="O1118" s="5">
        <v>1</v>
      </c>
      <c r="P1118" s="5" t="s">
        <v>43</v>
      </c>
      <c r="Q1118" s="5">
        <v>18.99</v>
      </c>
      <c r="R1118" s="5"/>
      <c r="S1118" s="5"/>
      <c r="T1118" s="5"/>
      <c r="U1118" s="5"/>
      <c r="V1118" s="5"/>
      <c r="W1118" s="5"/>
      <c r="X1118" s="5"/>
      <c r="Y1118" s="5" t="s">
        <v>5335</v>
      </c>
      <c r="Z1118" s="5" t="s">
        <v>282</v>
      </c>
      <c r="AA1118" s="5" t="s">
        <v>5336</v>
      </c>
      <c r="AB1118" s="5" t="s">
        <v>46</v>
      </c>
      <c r="AC1118" s="5"/>
      <c r="AD1118" s="5" t="b">
        <v>0</v>
      </c>
      <c r="AE1118" s="5"/>
      <c r="AF1118" s="5"/>
      <c r="AG1118" s="9">
        <f t="shared" si="17"/>
        <v>43284</v>
      </c>
    </row>
    <row r="1119" s="6" customFormat="1" spans="1:33">
      <c r="A1119" s="5" t="s">
        <v>5337</v>
      </c>
      <c r="B1119" s="5" t="s">
        <v>5337</v>
      </c>
      <c r="C1119" s="5" t="s">
        <v>5338</v>
      </c>
      <c r="D1119" s="5" t="s">
        <v>5339</v>
      </c>
      <c r="E1119" s="5" t="s">
        <v>36</v>
      </c>
      <c r="F1119" s="5" t="s">
        <v>37</v>
      </c>
      <c r="G1119" s="5" t="s">
        <v>38</v>
      </c>
      <c r="H1119" s="5"/>
      <c r="I1119" s="5"/>
      <c r="J1119" s="5" t="s">
        <v>39</v>
      </c>
      <c r="K1119" s="5" t="s">
        <v>4038</v>
      </c>
      <c r="L1119" s="5" t="s">
        <v>76</v>
      </c>
      <c r="M1119" s="5" t="s">
        <v>77</v>
      </c>
      <c r="N1119" s="5" t="s">
        <v>36</v>
      </c>
      <c r="O1119" s="5">
        <v>1</v>
      </c>
      <c r="P1119" s="5" t="s">
        <v>43</v>
      </c>
      <c r="Q1119" s="5">
        <v>13.99</v>
      </c>
      <c r="R1119" s="5"/>
      <c r="S1119" s="5"/>
      <c r="T1119" s="5"/>
      <c r="U1119" s="5"/>
      <c r="V1119" s="5"/>
      <c r="W1119" s="5"/>
      <c r="X1119" s="5"/>
      <c r="Y1119" s="5" t="s">
        <v>5340</v>
      </c>
      <c r="Z1119" s="5" t="s">
        <v>247</v>
      </c>
      <c r="AA1119" s="5">
        <v>75035</v>
      </c>
      <c r="AB1119" s="5" t="s">
        <v>46</v>
      </c>
      <c r="AC1119" s="5"/>
      <c r="AD1119" s="5" t="b">
        <v>0</v>
      </c>
      <c r="AE1119" s="5"/>
      <c r="AF1119" s="5"/>
      <c r="AG1119" s="9">
        <f t="shared" si="17"/>
        <v>43284</v>
      </c>
    </row>
    <row r="1120" s="6" customFormat="1" spans="1:33">
      <c r="A1120" s="5" t="s">
        <v>5341</v>
      </c>
      <c r="B1120" s="5" t="s">
        <v>5341</v>
      </c>
      <c r="C1120" s="5" t="s">
        <v>5342</v>
      </c>
      <c r="D1120" s="5" t="s">
        <v>5343</v>
      </c>
      <c r="E1120" s="5" t="s">
        <v>36</v>
      </c>
      <c r="F1120" s="5" t="s">
        <v>37</v>
      </c>
      <c r="G1120" s="5" t="s">
        <v>38</v>
      </c>
      <c r="H1120" s="5"/>
      <c r="I1120" s="5"/>
      <c r="J1120" s="5" t="s">
        <v>39</v>
      </c>
      <c r="K1120" s="5" t="s">
        <v>1550</v>
      </c>
      <c r="L1120" s="5" t="s">
        <v>1551</v>
      </c>
      <c r="M1120" s="5" t="s">
        <v>1552</v>
      </c>
      <c r="N1120" s="5" t="s">
        <v>36</v>
      </c>
      <c r="O1120" s="5">
        <v>1</v>
      </c>
      <c r="P1120" s="5" t="s">
        <v>43</v>
      </c>
      <c r="Q1120" s="5">
        <v>25.99</v>
      </c>
      <c r="R1120" s="5"/>
      <c r="S1120" s="5"/>
      <c r="T1120" s="5"/>
      <c r="U1120" s="5"/>
      <c r="V1120" s="5"/>
      <c r="W1120" s="5"/>
      <c r="X1120" s="5"/>
      <c r="Y1120" s="5" t="s">
        <v>5344</v>
      </c>
      <c r="Z1120" s="5" t="s">
        <v>463</v>
      </c>
      <c r="AA1120" s="5" t="s">
        <v>5345</v>
      </c>
      <c r="AB1120" s="5" t="s">
        <v>46</v>
      </c>
      <c r="AC1120" s="5"/>
      <c r="AD1120" s="5" t="b">
        <v>0</v>
      </c>
      <c r="AE1120" s="5"/>
      <c r="AF1120" s="5"/>
      <c r="AG1120" s="9">
        <f t="shared" si="17"/>
        <v>43285</v>
      </c>
    </row>
    <row r="1121" s="6" customFormat="1" spans="1:33">
      <c r="A1121" s="5" t="s">
        <v>5346</v>
      </c>
      <c r="B1121" s="5" t="s">
        <v>5346</v>
      </c>
      <c r="C1121" s="5" t="s">
        <v>5347</v>
      </c>
      <c r="D1121" s="5" t="s">
        <v>5348</v>
      </c>
      <c r="E1121" s="5" t="s">
        <v>36</v>
      </c>
      <c r="F1121" s="5" t="s">
        <v>37</v>
      </c>
      <c r="G1121" s="5" t="s">
        <v>38</v>
      </c>
      <c r="H1121" s="5"/>
      <c r="I1121" s="5"/>
      <c r="J1121" s="5" t="s">
        <v>39</v>
      </c>
      <c r="K1121" s="5" t="s">
        <v>58</v>
      </c>
      <c r="L1121" s="5" t="s">
        <v>59</v>
      </c>
      <c r="M1121" s="5" t="s">
        <v>60</v>
      </c>
      <c r="N1121" s="5" t="s">
        <v>36</v>
      </c>
      <c r="O1121" s="5">
        <v>1</v>
      </c>
      <c r="P1121" s="5" t="s">
        <v>43</v>
      </c>
      <c r="Q1121" s="5">
        <v>13.99</v>
      </c>
      <c r="R1121" s="5"/>
      <c r="S1121" s="5"/>
      <c r="T1121" s="5"/>
      <c r="U1121" s="5"/>
      <c r="V1121" s="5"/>
      <c r="W1121" s="5"/>
      <c r="X1121" s="5"/>
      <c r="Y1121" s="5" t="s">
        <v>5349</v>
      </c>
      <c r="Z1121" s="5" t="s">
        <v>151</v>
      </c>
      <c r="AA1121" s="5" t="s">
        <v>5350</v>
      </c>
      <c r="AB1121" s="5" t="s">
        <v>46</v>
      </c>
      <c r="AC1121" s="5"/>
      <c r="AD1121" s="5" t="b">
        <v>0</v>
      </c>
      <c r="AE1121" s="5"/>
      <c r="AF1121" s="5"/>
      <c r="AG1121" s="9">
        <f t="shared" si="17"/>
        <v>43285</v>
      </c>
    </row>
    <row r="1122" s="6" customFormat="1" spans="1:33">
      <c r="A1122" s="5" t="s">
        <v>5351</v>
      </c>
      <c r="B1122" s="5" t="s">
        <v>5351</v>
      </c>
      <c r="C1122" s="5" t="s">
        <v>5352</v>
      </c>
      <c r="D1122" s="5" t="s">
        <v>5353</v>
      </c>
      <c r="E1122" s="5" t="s">
        <v>36</v>
      </c>
      <c r="F1122" s="5" t="s">
        <v>37</v>
      </c>
      <c r="G1122" s="5" t="s">
        <v>38</v>
      </c>
      <c r="H1122" s="5"/>
      <c r="I1122" s="5"/>
      <c r="J1122" s="5" t="s">
        <v>156</v>
      </c>
      <c r="K1122" s="5" t="s">
        <v>4472</v>
      </c>
      <c r="L1122" s="5" t="s">
        <v>712</v>
      </c>
      <c r="M1122" s="5" t="s">
        <v>713</v>
      </c>
      <c r="N1122" s="5" t="s">
        <v>36</v>
      </c>
      <c r="O1122" s="5">
        <v>1</v>
      </c>
      <c r="P1122" s="5" t="s">
        <v>43</v>
      </c>
      <c r="Q1122" s="5">
        <v>12.98</v>
      </c>
      <c r="R1122" s="5"/>
      <c r="S1122" s="5">
        <v>3.99</v>
      </c>
      <c r="T1122" s="5"/>
      <c r="U1122" s="5"/>
      <c r="V1122" s="5"/>
      <c r="W1122" s="5"/>
      <c r="X1122" s="5"/>
      <c r="Y1122" s="5" t="s">
        <v>4340</v>
      </c>
      <c r="Z1122" s="5" t="s">
        <v>255</v>
      </c>
      <c r="AA1122" s="5" t="s">
        <v>5354</v>
      </c>
      <c r="AB1122" s="5" t="s">
        <v>46</v>
      </c>
      <c r="AC1122" s="5"/>
      <c r="AD1122" s="5" t="b">
        <v>0</v>
      </c>
      <c r="AE1122" s="5"/>
      <c r="AF1122" s="5"/>
      <c r="AG1122" s="9">
        <f t="shared" si="17"/>
        <v>43285</v>
      </c>
    </row>
    <row r="1123" s="6" customFormat="1" spans="1:33">
      <c r="A1123" s="5" t="s">
        <v>5355</v>
      </c>
      <c r="B1123" s="5" t="s">
        <v>5355</v>
      </c>
      <c r="C1123" s="5" t="s">
        <v>5356</v>
      </c>
      <c r="D1123" s="5" t="s">
        <v>5357</v>
      </c>
      <c r="E1123" s="5" t="s">
        <v>36</v>
      </c>
      <c r="F1123" s="5" t="s">
        <v>37</v>
      </c>
      <c r="G1123" s="5" t="s">
        <v>38</v>
      </c>
      <c r="H1123" s="5"/>
      <c r="I1123" s="5"/>
      <c r="J1123" s="5" t="s">
        <v>128</v>
      </c>
      <c r="K1123" s="5" t="s">
        <v>3645</v>
      </c>
      <c r="L1123" s="5" t="s">
        <v>51</v>
      </c>
      <c r="M1123" s="5" t="s">
        <v>52</v>
      </c>
      <c r="N1123" s="5" t="s">
        <v>36</v>
      </c>
      <c r="O1123" s="5">
        <v>1</v>
      </c>
      <c r="P1123" s="5" t="s">
        <v>43</v>
      </c>
      <c r="Q1123" s="5">
        <v>18.99</v>
      </c>
      <c r="R1123" s="5"/>
      <c r="S1123" s="5">
        <v>1.15</v>
      </c>
      <c r="T1123" s="5"/>
      <c r="U1123" s="5"/>
      <c r="V1123" s="5"/>
      <c r="W1123" s="5"/>
      <c r="X1123" s="5">
        <v>1.15</v>
      </c>
      <c r="Y1123" s="5" t="s">
        <v>5358</v>
      </c>
      <c r="Z1123" s="5" t="s">
        <v>505</v>
      </c>
      <c r="AA1123" s="5">
        <v>55125</v>
      </c>
      <c r="AB1123" s="5" t="s">
        <v>46</v>
      </c>
      <c r="AC1123" s="5" t="s">
        <v>225</v>
      </c>
      <c r="AD1123" s="5" t="b">
        <v>0</v>
      </c>
      <c r="AE1123" s="5"/>
      <c r="AF1123" s="5"/>
      <c r="AG1123" s="9">
        <f t="shared" si="17"/>
        <v>43285</v>
      </c>
    </row>
    <row r="1124" s="6" customFormat="1" spans="1:33">
      <c r="A1124" s="5" t="s">
        <v>5359</v>
      </c>
      <c r="B1124" s="5" t="s">
        <v>5359</v>
      </c>
      <c r="C1124" s="5" t="s">
        <v>5360</v>
      </c>
      <c r="D1124" s="5" t="s">
        <v>5361</v>
      </c>
      <c r="E1124" s="5" t="s">
        <v>36</v>
      </c>
      <c r="F1124" s="5" t="s">
        <v>37</v>
      </c>
      <c r="G1124" s="5" t="s">
        <v>38</v>
      </c>
      <c r="H1124" s="5"/>
      <c r="I1124" s="5"/>
      <c r="J1124" s="5" t="s">
        <v>39</v>
      </c>
      <c r="K1124" s="5" t="s">
        <v>3752</v>
      </c>
      <c r="L1124" s="5" t="s">
        <v>244</v>
      </c>
      <c r="M1124" s="5" t="s">
        <v>245</v>
      </c>
      <c r="N1124" s="5" t="s">
        <v>36</v>
      </c>
      <c r="O1124" s="5">
        <v>1</v>
      </c>
      <c r="P1124" s="5" t="s">
        <v>43</v>
      </c>
      <c r="Q1124" s="5">
        <v>18.99</v>
      </c>
      <c r="R1124" s="5"/>
      <c r="S1124" s="5"/>
      <c r="T1124" s="5"/>
      <c r="U1124" s="5"/>
      <c r="V1124" s="5"/>
      <c r="W1124" s="5"/>
      <c r="X1124" s="5"/>
      <c r="Y1124" s="5" t="s">
        <v>5362</v>
      </c>
      <c r="Z1124" s="5" t="s">
        <v>1070</v>
      </c>
      <c r="AA1124" s="5" t="s">
        <v>5363</v>
      </c>
      <c r="AB1124" s="5" t="s">
        <v>46</v>
      </c>
      <c r="AC1124" s="5"/>
      <c r="AD1124" s="5" t="b">
        <v>0</v>
      </c>
      <c r="AE1124" s="5"/>
      <c r="AF1124" s="5"/>
      <c r="AG1124" s="9">
        <f t="shared" si="17"/>
        <v>43285</v>
      </c>
    </row>
    <row r="1125" s="6" customFormat="1" spans="1:33">
      <c r="A1125" s="5" t="s">
        <v>5364</v>
      </c>
      <c r="B1125" s="5" t="s">
        <v>5364</v>
      </c>
      <c r="C1125" s="5" t="s">
        <v>5365</v>
      </c>
      <c r="D1125" s="5" t="s">
        <v>5366</v>
      </c>
      <c r="E1125" s="5" t="s">
        <v>36</v>
      </c>
      <c r="F1125" s="5" t="s">
        <v>37</v>
      </c>
      <c r="G1125" s="5" t="s">
        <v>38</v>
      </c>
      <c r="H1125" s="5"/>
      <c r="I1125" s="5"/>
      <c r="J1125" s="5" t="s">
        <v>39</v>
      </c>
      <c r="K1125" s="5" t="s">
        <v>3745</v>
      </c>
      <c r="L1125" s="5" t="s">
        <v>202</v>
      </c>
      <c r="M1125" s="5" t="s">
        <v>203</v>
      </c>
      <c r="N1125" s="5" t="s">
        <v>36</v>
      </c>
      <c r="O1125" s="5">
        <v>1</v>
      </c>
      <c r="P1125" s="5" t="s">
        <v>43</v>
      </c>
      <c r="Q1125" s="5">
        <v>18.99</v>
      </c>
      <c r="R1125" s="5"/>
      <c r="S1125" s="5"/>
      <c r="T1125" s="5"/>
      <c r="U1125" s="5"/>
      <c r="V1125" s="5"/>
      <c r="W1125" s="5"/>
      <c r="X1125" s="5"/>
      <c r="Y1125" s="5" t="s">
        <v>1664</v>
      </c>
      <c r="Z1125" s="5" t="s">
        <v>54</v>
      </c>
      <c r="AA1125" s="5" t="s">
        <v>5367</v>
      </c>
      <c r="AB1125" s="5" t="s">
        <v>46</v>
      </c>
      <c r="AC1125" s="5"/>
      <c r="AD1125" s="5" t="b">
        <v>0</v>
      </c>
      <c r="AE1125" s="5"/>
      <c r="AF1125" s="5"/>
      <c r="AG1125" s="9">
        <f t="shared" si="17"/>
        <v>43285</v>
      </c>
    </row>
    <row r="1126" s="6" customFormat="1" spans="1:33">
      <c r="A1126" s="5" t="s">
        <v>5368</v>
      </c>
      <c r="B1126" s="5" t="s">
        <v>5368</v>
      </c>
      <c r="C1126" s="5" t="s">
        <v>5369</v>
      </c>
      <c r="D1126" s="5" t="s">
        <v>5370</v>
      </c>
      <c r="E1126" s="5" t="s">
        <v>36</v>
      </c>
      <c r="F1126" s="5" t="s">
        <v>37</v>
      </c>
      <c r="G1126" s="5" t="s">
        <v>38</v>
      </c>
      <c r="H1126" s="5"/>
      <c r="I1126" s="5"/>
      <c r="J1126" s="5" t="s">
        <v>39</v>
      </c>
      <c r="K1126" s="5" t="s">
        <v>3668</v>
      </c>
      <c r="L1126" s="5" t="s">
        <v>578</v>
      </c>
      <c r="M1126" s="5" t="s">
        <v>572</v>
      </c>
      <c r="N1126" s="5" t="s">
        <v>36</v>
      </c>
      <c r="O1126" s="5">
        <v>1</v>
      </c>
      <c r="P1126" s="5" t="s">
        <v>43</v>
      </c>
      <c r="Q1126" s="5">
        <v>24.99</v>
      </c>
      <c r="R1126" s="5"/>
      <c r="S1126" s="5"/>
      <c r="T1126" s="5"/>
      <c r="U1126" s="5"/>
      <c r="V1126" s="5"/>
      <c r="W1126" s="5"/>
      <c r="X1126" s="5"/>
      <c r="Y1126" s="5" t="s">
        <v>5371</v>
      </c>
      <c r="Z1126" s="5" t="s">
        <v>596</v>
      </c>
      <c r="AA1126" s="5" t="s">
        <v>5372</v>
      </c>
      <c r="AB1126" s="5" t="s">
        <v>46</v>
      </c>
      <c r="AC1126" s="5"/>
      <c r="AD1126" s="5" t="b">
        <v>0</v>
      </c>
      <c r="AE1126" s="5"/>
      <c r="AF1126" s="5"/>
      <c r="AG1126" s="9">
        <f t="shared" si="17"/>
        <v>43285</v>
      </c>
    </row>
    <row r="1127" s="6" customFormat="1" spans="1:33">
      <c r="A1127" s="5" t="s">
        <v>5373</v>
      </c>
      <c r="B1127" s="5" t="s">
        <v>5373</v>
      </c>
      <c r="C1127" s="5" t="s">
        <v>5374</v>
      </c>
      <c r="D1127" s="5" t="s">
        <v>5375</v>
      </c>
      <c r="E1127" s="5" t="s">
        <v>36</v>
      </c>
      <c r="F1127" s="5" t="s">
        <v>37</v>
      </c>
      <c r="G1127" s="5" t="s">
        <v>38</v>
      </c>
      <c r="H1127" s="5"/>
      <c r="I1127" s="5"/>
      <c r="J1127" s="5" t="s">
        <v>39</v>
      </c>
      <c r="K1127" s="5" t="s">
        <v>4155</v>
      </c>
      <c r="L1127" s="5" t="s">
        <v>111</v>
      </c>
      <c r="M1127" s="5" t="s">
        <v>112</v>
      </c>
      <c r="N1127" s="5" t="s">
        <v>36</v>
      </c>
      <c r="O1127" s="5">
        <v>1</v>
      </c>
      <c r="P1127" s="5" t="s">
        <v>43</v>
      </c>
      <c r="Q1127" s="5">
        <v>13.99</v>
      </c>
      <c r="R1127" s="5"/>
      <c r="S1127" s="5"/>
      <c r="T1127" s="5"/>
      <c r="U1127" s="5"/>
      <c r="V1127" s="5"/>
      <c r="W1127" s="5"/>
      <c r="X1127" s="5"/>
      <c r="Y1127" s="5" t="s">
        <v>3958</v>
      </c>
      <c r="Z1127" s="5" t="s">
        <v>183</v>
      </c>
      <c r="AA1127" s="5" t="s">
        <v>5376</v>
      </c>
      <c r="AB1127" s="5" t="s">
        <v>46</v>
      </c>
      <c r="AC1127" s="5"/>
      <c r="AD1127" s="5" t="b">
        <v>0</v>
      </c>
      <c r="AE1127" s="5"/>
      <c r="AF1127" s="5"/>
      <c r="AG1127" s="9">
        <f t="shared" si="17"/>
        <v>43285</v>
      </c>
    </row>
    <row r="1128" s="6" customFormat="1" spans="1:33">
      <c r="A1128" s="5" t="s">
        <v>5377</v>
      </c>
      <c r="B1128" s="5" t="s">
        <v>5377</v>
      </c>
      <c r="C1128" s="5" t="s">
        <v>5378</v>
      </c>
      <c r="D1128" s="5" t="s">
        <v>5379</v>
      </c>
      <c r="E1128" s="5" t="s">
        <v>36</v>
      </c>
      <c r="F1128" s="5" t="s">
        <v>37</v>
      </c>
      <c r="G1128" s="5" t="s">
        <v>38</v>
      </c>
      <c r="H1128" s="5"/>
      <c r="I1128" s="5"/>
      <c r="J1128" s="5" t="s">
        <v>287</v>
      </c>
      <c r="K1128" s="5" t="s">
        <v>3752</v>
      </c>
      <c r="L1128" s="5" t="s">
        <v>244</v>
      </c>
      <c r="M1128" s="5" t="s">
        <v>245</v>
      </c>
      <c r="N1128" s="5" t="s">
        <v>36</v>
      </c>
      <c r="O1128" s="5">
        <v>1</v>
      </c>
      <c r="P1128" s="5" t="s">
        <v>43</v>
      </c>
      <c r="Q1128" s="5">
        <v>18.99</v>
      </c>
      <c r="R1128" s="5"/>
      <c r="S1128" s="5">
        <v>5.99</v>
      </c>
      <c r="T1128" s="5"/>
      <c r="U1128" s="5"/>
      <c r="V1128" s="5"/>
      <c r="W1128" s="5"/>
      <c r="X1128" s="5"/>
      <c r="Y1128" s="5" t="s">
        <v>5380</v>
      </c>
      <c r="Z1128" s="5" t="s">
        <v>96</v>
      </c>
      <c r="AA1128" s="5" t="s">
        <v>5381</v>
      </c>
      <c r="AB1128" s="5" t="s">
        <v>46</v>
      </c>
      <c r="AC1128" s="5"/>
      <c r="AD1128" s="5" t="b">
        <v>0</v>
      </c>
      <c r="AE1128" s="5"/>
      <c r="AF1128" s="5"/>
      <c r="AG1128" s="9">
        <f t="shared" si="17"/>
        <v>43285</v>
      </c>
    </row>
    <row r="1129" s="6" customFormat="1" spans="1:33">
      <c r="A1129" s="5" t="s">
        <v>5382</v>
      </c>
      <c r="B1129" s="5" t="s">
        <v>5382</v>
      </c>
      <c r="C1129" s="5" t="s">
        <v>5383</v>
      </c>
      <c r="D1129" s="5" t="s">
        <v>5384</v>
      </c>
      <c r="E1129" s="5" t="s">
        <v>36</v>
      </c>
      <c r="F1129" s="5" t="s">
        <v>37</v>
      </c>
      <c r="G1129" s="5" t="s">
        <v>38</v>
      </c>
      <c r="H1129" s="5"/>
      <c r="I1129" s="5"/>
      <c r="J1129" s="5" t="s">
        <v>39</v>
      </c>
      <c r="K1129" s="5" t="s">
        <v>58</v>
      </c>
      <c r="L1129" s="5" t="s">
        <v>59</v>
      </c>
      <c r="M1129" s="5" t="s">
        <v>60</v>
      </c>
      <c r="N1129" s="5" t="s">
        <v>36</v>
      </c>
      <c r="O1129" s="5">
        <v>1</v>
      </c>
      <c r="P1129" s="5" t="s">
        <v>43</v>
      </c>
      <c r="Q1129" s="5">
        <v>13.99</v>
      </c>
      <c r="R1129" s="5"/>
      <c r="S1129" s="5"/>
      <c r="T1129" s="5"/>
      <c r="U1129" s="5"/>
      <c r="V1129" s="5"/>
      <c r="W1129" s="5"/>
      <c r="X1129" s="5"/>
      <c r="Y1129" s="5" t="s">
        <v>437</v>
      </c>
      <c r="Z1129" s="5" t="s">
        <v>151</v>
      </c>
      <c r="AA1129" s="5" t="s">
        <v>5385</v>
      </c>
      <c r="AB1129" s="5" t="s">
        <v>46</v>
      </c>
      <c r="AC1129" s="5"/>
      <c r="AD1129" s="5" t="b">
        <v>0</v>
      </c>
      <c r="AE1129" s="5"/>
      <c r="AF1129" s="5"/>
      <c r="AG1129" s="9">
        <f t="shared" si="17"/>
        <v>43285</v>
      </c>
    </row>
    <row r="1130" s="6" customFormat="1" spans="1:33">
      <c r="A1130" s="5" t="s">
        <v>5386</v>
      </c>
      <c r="B1130" s="5" t="s">
        <v>5386</v>
      </c>
      <c r="C1130" s="5" t="s">
        <v>5387</v>
      </c>
      <c r="D1130" s="5" t="s">
        <v>5388</v>
      </c>
      <c r="E1130" s="5" t="s">
        <v>36</v>
      </c>
      <c r="F1130" s="5" t="s">
        <v>37</v>
      </c>
      <c r="G1130" s="5" t="s">
        <v>38</v>
      </c>
      <c r="H1130" s="5"/>
      <c r="I1130" s="5"/>
      <c r="J1130" s="5" t="s">
        <v>39</v>
      </c>
      <c r="K1130" s="5" t="s">
        <v>1336</v>
      </c>
      <c r="L1130" s="5" t="s">
        <v>2316</v>
      </c>
      <c r="M1130" s="5" t="s">
        <v>2317</v>
      </c>
      <c r="N1130" s="5" t="s">
        <v>36</v>
      </c>
      <c r="O1130" s="5">
        <v>1</v>
      </c>
      <c r="P1130" s="5" t="s">
        <v>43</v>
      </c>
      <c r="Q1130" s="5">
        <v>10.99</v>
      </c>
      <c r="R1130" s="5"/>
      <c r="S1130" s="5"/>
      <c r="T1130" s="5"/>
      <c r="U1130" s="5"/>
      <c r="V1130" s="5"/>
      <c r="W1130" s="5"/>
      <c r="X1130" s="5"/>
      <c r="Y1130" s="5" t="s">
        <v>719</v>
      </c>
      <c r="Z1130" s="5" t="s">
        <v>505</v>
      </c>
      <c r="AA1130" s="5" t="s">
        <v>5389</v>
      </c>
      <c r="AB1130" s="5" t="s">
        <v>46</v>
      </c>
      <c r="AC1130" s="5"/>
      <c r="AD1130" s="5" t="b">
        <v>0</v>
      </c>
      <c r="AE1130" s="5"/>
      <c r="AF1130" s="5"/>
      <c r="AG1130" s="9">
        <f t="shared" si="17"/>
        <v>43285</v>
      </c>
    </row>
    <row r="1131" s="6" customFormat="1" spans="1:33">
      <c r="A1131" s="5" t="s">
        <v>5390</v>
      </c>
      <c r="B1131" s="5" t="s">
        <v>5390</v>
      </c>
      <c r="C1131" s="5" t="s">
        <v>5391</v>
      </c>
      <c r="D1131" s="5" t="s">
        <v>5392</v>
      </c>
      <c r="E1131" s="5" t="s">
        <v>36</v>
      </c>
      <c r="F1131" s="5" t="s">
        <v>37</v>
      </c>
      <c r="G1131" s="5" t="s">
        <v>38</v>
      </c>
      <c r="H1131" s="5"/>
      <c r="I1131" s="5"/>
      <c r="J1131" s="5" t="s">
        <v>39</v>
      </c>
      <c r="K1131" s="5" t="s">
        <v>587</v>
      </c>
      <c r="L1131" s="5" t="s">
        <v>588</v>
      </c>
      <c r="M1131" s="5" t="s">
        <v>589</v>
      </c>
      <c r="N1131" s="5" t="s">
        <v>36</v>
      </c>
      <c r="O1131" s="5">
        <v>1</v>
      </c>
      <c r="P1131" s="5" t="s">
        <v>43</v>
      </c>
      <c r="Q1131" s="5">
        <v>18.99</v>
      </c>
      <c r="R1131" s="5"/>
      <c r="S1131" s="5"/>
      <c r="T1131" s="5"/>
      <c r="U1131" s="5"/>
      <c r="V1131" s="5"/>
      <c r="W1131" s="5"/>
      <c r="X1131" s="5"/>
      <c r="Y1131" s="5" t="s">
        <v>5393</v>
      </c>
      <c r="Z1131" s="5" t="s">
        <v>1300</v>
      </c>
      <c r="AA1131" s="5" t="s">
        <v>5394</v>
      </c>
      <c r="AB1131" s="5" t="s">
        <v>46</v>
      </c>
      <c r="AC1131" s="5"/>
      <c r="AD1131" s="5" t="b">
        <v>0</v>
      </c>
      <c r="AE1131" s="5"/>
      <c r="AF1131" s="5"/>
      <c r="AG1131" s="9">
        <f t="shared" si="17"/>
        <v>43285</v>
      </c>
    </row>
    <row r="1132" s="6" customFormat="1" spans="1:33">
      <c r="A1132" s="5" t="s">
        <v>5395</v>
      </c>
      <c r="B1132" s="5" t="s">
        <v>5395</v>
      </c>
      <c r="C1132" s="5" t="s">
        <v>5396</v>
      </c>
      <c r="D1132" s="5" t="s">
        <v>5397</v>
      </c>
      <c r="E1132" s="5" t="s">
        <v>36</v>
      </c>
      <c r="F1132" s="5" t="s">
        <v>37</v>
      </c>
      <c r="G1132" s="5" t="s">
        <v>38</v>
      </c>
      <c r="H1132" s="5"/>
      <c r="I1132" s="5"/>
      <c r="J1132" s="5" t="s">
        <v>39</v>
      </c>
      <c r="K1132" s="5" t="s">
        <v>409</v>
      </c>
      <c r="L1132" s="5" t="s">
        <v>5398</v>
      </c>
      <c r="M1132" s="5" t="s">
        <v>5399</v>
      </c>
      <c r="N1132" s="5" t="s">
        <v>36</v>
      </c>
      <c r="O1132" s="5">
        <v>1</v>
      </c>
      <c r="P1132" s="5" t="s">
        <v>43</v>
      </c>
      <c r="Q1132" s="5">
        <v>9.9</v>
      </c>
      <c r="R1132" s="5">
        <v>0.59</v>
      </c>
      <c r="S1132" s="5"/>
      <c r="T1132" s="5"/>
      <c r="U1132" s="5"/>
      <c r="V1132" s="5"/>
      <c r="W1132" s="5"/>
      <c r="X1132" s="5"/>
      <c r="Y1132" s="5" t="s">
        <v>5400</v>
      </c>
      <c r="Z1132" s="5" t="s">
        <v>5401</v>
      </c>
      <c r="AA1132" s="5">
        <v>16066</v>
      </c>
      <c r="AB1132" s="5" t="s">
        <v>46</v>
      </c>
      <c r="AC1132" s="5"/>
      <c r="AD1132" s="5" t="b">
        <v>0</v>
      </c>
      <c r="AE1132" s="5"/>
      <c r="AF1132" s="5"/>
      <c r="AG1132" s="9">
        <f t="shared" si="17"/>
        <v>43285</v>
      </c>
    </row>
    <row r="1133" s="6" customFormat="1" spans="1:33">
      <c r="A1133" s="5" t="s">
        <v>5402</v>
      </c>
      <c r="B1133" s="5" t="s">
        <v>5402</v>
      </c>
      <c r="C1133" s="5" t="s">
        <v>5403</v>
      </c>
      <c r="D1133" s="5" t="s">
        <v>5404</v>
      </c>
      <c r="E1133" s="5" t="s">
        <v>36</v>
      </c>
      <c r="F1133" s="5" t="s">
        <v>37</v>
      </c>
      <c r="G1133" s="5" t="s">
        <v>38</v>
      </c>
      <c r="H1133" s="5"/>
      <c r="I1133" s="5"/>
      <c r="J1133" s="5" t="s">
        <v>39</v>
      </c>
      <c r="K1133" s="5" t="s">
        <v>3752</v>
      </c>
      <c r="L1133" s="5" t="s">
        <v>244</v>
      </c>
      <c r="M1133" s="5" t="s">
        <v>245</v>
      </c>
      <c r="N1133" s="5" t="s">
        <v>36</v>
      </c>
      <c r="O1133" s="5">
        <v>1</v>
      </c>
      <c r="P1133" s="5" t="s">
        <v>43</v>
      </c>
      <c r="Q1133" s="5">
        <v>18.99</v>
      </c>
      <c r="R1133" s="5"/>
      <c r="S1133" s="5"/>
      <c r="T1133" s="5"/>
      <c r="U1133" s="5"/>
      <c r="V1133" s="5"/>
      <c r="W1133" s="5"/>
      <c r="X1133" s="5"/>
      <c r="Y1133" s="5" t="s">
        <v>5405</v>
      </c>
      <c r="Z1133" s="5" t="s">
        <v>238</v>
      </c>
      <c r="AA1133" s="5" t="s">
        <v>5406</v>
      </c>
      <c r="AB1133" s="5" t="s">
        <v>46</v>
      </c>
      <c r="AC1133" s="5"/>
      <c r="AD1133" s="5" t="b">
        <v>0</v>
      </c>
      <c r="AE1133" s="5"/>
      <c r="AF1133" s="5"/>
      <c r="AG1133" s="9">
        <f t="shared" si="17"/>
        <v>43285</v>
      </c>
    </row>
    <row r="1134" s="6" customFormat="1" spans="1:33">
      <c r="A1134" s="5" t="s">
        <v>5407</v>
      </c>
      <c r="B1134" s="5" t="s">
        <v>5407</v>
      </c>
      <c r="C1134" s="5" t="s">
        <v>5408</v>
      </c>
      <c r="D1134" s="5" t="s">
        <v>5409</v>
      </c>
      <c r="E1134" s="5" t="s">
        <v>614</v>
      </c>
      <c r="F1134" s="5" t="s">
        <v>37</v>
      </c>
      <c r="G1134" s="5" t="s">
        <v>38</v>
      </c>
      <c r="H1134" s="5"/>
      <c r="I1134" s="5"/>
      <c r="J1134" s="5" t="s">
        <v>39</v>
      </c>
      <c r="K1134" s="5" t="s">
        <v>587</v>
      </c>
      <c r="L1134" s="5" t="s">
        <v>588</v>
      </c>
      <c r="M1134" s="5" t="s">
        <v>589</v>
      </c>
      <c r="N1134" s="5" t="s">
        <v>614</v>
      </c>
      <c r="O1134" s="5">
        <v>0</v>
      </c>
      <c r="P1134" s="5"/>
      <c r="Q1134" s="5"/>
      <c r="R1134" s="5"/>
      <c r="S1134" s="5"/>
      <c r="T1134" s="5"/>
      <c r="U1134" s="5"/>
      <c r="V1134" s="5"/>
      <c r="W1134" s="5"/>
      <c r="X1134" s="5"/>
      <c r="Y1134" s="5" t="s">
        <v>5393</v>
      </c>
      <c r="Z1134" s="5" t="s">
        <v>1300</v>
      </c>
      <c r="AA1134" s="5" t="s">
        <v>5394</v>
      </c>
      <c r="AB1134" s="5" t="s">
        <v>46</v>
      </c>
      <c r="AC1134" s="5"/>
      <c r="AD1134" s="5" t="b">
        <v>0</v>
      </c>
      <c r="AE1134" s="5"/>
      <c r="AF1134" s="5"/>
      <c r="AG1134" s="9">
        <f t="shared" si="17"/>
        <v>43285</v>
      </c>
    </row>
    <row r="1135" s="6" customFormat="1" spans="1:33">
      <c r="A1135" s="5" t="s">
        <v>5410</v>
      </c>
      <c r="B1135" s="5" t="s">
        <v>5410</v>
      </c>
      <c r="C1135" s="5" t="s">
        <v>5411</v>
      </c>
      <c r="D1135" s="5" t="s">
        <v>5412</v>
      </c>
      <c r="E1135" s="5" t="s">
        <v>36</v>
      </c>
      <c r="F1135" s="5" t="s">
        <v>37</v>
      </c>
      <c r="G1135" s="5" t="s">
        <v>38</v>
      </c>
      <c r="H1135" s="5"/>
      <c r="I1135" s="5"/>
      <c r="J1135" s="5" t="s">
        <v>39</v>
      </c>
      <c r="K1135" s="5" t="s">
        <v>4038</v>
      </c>
      <c r="L1135" s="5" t="s">
        <v>76</v>
      </c>
      <c r="M1135" s="5" t="s">
        <v>77</v>
      </c>
      <c r="N1135" s="5" t="s">
        <v>36</v>
      </c>
      <c r="O1135" s="5">
        <v>1</v>
      </c>
      <c r="P1135" s="5" t="s">
        <v>43</v>
      </c>
      <c r="Q1135" s="5">
        <v>13.99</v>
      </c>
      <c r="R1135" s="5"/>
      <c r="S1135" s="5"/>
      <c r="T1135" s="5"/>
      <c r="U1135" s="5"/>
      <c r="V1135" s="5"/>
      <c r="W1135" s="5"/>
      <c r="X1135" s="5"/>
      <c r="Y1135" s="5" t="s">
        <v>5413</v>
      </c>
      <c r="Z1135" s="5" t="s">
        <v>238</v>
      </c>
      <c r="AA1135" s="5">
        <v>31324</v>
      </c>
      <c r="AB1135" s="5" t="s">
        <v>46</v>
      </c>
      <c r="AC1135" s="5"/>
      <c r="AD1135" s="5" t="b">
        <v>0</v>
      </c>
      <c r="AE1135" s="5"/>
      <c r="AF1135" s="5"/>
      <c r="AG1135" s="9">
        <f t="shared" si="17"/>
        <v>43285</v>
      </c>
    </row>
    <row r="1136" s="6" customFormat="1" spans="1:33">
      <c r="A1136" s="5" t="s">
        <v>5414</v>
      </c>
      <c r="B1136" s="5" t="s">
        <v>5414</v>
      </c>
      <c r="C1136" s="5" t="s">
        <v>5415</v>
      </c>
      <c r="D1136" s="5" t="s">
        <v>5416</v>
      </c>
      <c r="E1136" s="5" t="s">
        <v>36</v>
      </c>
      <c r="F1136" s="5" t="s">
        <v>37</v>
      </c>
      <c r="G1136" s="5" t="s">
        <v>38</v>
      </c>
      <c r="H1136" s="5"/>
      <c r="I1136" s="5"/>
      <c r="J1136" s="5" t="s">
        <v>39</v>
      </c>
      <c r="K1136" s="5" t="s">
        <v>4038</v>
      </c>
      <c r="L1136" s="5" t="s">
        <v>76</v>
      </c>
      <c r="M1136" s="5" t="s">
        <v>77</v>
      </c>
      <c r="N1136" s="5" t="s">
        <v>36</v>
      </c>
      <c r="O1136" s="5">
        <v>1</v>
      </c>
      <c r="P1136" s="5" t="s">
        <v>43</v>
      </c>
      <c r="Q1136" s="5">
        <v>13.99</v>
      </c>
      <c r="R1136" s="5"/>
      <c r="S1136" s="5"/>
      <c r="T1136" s="5"/>
      <c r="U1136" s="5"/>
      <c r="V1136" s="5"/>
      <c r="W1136" s="5"/>
      <c r="X1136" s="5"/>
      <c r="Y1136" s="5" t="s">
        <v>5417</v>
      </c>
      <c r="Z1136" s="5" t="s">
        <v>5113</v>
      </c>
      <c r="AA1136" s="5">
        <v>72019</v>
      </c>
      <c r="AB1136" s="5" t="s">
        <v>46</v>
      </c>
      <c r="AC1136" s="5"/>
      <c r="AD1136" s="5" t="b">
        <v>0</v>
      </c>
      <c r="AE1136" s="5"/>
      <c r="AF1136" s="5"/>
      <c r="AG1136" s="9">
        <f t="shared" si="17"/>
        <v>43285</v>
      </c>
    </row>
    <row r="1137" s="6" customFormat="1" spans="1:33">
      <c r="A1137" s="5" t="s">
        <v>5418</v>
      </c>
      <c r="B1137" s="5" t="s">
        <v>5418</v>
      </c>
      <c r="C1137" s="5" t="s">
        <v>5419</v>
      </c>
      <c r="D1137" s="5" t="s">
        <v>5420</v>
      </c>
      <c r="E1137" s="5" t="s">
        <v>36</v>
      </c>
      <c r="F1137" s="5" t="s">
        <v>37</v>
      </c>
      <c r="G1137" s="5" t="s">
        <v>38</v>
      </c>
      <c r="H1137" s="5"/>
      <c r="I1137" s="5"/>
      <c r="J1137" s="5" t="s">
        <v>39</v>
      </c>
      <c r="K1137" s="5" t="s">
        <v>4038</v>
      </c>
      <c r="L1137" s="5" t="s">
        <v>76</v>
      </c>
      <c r="M1137" s="5" t="s">
        <v>77</v>
      </c>
      <c r="N1137" s="5" t="s">
        <v>36</v>
      </c>
      <c r="O1137" s="5">
        <v>1</v>
      </c>
      <c r="P1137" s="5" t="s">
        <v>43</v>
      </c>
      <c r="Q1137" s="5">
        <v>13.99</v>
      </c>
      <c r="R1137" s="5"/>
      <c r="S1137" s="5"/>
      <c r="T1137" s="5"/>
      <c r="U1137" s="5"/>
      <c r="V1137" s="5"/>
      <c r="W1137" s="5"/>
      <c r="X1137" s="5"/>
      <c r="Y1137" s="5" t="s">
        <v>5413</v>
      </c>
      <c r="Z1137" s="5" t="s">
        <v>238</v>
      </c>
      <c r="AA1137" s="5">
        <v>31324</v>
      </c>
      <c r="AB1137" s="5" t="s">
        <v>46</v>
      </c>
      <c r="AC1137" s="5"/>
      <c r="AD1137" s="5" t="b">
        <v>0</v>
      </c>
      <c r="AE1137" s="5"/>
      <c r="AF1137" s="5"/>
      <c r="AG1137" s="9">
        <f t="shared" si="17"/>
        <v>43285</v>
      </c>
    </row>
    <row r="1138" s="6" customFormat="1" spans="1:33">
      <c r="A1138" s="5" t="s">
        <v>5421</v>
      </c>
      <c r="B1138" s="5" t="s">
        <v>5421</v>
      </c>
      <c r="C1138" s="5" t="s">
        <v>5422</v>
      </c>
      <c r="D1138" s="5" t="s">
        <v>5423</v>
      </c>
      <c r="E1138" s="5" t="s">
        <v>36</v>
      </c>
      <c r="F1138" s="5" t="s">
        <v>37</v>
      </c>
      <c r="G1138" s="5" t="s">
        <v>38</v>
      </c>
      <c r="H1138" s="5"/>
      <c r="I1138" s="5"/>
      <c r="J1138" s="5" t="s">
        <v>39</v>
      </c>
      <c r="K1138" s="5" t="s">
        <v>2197</v>
      </c>
      <c r="L1138" s="5" t="s">
        <v>2198</v>
      </c>
      <c r="M1138" s="5" t="s">
        <v>2199</v>
      </c>
      <c r="N1138" s="5" t="s">
        <v>36</v>
      </c>
      <c r="O1138" s="5">
        <v>1</v>
      </c>
      <c r="P1138" s="5" t="s">
        <v>43</v>
      </c>
      <c r="Q1138" s="5">
        <v>24.99</v>
      </c>
      <c r="R1138" s="5"/>
      <c r="S1138" s="5"/>
      <c r="T1138" s="5"/>
      <c r="U1138" s="5"/>
      <c r="V1138" s="5"/>
      <c r="W1138" s="5"/>
      <c r="X1138" s="5"/>
      <c r="Y1138" s="5" t="s">
        <v>5424</v>
      </c>
      <c r="Z1138" s="5" t="s">
        <v>5425</v>
      </c>
      <c r="AA1138" s="5" t="s">
        <v>5426</v>
      </c>
      <c r="AB1138" s="5" t="s">
        <v>46</v>
      </c>
      <c r="AC1138" s="5"/>
      <c r="AD1138" s="5" t="b">
        <v>0</v>
      </c>
      <c r="AE1138" s="5"/>
      <c r="AF1138" s="5"/>
      <c r="AG1138" s="9">
        <f t="shared" si="17"/>
        <v>43285</v>
      </c>
    </row>
    <row r="1139" s="6" customFormat="1" spans="1:33">
      <c r="A1139" s="5" t="s">
        <v>5427</v>
      </c>
      <c r="B1139" s="5" t="s">
        <v>5427</v>
      </c>
      <c r="C1139" s="5" t="s">
        <v>5428</v>
      </c>
      <c r="D1139" s="5" t="s">
        <v>5429</v>
      </c>
      <c r="E1139" s="5" t="s">
        <v>36</v>
      </c>
      <c r="F1139" s="5" t="s">
        <v>37</v>
      </c>
      <c r="G1139" s="5" t="s">
        <v>38</v>
      </c>
      <c r="H1139" s="5"/>
      <c r="I1139" s="5"/>
      <c r="J1139" s="5" t="s">
        <v>39</v>
      </c>
      <c r="K1139" s="5" t="s">
        <v>58</v>
      </c>
      <c r="L1139" s="5" t="s">
        <v>59</v>
      </c>
      <c r="M1139" s="5" t="s">
        <v>60</v>
      </c>
      <c r="N1139" s="5" t="s">
        <v>36</v>
      </c>
      <c r="O1139" s="5">
        <v>1</v>
      </c>
      <c r="P1139" s="5" t="s">
        <v>43</v>
      </c>
      <c r="Q1139" s="5">
        <v>13.99</v>
      </c>
      <c r="R1139" s="5"/>
      <c r="S1139" s="5"/>
      <c r="T1139" s="5"/>
      <c r="U1139" s="5"/>
      <c r="V1139" s="5"/>
      <c r="W1139" s="5"/>
      <c r="X1139" s="5"/>
      <c r="Y1139" s="5" t="s">
        <v>263</v>
      </c>
      <c r="Z1139" s="5" t="s">
        <v>807</v>
      </c>
      <c r="AA1139" s="5" t="s">
        <v>5430</v>
      </c>
      <c r="AB1139" s="5" t="s">
        <v>46</v>
      </c>
      <c r="AC1139" s="5"/>
      <c r="AD1139" s="5" t="b">
        <v>0</v>
      </c>
      <c r="AE1139" s="5"/>
      <c r="AF1139" s="5"/>
      <c r="AG1139" s="9">
        <f t="shared" si="17"/>
        <v>43285</v>
      </c>
    </row>
    <row r="1140" s="6" customFormat="1" spans="1:33">
      <c r="A1140" s="5" t="s">
        <v>5431</v>
      </c>
      <c r="B1140" s="5" t="s">
        <v>5431</v>
      </c>
      <c r="C1140" s="5" t="s">
        <v>5432</v>
      </c>
      <c r="D1140" s="5" t="s">
        <v>5433</v>
      </c>
      <c r="E1140" s="5" t="s">
        <v>36</v>
      </c>
      <c r="F1140" s="5" t="s">
        <v>37</v>
      </c>
      <c r="G1140" s="5" t="s">
        <v>38</v>
      </c>
      <c r="H1140" s="5"/>
      <c r="I1140" s="5"/>
      <c r="J1140" s="5" t="s">
        <v>39</v>
      </c>
      <c r="K1140" s="5" t="s">
        <v>3703</v>
      </c>
      <c r="L1140" s="5" t="s">
        <v>388</v>
      </c>
      <c r="M1140" s="5" t="s">
        <v>389</v>
      </c>
      <c r="N1140" s="5" t="s">
        <v>36</v>
      </c>
      <c r="O1140" s="5">
        <v>2</v>
      </c>
      <c r="P1140" s="5" t="s">
        <v>43</v>
      </c>
      <c r="Q1140" s="5">
        <v>37.98</v>
      </c>
      <c r="R1140" s="5">
        <v>2.28</v>
      </c>
      <c r="S1140" s="5"/>
      <c r="T1140" s="5"/>
      <c r="U1140" s="5"/>
      <c r="V1140" s="5"/>
      <c r="W1140" s="5"/>
      <c r="X1140" s="5"/>
      <c r="Y1140" s="5" t="s">
        <v>5434</v>
      </c>
      <c r="Z1140" s="5" t="s">
        <v>255</v>
      </c>
      <c r="AA1140" s="5" t="s">
        <v>5435</v>
      </c>
      <c r="AB1140" s="5" t="s">
        <v>46</v>
      </c>
      <c r="AC1140" s="5"/>
      <c r="AD1140" s="5" t="b">
        <v>0</v>
      </c>
      <c r="AE1140" s="5"/>
      <c r="AF1140" s="5"/>
      <c r="AG1140" s="9">
        <f t="shared" si="17"/>
        <v>43285</v>
      </c>
    </row>
    <row r="1141" s="6" customFormat="1" spans="1:33">
      <c r="A1141" s="5" t="s">
        <v>5436</v>
      </c>
      <c r="B1141" s="5" t="s">
        <v>5436</v>
      </c>
      <c r="C1141" s="5" t="s">
        <v>5437</v>
      </c>
      <c r="D1141" s="5" t="s">
        <v>5438</v>
      </c>
      <c r="E1141" s="5" t="s">
        <v>36</v>
      </c>
      <c r="F1141" s="5" t="s">
        <v>37</v>
      </c>
      <c r="G1141" s="5" t="s">
        <v>38</v>
      </c>
      <c r="H1141" s="5"/>
      <c r="I1141" s="5"/>
      <c r="J1141" s="5" t="s">
        <v>39</v>
      </c>
      <c r="K1141" s="5" t="s">
        <v>3668</v>
      </c>
      <c r="L1141" s="5" t="s">
        <v>578</v>
      </c>
      <c r="M1141" s="5" t="s">
        <v>572</v>
      </c>
      <c r="N1141" s="5" t="s">
        <v>36</v>
      </c>
      <c r="O1141" s="5">
        <v>1</v>
      </c>
      <c r="P1141" s="5" t="s">
        <v>43</v>
      </c>
      <c r="Q1141" s="5">
        <v>24.99</v>
      </c>
      <c r="R1141" s="5"/>
      <c r="S1141" s="5"/>
      <c r="T1141" s="5"/>
      <c r="U1141" s="5"/>
      <c r="V1141" s="5"/>
      <c r="W1141" s="5"/>
      <c r="X1141" s="5"/>
      <c r="Y1141" s="5" t="s">
        <v>5439</v>
      </c>
      <c r="Z1141" s="5" t="s">
        <v>2410</v>
      </c>
      <c r="AA1141" s="5">
        <v>89156</v>
      </c>
      <c r="AB1141" s="5" t="s">
        <v>46</v>
      </c>
      <c r="AC1141" s="5"/>
      <c r="AD1141" s="5" t="b">
        <v>0</v>
      </c>
      <c r="AE1141" s="5"/>
      <c r="AF1141" s="5"/>
      <c r="AG1141" s="9">
        <f t="shared" si="17"/>
        <v>43285</v>
      </c>
    </row>
    <row r="1142" s="6" customFormat="1" spans="1:33">
      <c r="A1142" s="5" t="s">
        <v>5440</v>
      </c>
      <c r="B1142" s="5" t="s">
        <v>5440</v>
      </c>
      <c r="C1142" s="5" t="s">
        <v>5441</v>
      </c>
      <c r="D1142" s="5" t="s">
        <v>5442</v>
      </c>
      <c r="E1142" s="5" t="s">
        <v>36</v>
      </c>
      <c r="F1142" s="5" t="s">
        <v>37</v>
      </c>
      <c r="G1142" s="5" t="s">
        <v>38</v>
      </c>
      <c r="H1142" s="5"/>
      <c r="I1142" s="5"/>
      <c r="J1142" s="5" t="s">
        <v>39</v>
      </c>
      <c r="K1142" s="5" t="s">
        <v>3752</v>
      </c>
      <c r="L1142" s="5" t="s">
        <v>244</v>
      </c>
      <c r="M1142" s="5" t="s">
        <v>245</v>
      </c>
      <c r="N1142" s="5" t="s">
        <v>36</v>
      </c>
      <c r="O1142" s="5">
        <v>1</v>
      </c>
      <c r="P1142" s="5" t="s">
        <v>43</v>
      </c>
      <c r="Q1142" s="5">
        <v>18.99</v>
      </c>
      <c r="R1142" s="5"/>
      <c r="S1142" s="5"/>
      <c r="T1142" s="5"/>
      <c r="U1142" s="5"/>
      <c r="V1142" s="5"/>
      <c r="W1142" s="5"/>
      <c r="X1142" s="5"/>
      <c r="Y1142" s="5" t="s">
        <v>1384</v>
      </c>
      <c r="Z1142" s="5" t="s">
        <v>151</v>
      </c>
      <c r="AA1142" s="5" t="s">
        <v>1385</v>
      </c>
      <c r="AB1142" s="5" t="s">
        <v>46</v>
      </c>
      <c r="AC1142" s="5"/>
      <c r="AD1142" s="5" t="b">
        <v>0</v>
      </c>
      <c r="AE1142" s="5"/>
      <c r="AF1142" s="5"/>
      <c r="AG1142" s="9">
        <f t="shared" si="17"/>
        <v>43285</v>
      </c>
    </row>
    <row r="1143" s="6" customFormat="1" spans="1:33">
      <c r="A1143" s="5" t="s">
        <v>5443</v>
      </c>
      <c r="B1143" s="5" t="s">
        <v>5443</v>
      </c>
      <c r="C1143" s="5" t="s">
        <v>5444</v>
      </c>
      <c r="D1143" s="5" t="s">
        <v>5445</v>
      </c>
      <c r="E1143" s="5" t="s">
        <v>36</v>
      </c>
      <c r="F1143" s="5" t="s">
        <v>37</v>
      </c>
      <c r="G1143" s="5" t="s">
        <v>38</v>
      </c>
      <c r="H1143" s="5"/>
      <c r="I1143" s="5"/>
      <c r="J1143" s="5" t="s">
        <v>39</v>
      </c>
      <c r="K1143" s="5" t="s">
        <v>3668</v>
      </c>
      <c r="L1143" s="5" t="s">
        <v>578</v>
      </c>
      <c r="M1143" s="5" t="s">
        <v>572</v>
      </c>
      <c r="N1143" s="5" t="s">
        <v>36</v>
      </c>
      <c r="O1143" s="5">
        <v>1</v>
      </c>
      <c r="P1143" s="5" t="s">
        <v>43</v>
      </c>
      <c r="Q1143" s="5">
        <v>24.99</v>
      </c>
      <c r="R1143" s="5"/>
      <c r="S1143" s="5"/>
      <c r="T1143" s="5"/>
      <c r="U1143" s="5"/>
      <c r="V1143" s="5"/>
      <c r="W1143" s="5"/>
      <c r="X1143" s="5"/>
      <c r="Y1143" s="5" t="s">
        <v>212</v>
      </c>
      <c r="Z1143" s="5" t="s">
        <v>151</v>
      </c>
      <c r="AA1143" s="5" t="s">
        <v>5446</v>
      </c>
      <c r="AB1143" s="5" t="s">
        <v>46</v>
      </c>
      <c r="AC1143" s="5"/>
      <c r="AD1143" s="5" t="b">
        <v>0</v>
      </c>
      <c r="AE1143" s="5"/>
      <c r="AF1143" s="5"/>
      <c r="AG1143" s="9">
        <f t="shared" si="17"/>
        <v>43285</v>
      </c>
    </row>
    <row r="1144" s="6" customFormat="1" spans="1:33">
      <c r="A1144" s="5" t="s">
        <v>5447</v>
      </c>
      <c r="B1144" s="5" t="s">
        <v>5447</v>
      </c>
      <c r="C1144" s="5" t="s">
        <v>5448</v>
      </c>
      <c r="D1144" s="5" t="s">
        <v>5449</v>
      </c>
      <c r="E1144" s="5" t="s">
        <v>36</v>
      </c>
      <c r="F1144" s="5" t="s">
        <v>37</v>
      </c>
      <c r="G1144" s="5" t="s">
        <v>38</v>
      </c>
      <c r="H1144" s="5"/>
      <c r="I1144" s="5"/>
      <c r="J1144" s="5" t="s">
        <v>128</v>
      </c>
      <c r="K1144" s="5" t="s">
        <v>2197</v>
      </c>
      <c r="L1144" s="5" t="s">
        <v>2198</v>
      </c>
      <c r="M1144" s="5" t="s">
        <v>2199</v>
      </c>
      <c r="N1144" s="5" t="s">
        <v>36</v>
      </c>
      <c r="O1144" s="5">
        <v>1</v>
      </c>
      <c r="P1144" s="5" t="s">
        <v>43</v>
      </c>
      <c r="Q1144" s="5">
        <v>24.99</v>
      </c>
      <c r="R1144" s="5"/>
      <c r="S1144" s="5">
        <v>6.45</v>
      </c>
      <c r="T1144" s="5"/>
      <c r="U1144" s="5"/>
      <c r="V1144" s="5"/>
      <c r="W1144" s="5"/>
      <c r="X1144" s="5"/>
      <c r="Y1144" s="5" t="s">
        <v>5450</v>
      </c>
      <c r="Z1144" s="5" t="s">
        <v>5451</v>
      </c>
      <c r="AA1144" s="5">
        <v>261041</v>
      </c>
      <c r="AB1144" s="5" t="s">
        <v>5452</v>
      </c>
      <c r="AC1144" s="5"/>
      <c r="AD1144" s="5" t="b">
        <v>0</v>
      </c>
      <c r="AE1144" s="5"/>
      <c r="AF1144" s="5"/>
      <c r="AG1144" s="9">
        <f t="shared" si="17"/>
        <v>43285</v>
      </c>
    </row>
    <row r="1145" s="6" customFormat="1" spans="1:33">
      <c r="A1145" s="5" t="s">
        <v>5453</v>
      </c>
      <c r="B1145" s="5" t="s">
        <v>5453</v>
      </c>
      <c r="C1145" s="5" t="s">
        <v>5454</v>
      </c>
      <c r="D1145" s="5" t="s">
        <v>5455</v>
      </c>
      <c r="E1145" s="5" t="s">
        <v>36</v>
      </c>
      <c r="F1145" s="5" t="s">
        <v>37</v>
      </c>
      <c r="G1145" s="5" t="s">
        <v>38</v>
      </c>
      <c r="H1145" s="5"/>
      <c r="I1145" s="5"/>
      <c r="J1145" s="5" t="s">
        <v>39</v>
      </c>
      <c r="K1145" s="5" t="s">
        <v>209</v>
      </c>
      <c r="L1145" s="5" t="s">
        <v>210</v>
      </c>
      <c r="M1145" s="5" t="s">
        <v>211</v>
      </c>
      <c r="N1145" s="5" t="s">
        <v>36</v>
      </c>
      <c r="O1145" s="5">
        <v>1</v>
      </c>
      <c r="P1145" s="5" t="s">
        <v>43</v>
      </c>
      <c r="Q1145" s="5">
        <v>13.99</v>
      </c>
      <c r="R1145" s="5"/>
      <c r="S1145" s="5"/>
      <c r="T1145" s="5"/>
      <c r="U1145" s="5"/>
      <c r="V1145" s="5"/>
      <c r="W1145" s="5"/>
      <c r="X1145" s="5"/>
      <c r="Y1145" s="5" t="s">
        <v>5456</v>
      </c>
      <c r="Z1145" s="5" t="s">
        <v>183</v>
      </c>
      <c r="AA1145" s="5" t="s">
        <v>5457</v>
      </c>
      <c r="AB1145" s="5" t="s">
        <v>46</v>
      </c>
      <c r="AC1145" s="5"/>
      <c r="AD1145" s="5" t="b">
        <v>0</v>
      </c>
      <c r="AE1145" s="5"/>
      <c r="AF1145" s="5"/>
      <c r="AG1145" s="9">
        <f t="shared" si="17"/>
        <v>43285</v>
      </c>
    </row>
    <row r="1146" s="6" customFormat="1" spans="1:33">
      <c r="A1146" s="5" t="s">
        <v>5458</v>
      </c>
      <c r="B1146" s="5" t="s">
        <v>5458</v>
      </c>
      <c r="C1146" s="5" t="s">
        <v>5459</v>
      </c>
      <c r="D1146" s="5" t="s">
        <v>5460</v>
      </c>
      <c r="E1146" s="5" t="s">
        <v>36</v>
      </c>
      <c r="F1146" s="5" t="s">
        <v>37</v>
      </c>
      <c r="G1146" s="5" t="s">
        <v>38</v>
      </c>
      <c r="H1146" s="5"/>
      <c r="I1146" s="5"/>
      <c r="J1146" s="5" t="s">
        <v>39</v>
      </c>
      <c r="K1146" s="5" t="s">
        <v>4155</v>
      </c>
      <c r="L1146" s="5" t="s">
        <v>111</v>
      </c>
      <c r="M1146" s="5" t="s">
        <v>112</v>
      </c>
      <c r="N1146" s="5" t="s">
        <v>36</v>
      </c>
      <c r="O1146" s="5">
        <v>1</v>
      </c>
      <c r="P1146" s="5" t="s">
        <v>43</v>
      </c>
      <c r="Q1146" s="5">
        <v>13.99</v>
      </c>
      <c r="R1146" s="5"/>
      <c r="S1146" s="5"/>
      <c r="T1146" s="5"/>
      <c r="U1146" s="5"/>
      <c r="V1146" s="5"/>
      <c r="W1146" s="5"/>
      <c r="X1146" s="5"/>
      <c r="Y1146" s="5" t="s">
        <v>5461</v>
      </c>
      <c r="Z1146" s="5" t="s">
        <v>142</v>
      </c>
      <c r="AA1146" s="5" t="s">
        <v>5462</v>
      </c>
      <c r="AB1146" s="5" t="s">
        <v>46</v>
      </c>
      <c r="AC1146" s="5"/>
      <c r="AD1146" s="5" t="b">
        <v>0</v>
      </c>
      <c r="AE1146" s="5"/>
      <c r="AF1146" s="5"/>
      <c r="AG1146" s="9">
        <f t="shared" si="17"/>
        <v>43285</v>
      </c>
    </row>
    <row r="1147" s="6" customFormat="1" spans="1:33">
      <c r="A1147" s="5" t="s">
        <v>5463</v>
      </c>
      <c r="B1147" s="5" t="s">
        <v>5463</v>
      </c>
      <c r="C1147" s="5" t="s">
        <v>5464</v>
      </c>
      <c r="D1147" s="5" t="s">
        <v>5465</v>
      </c>
      <c r="E1147" s="5" t="s">
        <v>36</v>
      </c>
      <c r="F1147" s="5" t="s">
        <v>37</v>
      </c>
      <c r="G1147" s="5" t="s">
        <v>38</v>
      </c>
      <c r="H1147" s="5"/>
      <c r="I1147" s="5"/>
      <c r="J1147" s="5" t="s">
        <v>128</v>
      </c>
      <c r="K1147" s="5" t="s">
        <v>3719</v>
      </c>
      <c r="L1147" s="5" t="s">
        <v>84</v>
      </c>
      <c r="M1147" s="5" t="s">
        <v>85</v>
      </c>
      <c r="N1147" s="5" t="s">
        <v>36</v>
      </c>
      <c r="O1147" s="5">
        <v>1</v>
      </c>
      <c r="P1147" s="5" t="s">
        <v>43</v>
      </c>
      <c r="Q1147" s="5">
        <v>12.99</v>
      </c>
      <c r="R1147" s="5"/>
      <c r="S1147" s="5"/>
      <c r="T1147" s="5"/>
      <c r="U1147" s="5"/>
      <c r="V1147" s="5"/>
      <c r="W1147" s="5"/>
      <c r="X1147" s="5"/>
      <c r="Y1147" s="5" t="s">
        <v>5466</v>
      </c>
      <c r="Z1147" s="5" t="s">
        <v>5467</v>
      </c>
      <c r="AA1147" s="5" t="s">
        <v>5468</v>
      </c>
      <c r="AB1147" s="5" t="s">
        <v>46</v>
      </c>
      <c r="AC1147" s="5"/>
      <c r="AD1147" s="5" t="b">
        <v>0</v>
      </c>
      <c r="AE1147" s="5"/>
      <c r="AF1147" s="5"/>
      <c r="AG1147" s="9">
        <f t="shared" si="17"/>
        <v>43285</v>
      </c>
    </row>
    <row r="1148" s="6" customFormat="1" spans="1:33">
      <c r="A1148" s="5" t="s">
        <v>5469</v>
      </c>
      <c r="B1148" s="5" t="s">
        <v>5469</v>
      </c>
      <c r="C1148" s="5" t="s">
        <v>5470</v>
      </c>
      <c r="D1148" s="5" t="s">
        <v>5471</v>
      </c>
      <c r="E1148" s="5" t="s">
        <v>36</v>
      </c>
      <c r="F1148" s="5" t="s">
        <v>37</v>
      </c>
      <c r="G1148" s="5" t="s">
        <v>38</v>
      </c>
      <c r="H1148" s="5"/>
      <c r="I1148" s="5"/>
      <c r="J1148" s="5" t="s">
        <v>39</v>
      </c>
      <c r="K1148" s="5" t="s">
        <v>4038</v>
      </c>
      <c r="L1148" s="5" t="s">
        <v>76</v>
      </c>
      <c r="M1148" s="5" t="s">
        <v>77</v>
      </c>
      <c r="N1148" s="5" t="s">
        <v>36</v>
      </c>
      <c r="O1148" s="5">
        <v>1</v>
      </c>
      <c r="P1148" s="5" t="s">
        <v>43</v>
      </c>
      <c r="Q1148" s="5">
        <v>13.99</v>
      </c>
      <c r="R1148" s="5"/>
      <c r="S1148" s="5"/>
      <c r="T1148" s="5"/>
      <c r="U1148" s="5"/>
      <c r="V1148" s="5"/>
      <c r="W1148" s="5"/>
      <c r="X1148" s="5"/>
      <c r="Y1148" s="5" t="s">
        <v>3935</v>
      </c>
      <c r="Z1148" s="5" t="s">
        <v>151</v>
      </c>
      <c r="AA1148" s="5" t="s">
        <v>5472</v>
      </c>
      <c r="AB1148" s="5" t="s">
        <v>46</v>
      </c>
      <c r="AC1148" s="5"/>
      <c r="AD1148" s="5" t="b">
        <v>0</v>
      </c>
      <c r="AE1148" s="5"/>
      <c r="AF1148" s="5"/>
      <c r="AG1148" s="9">
        <f t="shared" si="17"/>
        <v>43285</v>
      </c>
    </row>
    <row r="1149" s="6" customFormat="1" spans="1:33">
      <c r="A1149" s="5" t="s">
        <v>5473</v>
      </c>
      <c r="B1149" s="5" t="s">
        <v>5473</v>
      </c>
      <c r="C1149" s="5" t="s">
        <v>5474</v>
      </c>
      <c r="D1149" s="5" t="s">
        <v>5475</v>
      </c>
      <c r="E1149" s="5" t="s">
        <v>36</v>
      </c>
      <c r="F1149" s="5" t="s">
        <v>37</v>
      </c>
      <c r="G1149" s="5" t="s">
        <v>38</v>
      </c>
      <c r="H1149" s="5"/>
      <c r="I1149" s="5" t="s">
        <v>5476</v>
      </c>
      <c r="J1149" s="5" t="s">
        <v>128</v>
      </c>
      <c r="K1149" s="5" t="s">
        <v>5477</v>
      </c>
      <c r="L1149" s="5" t="s">
        <v>5478</v>
      </c>
      <c r="M1149" s="5" t="s">
        <v>5479</v>
      </c>
      <c r="N1149" s="5" t="s">
        <v>36</v>
      </c>
      <c r="O1149" s="5">
        <v>1</v>
      </c>
      <c r="P1149" s="5" t="s">
        <v>43</v>
      </c>
      <c r="Q1149" s="5">
        <v>10</v>
      </c>
      <c r="R1149" s="5"/>
      <c r="S1149" s="5"/>
      <c r="T1149" s="5"/>
      <c r="U1149" s="5"/>
      <c r="V1149" s="5"/>
      <c r="W1149" s="5"/>
      <c r="X1149" s="5"/>
      <c r="Y1149" s="5" t="s">
        <v>5480</v>
      </c>
      <c r="Z1149" s="5" t="s">
        <v>223</v>
      </c>
      <c r="AA1149" s="5" t="s">
        <v>5481</v>
      </c>
      <c r="AB1149" s="5" t="s">
        <v>46</v>
      </c>
      <c r="AC1149" s="5"/>
      <c r="AD1149" s="5" t="b">
        <v>0</v>
      </c>
      <c r="AE1149" s="5"/>
      <c r="AF1149" s="5"/>
      <c r="AG1149" s="9">
        <f t="shared" si="17"/>
        <v>43285</v>
      </c>
    </row>
    <row r="1150" s="6" customFormat="1" spans="1:33">
      <c r="A1150" s="5" t="s">
        <v>5482</v>
      </c>
      <c r="B1150" s="5" t="s">
        <v>5482</v>
      </c>
      <c r="C1150" s="5" t="s">
        <v>5483</v>
      </c>
      <c r="D1150" s="5" t="s">
        <v>5484</v>
      </c>
      <c r="E1150" s="5" t="s">
        <v>36</v>
      </c>
      <c r="F1150" s="5" t="s">
        <v>37</v>
      </c>
      <c r="G1150" s="5" t="s">
        <v>38</v>
      </c>
      <c r="H1150" s="5"/>
      <c r="I1150" s="5" t="s">
        <v>5476</v>
      </c>
      <c r="J1150" s="5" t="s">
        <v>128</v>
      </c>
      <c r="K1150" s="5" t="s">
        <v>5477</v>
      </c>
      <c r="L1150" s="5" t="s">
        <v>5478</v>
      </c>
      <c r="M1150" s="5" t="s">
        <v>5479</v>
      </c>
      <c r="N1150" s="5" t="s">
        <v>36</v>
      </c>
      <c r="O1150" s="5">
        <v>1</v>
      </c>
      <c r="P1150" s="5" t="s">
        <v>43</v>
      </c>
      <c r="Q1150" s="5">
        <v>10</v>
      </c>
      <c r="R1150" s="5"/>
      <c r="S1150" s="5"/>
      <c r="T1150" s="5"/>
      <c r="U1150" s="5"/>
      <c r="V1150" s="5"/>
      <c r="W1150" s="5"/>
      <c r="X1150" s="5"/>
      <c r="Y1150" s="5" t="s">
        <v>5480</v>
      </c>
      <c r="Z1150" s="5" t="s">
        <v>223</v>
      </c>
      <c r="AA1150" s="5" t="s">
        <v>5481</v>
      </c>
      <c r="AB1150" s="5" t="s">
        <v>46</v>
      </c>
      <c r="AC1150" s="5"/>
      <c r="AD1150" s="5" t="b">
        <v>0</v>
      </c>
      <c r="AE1150" s="5"/>
      <c r="AF1150" s="5"/>
      <c r="AG1150" s="9">
        <f t="shared" si="17"/>
        <v>43285</v>
      </c>
    </row>
    <row r="1151" s="6" customFormat="1" spans="1:33">
      <c r="A1151" s="5" t="s">
        <v>5485</v>
      </c>
      <c r="B1151" s="5" t="s">
        <v>5485</v>
      </c>
      <c r="C1151" s="5" t="s">
        <v>5486</v>
      </c>
      <c r="D1151" s="5" t="s">
        <v>5487</v>
      </c>
      <c r="E1151" s="5" t="s">
        <v>36</v>
      </c>
      <c r="F1151" s="5" t="s">
        <v>37</v>
      </c>
      <c r="G1151" s="5" t="s">
        <v>38</v>
      </c>
      <c r="H1151" s="5"/>
      <c r="I1151" s="5"/>
      <c r="J1151" s="5" t="s">
        <v>39</v>
      </c>
      <c r="K1151" s="5" t="s">
        <v>3752</v>
      </c>
      <c r="L1151" s="5" t="s">
        <v>244</v>
      </c>
      <c r="M1151" s="5" t="s">
        <v>245</v>
      </c>
      <c r="N1151" s="5" t="s">
        <v>36</v>
      </c>
      <c r="O1151" s="5">
        <v>1</v>
      </c>
      <c r="P1151" s="5" t="s">
        <v>43</v>
      </c>
      <c r="Q1151" s="5">
        <v>18.99</v>
      </c>
      <c r="R1151" s="5"/>
      <c r="S1151" s="5"/>
      <c r="T1151" s="5"/>
      <c r="U1151" s="5"/>
      <c r="V1151" s="5"/>
      <c r="W1151" s="5"/>
      <c r="X1151" s="5"/>
      <c r="Y1151" s="5" t="s">
        <v>5488</v>
      </c>
      <c r="Z1151" s="5" t="s">
        <v>54</v>
      </c>
      <c r="AA1151" s="5" t="s">
        <v>5489</v>
      </c>
      <c r="AB1151" s="5" t="s">
        <v>46</v>
      </c>
      <c r="AC1151" s="5"/>
      <c r="AD1151" s="5" t="b">
        <v>0</v>
      </c>
      <c r="AE1151" s="5"/>
      <c r="AF1151" s="5"/>
      <c r="AG1151" s="9">
        <f t="shared" si="17"/>
        <v>43285</v>
      </c>
    </row>
    <row r="1152" s="6" customFormat="1" spans="1:33">
      <c r="A1152" s="5" t="s">
        <v>5490</v>
      </c>
      <c r="B1152" s="5" t="s">
        <v>5490</v>
      </c>
      <c r="C1152" s="5" t="s">
        <v>5491</v>
      </c>
      <c r="D1152" s="5" t="s">
        <v>5492</v>
      </c>
      <c r="E1152" s="5" t="s">
        <v>36</v>
      </c>
      <c r="F1152" s="5" t="s">
        <v>37</v>
      </c>
      <c r="G1152" s="5" t="s">
        <v>38</v>
      </c>
      <c r="H1152" s="5"/>
      <c r="I1152" s="5"/>
      <c r="J1152" s="5" t="s">
        <v>39</v>
      </c>
      <c r="K1152" s="5" t="s">
        <v>3923</v>
      </c>
      <c r="L1152" s="5" t="s">
        <v>2578</v>
      </c>
      <c r="M1152" s="5" t="s">
        <v>314</v>
      </c>
      <c r="N1152" s="5" t="s">
        <v>36</v>
      </c>
      <c r="O1152" s="5">
        <v>1</v>
      </c>
      <c r="P1152" s="5" t="s">
        <v>43</v>
      </c>
      <c r="Q1152" s="5">
        <v>23.99</v>
      </c>
      <c r="R1152" s="5"/>
      <c r="S1152" s="5"/>
      <c r="T1152" s="5"/>
      <c r="U1152" s="5"/>
      <c r="V1152" s="5"/>
      <c r="W1152" s="5"/>
      <c r="X1152" s="5"/>
      <c r="Y1152" s="5" t="s">
        <v>4512</v>
      </c>
      <c r="Z1152" s="5" t="s">
        <v>923</v>
      </c>
      <c r="AA1152" s="5" t="s">
        <v>5493</v>
      </c>
      <c r="AB1152" s="5" t="s">
        <v>46</v>
      </c>
      <c r="AC1152" s="5"/>
      <c r="AD1152" s="5" t="b">
        <v>0</v>
      </c>
      <c r="AE1152" s="5"/>
      <c r="AF1152" s="5"/>
      <c r="AG1152" s="9">
        <f t="shared" si="17"/>
        <v>43285</v>
      </c>
    </row>
    <row r="1153" s="6" customFormat="1" spans="1:33">
      <c r="A1153" s="5" t="s">
        <v>5494</v>
      </c>
      <c r="B1153" s="5" t="s">
        <v>5494</v>
      </c>
      <c r="C1153" s="5" t="s">
        <v>5495</v>
      </c>
      <c r="D1153" s="5" t="s">
        <v>5496</v>
      </c>
      <c r="E1153" s="5" t="s">
        <v>36</v>
      </c>
      <c r="F1153" s="5" t="s">
        <v>37</v>
      </c>
      <c r="G1153" s="5" t="s">
        <v>38</v>
      </c>
      <c r="H1153" s="5"/>
      <c r="I1153" s="5"/>
      <c r="J1153" s="5" t="s">
        <v>39</v>
      </c>
      <c r="K1153" s="5" t="s">
        <v>409</v>
      </c>
      <c r="L1153" s="5" t="s">
        <v>4615</v>
      </c>
      <c r="M1153" s="5" t="s">
        <v>4616</v>
      </c>
      <c r="N1153" s="5" t="s">
        <v>36</v>
      </c>
      <c r="O1153" s="5">
        <v>1</v>
      </c>
      <c r="P1153" s="5" t="s">
        <v>43</v>
      </c>
      <c r="Q1153" s="5">
        <v>9.9</v>
      </c>
      <c r="R1153" s="5"/>
      <c r="S1153" s="5"/>
      <c r="T1153" s="5"/>
      <c r="U1153" s="5"/>
      <c r="V1153" s="5"/>
      <c r="W1153" s="5"/>
      <c r="X1153" s="5"/>
      <c r="Y1153" s="5" t="s">
        <v>4883</v>
      </c>
      <c r="Z1153" s="5" t="s">
        <v>247</v>
      </c>
      <c r="AA1153" s="5" t="s">
        <v>4884</v>
      </c>
      <c r="AB1153" s="5" t="s">
        <v>46</v>
      </c>
      <c r="AC1153" s="5"/>
      <c r="AD1153" s="5" t="b">
        <v>0</v>
      </c>
      <c r="AE1153" s="5"/>
      <c r="AF1153" s="5"/>
      <c r="AG1153" s="9">
        <f t="shared" si="17"/>
        <v>43285</v>
      </c>
    </row>
    <row r="1154" s="6" customFormat="1" spans="1:33">
      <c r="A1154" s="5" t="s">
        <v>5497</v>
      </c>
      <c r="B1154" s="5" t="s">
        <v>5497</v>
      </c>
      <c r="C1154" s="5" t="s">
        <v>5498</v>
      </c>
      <c r="D1154" s="5" t="s">
        <v>5499</v>
      </c>
      <c r="E1154" s="5" t="s">
        <v>36</v>
      </c>
      <c r="F1154" s="5" t="s">
        <v>37</v>
      </c>
      <c r="G1154" s="5" t="s">
        <v>38</v>
      </c>
      <c r="H1154" s="5"/>
      <c r="I1154" s="5"/>
      <c r="J1154" s="5" t="s">
        <v>39</v>
      </c>
      <c r="K1154" s="5" t="s">
        <v>3714</v>
      </c>
      <c r="L1154" s="5" t="s">
        <v>148</v>
      </c>
      <c r="M1154" s="5" t="s">
        <v>149</v>
      </c>
      <c r="N1154" s="5" t="s">
        <v>36</v>
      </c>
      <c r="O1154" s="5">
        <v>2</v>
      </c>
      <c r="P1154" s="5" t="s">
        <v>43</v>
      </c>
      <c r="Q1154" s="5">
        <v>27.98</v>
      </c>
      <c r="R1154" s="5"/>
      <c r="S1154" s="5"/>
      <c r="T1154" s="5"/>
      <c r="U1154" s="5"/>
      <c r="V1154" s="5"/>
      <c r="W1154" s="5"/>
      <c r="X1154" s="5"/>
      <c r="Y1154" s="5" t="s">
        <v>5500</v>
      </c>
      <c r="Z1154" s="5" t="s">
        <v>54</v>
      </c>
      <c r="AA1154" s="5" t="s">
        <v>5501</v>
      </c>
      <c r="AB1154" s="5" t="s">
        <v>46</v>
      </c>
      <c r="AC1154" s="5"/>
      <c r="AD1154" s="5" t="b">
        <v>0</v>
      </c>
      <c r="AE1154" s="5"/>
      <c r="AF1154" s="5"/>
      <c r="AG1154" s="9">
        <f t="shared" ref="AG1154:AG1217" si="18">DATEVALUE(LEFT(C1154,10))</f>
        <v>43285</v>
      </c>
    </row>
    <row r="1155" s="6" customFormat="1" spans="1:33">
      <c r="A1155" s="5" t="s">
        <v>5502</v>
      </c>
      <c r="B1155" s="5" t="s">
        <v>5502</v>
      </c>
      <c r="C1155" s="5" t="s">
        <v>5503</v>
      </c>
      <c r="D1155" s="5" t="s">
        <v>5504</v>
      </c>
      <c r="E1155" s="5" t="s">
        <v>36</v>
      </c>
      <c r="F1155" s="5" t="s">
        <v>37</v>
      </c>
      <c r="G1155" s="5" t="s">
        <v>38</v>
      </c>
      <c r="H1155" s="5"/>
      <c r="I1155" s="5"/>
      <c r="J1155" s="5" t="s">
        <v>39</v>
      </c>
      <c r="K1155" s="5" t="s">
        <v>3714</v>
      </c>
      <c r="L1155" s="5" t="s">
        <v>148</v>
      </c>
      <c r="M1155" s="5" t="s">
        <v>149</v>
      </c>
      <c r="N1155" s="5" t="s">
        <v>36</v>
      </c>
      <c r="O1155" s="5">
        <v>1</v>
      </c>
      <c r="P1155" s="5" t="s">
        <v>43</v>
      </c>
      <c r="Q1155" s="5">
        <v>13.99</v>
      </c>
      <c r="R1155" s="5"/>
      <c r="S1155" s="5"/>
      <c r="T1155" s="5"/>
      <c r="U1155" s="5"/>
      <c r="V1155" s="5"/>
      <c r="W1155" s="5"/>
      <c r="X1155" s="5"/>
      <c r="Y1155" s="5" t="s">
        <v>5505</v>
      </c>
      <c r="Z1155" s="5" t="s">
        <v>142</v>
      </c>
      <c r="AA1155" s="5">
        <v>33625</v>
      </c>
      <c r="AB1155" s="5" t="s">
        <v>46</v>
      </c>
      <c r="AC1155" s="5"/>
      <c r="AD1155" s="5" t="b">
        <v>0</v>
      </c>
      <c r="AE1155" s="5"/>
      <c r="AF1155" s="5"/>
      <c r="AG1155" s="9">
        <f t="shared" si="18"/>
        <v>43285</v>
      </c>
    </row>
    <row r="1156" s="6" customFormat="1" spans="1:33">
      <c r="A1156" s="5" t="s">
        <v>5506</v>
      </c>
      <c r="B1156" s="5" t="s">
        <v>5506</v>
      </c>
      <c r="C1156" s="5" t="s">
        <v>5507</v>
      </c>
      <c r="D1156" s="5" t="s">
        <v>5508</v>
      </c>
      <c r="E1156" s="5" t="s">
        <v>36</v>
      </c>
      <c r="F1156" s="5" t="s">
        <v>37</v>
      </c>
      <c r="G1156" s="5" t="s">
        <v>38</v>
      </c>
      <c r="H1156" s="5"/>
      <c r="I1156" s="5"/>
      <c r="J1156" s="5" t="s">
        <v>39</v>
      </c>
      <c r="K1156" s="5" t="s">
        <v>1661</v>
      </c>
      <c r="L1156" s="5" t="s">
        <v>1662</v>
      </c>
      <c r="M1156" s="5" t="s">
        <v>1663</v>
      </c>
      <c r="N1156" s="5" t="s">
        <v>36</v>
      </c>
      <c r="O1156" s="5">
        <v>1</v>
      </c>
      <c r="P1156" s="5" t="s">
        <v>43</v>
      </c>
      <c r="Q1156" s="5">
        <v>10.99</v>
      </c>
      <c r="R1156" s="5"/>
      <c r="S1156" s="5"/>
      <c r="T1156" s="5"/>
      <c r="U1156" s="5"/>
      <c r="V1156" s="5"/>
      <c r="W1156" s="5"/>
      <c r="X1156" s="5"/>
      <c r="Y1156" s="5" t="s">
        <v>1584</v>
      </c>
      <c r="Z1156" s="5" t="s">
        <v>123</v>
      </c>
      <c r="AA1156" s="5">
        <v>97229</v>
      </c>
      <c r="AB1156" s="5" t="s">
        <v>46</v>
      </c>
      <c r="AC1156" s="5"/>
      <c r="AD1156" s="5" t="b">
        <v>0</v>
      </c>
      <c r="AE1156" s="5"/>
      <c r="AF1156" s="5"/>
      <c r="AG1156" s="9">
        <f t="shared" si="18"/>
        <v>43285</v>
      </c>
    </row>
    <row r="1157" s="6" customFormat="1" spans="1:33">
      <c r="A1157" s="5" t="s">
        <v>5509</v>
      </c>
      <c r="B1157" s="5" t="s">
        <v>5509</v>
      </c>
      <c r="C1157" s="5" t="s">
        <v>5510</v>
      </c>
      <c r="D1157" s="5" t="s">
        <v>5511</v>
      </c>
      <c r="E1157" s="5" t="s">
        <v>36</v>
      </c>
      <c r="F1157" s="5" t="s">
        <v>37</v>
      </c>
      <c r="G1157" s="5" t="s">
        <v>38</v>
      </c>
      <c r="H1157" s="5"/>
      <c r="I1157" s="5"/>
      <c r="J1157" s="5" t="s">
        <v>39</v>
      </c>
      <c r="K1157" s="5" t="s">
        <v>5512</v>
      </c>
      <c r="L1157" s="5" t="s">
        <v>5513</v>
      </c>
      <c r="M1157" s="5" t="s">
        <v>5514</v>
      </c>
      <c r="N1157" s="5" t="s">
        <v>36</v>
      </c>
      <c r="O1157" s="5">
        <v>1</v>
      </c>
      <c r="P1157" s="5" t="s">
        <v>43</v>
      </c>
      <c r="Q1157" s="5">
        <v>12</v>
      </c>
      <c r="R1157" s="5"/>
      <c r="S1157" s="5"/>
      <c r="T1157" s="5"/>
      <c r="U1157" s="5"/>
      <c r="V1157" s="5"/>
      <c r="W1157" s="5"/>
      <c r="X1157" s="5"/>
      <c r="Y1157" s="5" t="s">
        <v>5515</v>
      </c>
      <c r="Z1157" s="5" t="s">
        <v>923</v>
      </c>
      <c r="AA1157" s="5" t="s">
        <v>5516</v>
      </c>
      <c r="AB1157" s="5" t="s">
        <v>46</v>
      </c>
      <c r="AC1157" s="5"/>
      <c r="AD1157" s="5" t="b">
        <v>0</v>
      </c>
      <c r="AE1157" s="5"/>
      <c r="AF1157" s="5"/>
      <c r="AG1157" s="9">
        <f t="shared" si="18"/>
        <v>43285</v>
      </c>
    </row>
    <row r="1158" s="6" customFormat="1" spans="1:33">
      <c r="A1158" s="5" t="s">
        <v>5517</v>
      </c>
      <c r="B1158" s="5" t="s">
        <v>5517</v>
      </c>
      <c r="C1158" s="5" t="s">
        <v>5518</v>
      </c>
      <c r="D1158" s="5" t="s">
        <v>5519</v>
      </c>
      <c r="E1158" s="5" t="s">
        <v>36</v>
      </c>
      <c r="F1158" s="5" t="s">
        <v>37</v>
      </c>
      <c r="G1158" s="5" t="s">
        <v>38</v>
      </c>
      <c r="H1158" s="5"/>
      <c r="I1158" s="5"/>
      <c r="J1158" s="5" t="s">
        <v>39</v>
      </c>
      <c r="K1158" s="5" t="s">
        <v>1407</v>
      </c>
      <c r="L1158" s="5" t="s">
        <v>1408</v>
      </c>
      <c r="M1158" s="5" t="s">
        <v>1409</v>
      </c>
      <c r="N1158" s="5" t="s">
        <v>36</v>
      </c>
      <c r="O1158" s="5">
        <v>1</v>
      </c>
      <c r="P1158" s="5" t="s">
        <v>43</v>
      </c>
      <c r="Q1158" s="5">
        <v>29.99</v>
      </c>
      <c r="R1158" s="5"/>
      <c r="S1158" s="5"/>
      <c r="T1158" s="5"/>
      <c r="U1158" s="5"/>
      <c r="V1158" s="5"/>
      <c r="W1158" s="5"/>
      <c r="X1158" s="5"/>
      <c r="Y1158" s="5" t="s">
        <v>5520</v>
      </c>
      <c r="Z1158" s="5" t="s">
        <v>329</v>
      </c>
      <c r="AA1158" s="5" t="s">
        <v>5521</v>
      </c>
      <c r="AB1158" s="5" t="s">
        <v>46</v>
      </c>
      <c r="AC1158" s="5"/>
      <c r="AD1158" s="5" t="b">
        <v>0</v>
      </c>
      <c r="AE1158" s="5"/>
      <c r="AF1158" s="5"/>
      <c r="AG1158" s="9">
        <f t="shared" si="18"/>
        <v>43285</v>
      </c>
    </row>
    <row r="1159" s="6" customFormat="1" spans="1:33">
      <c r="A1159" s="5" t="s">
        <v>5522</v>
      </c>
      <c r="B1159" s="5" t="s">
        <v>5522</v>
      </c>
      <c r="C1159" s="5" t="s">
        <v>5523</v>
      </c>
      <c r="D1159" s="5" t="s">
        <v>5524</v>
      </c>
      <c r="E1159" s="5" t="s">
        <v>36</v>
      </c>
      <c r="F1159" s="5" t="s">
        <v>37</v>
      </c>
      <c r="G1159" s="5" t="s">
        <v>38</v>
      </c>
      <c r="H1159" s="5"/>
      <c r="I1159" s="5"/>
      <c r="J1159" s="5" t="s">
        <v>39</v>
      </c>
      <c r="K1159" s="5" t="s">
        <v>3714</v>
      </c>
      <c r="L1159" s="5" t="s">
        <v>148</v>
      </c>
      <c r="M1159" s="5" t="s">
        <v>149</v>
      </c>
      <c r="N1159" s="5" t="s">
        <v>36</v>
      </c>
      <c r="O1159" s="5">
        <v>1</v>
      </c>
      <c r="P1159" s="5" t="s">
        <v>43</v>
      </c>
      <c r="Q1159" s="5">
        <v>13.99</v>
      </c>
      <c r="R1159" s="5"/>
      <c r="S1159" s="5"/>
      <c r="T1159" s="5"/>
      <c r="U1159" s="5"/>
      <c r="V1159" s="5"/>
      <c r="W1159" s="5"/>
      <c r="X1159" s="5"/>
      <c r="Y1159" s="5" t="s">
        <v>5525</v>
      </c>
      <c r="Z1159" s="5" t="s">
        <v>377</v>
      </c>
      <c r="AA1159" s="5">
        <v>2056</v>
      </c>
      <c r="AB1159" s="5" t="s">
        <v>46</v>
      </c>
      <c r="AC1159" s="5"/>
      <c r="AD1159" s="5" t="b">
        <v>0</v>
      </c>
      <c r="AE1159" s="5"/>
      <c r="AF1159" s="5"/>
      <c r="AG1159" s="9">
        <f t="shared" si="18"/>
        <v>43285</v>
      </c>
    </row>
    <row r="1160" s="6" customFormat="1" spans="1:33">
      <c r="A1160" s="5" t="s">
        <v>5526</v>
      </c>
      <c r="B1160" s="5" t="s">
        <v>5526</v>
      </c>
      <c r="C1160" s="5" t="s">
        <v>5527</v>
      </c>
      <c r="D1160" s="5" t="s">
        <v>5528</v>
      </c>
      <c r="E1160" s="5" t="s">
        <v>36</v>
      </c>
      <c r="F1160" s="5" t="s">
        <v>37</v>
      </c>
      <c r="G1160" s="5" t="s">
        <v>38</v>
      </c>
      <c r="H1160" s="5"/>
      <c r="I1160" s="5"/>
      <c r="J1160" s="5" t="s">
        <v>128</v>
      </c>
      <c r="K1160" s="5" t="s">
        <v>3745</v>
      </c>
      <c r="L1160" s="5" t="s">
        <v>202</v>
      </c>
      <c r="M1160" s="5" t="s">
        <v>203</v>
      </c>
      <c r="N1160" s="5" t="s">
        <v>36</v>
      </c>
      <c r="O1160" s="5">
        <v>1</v>
      </c>
      <c r="P1160" s="5" t="s">
        <v>43</v>
      </c>
      <c r="Q1160" s="5">
        <v>18.99</v>
      </c>
      <c r="R1160" s="5"/>
      <c r="S1160" s="5"/>
      <c r="T1160" s="5"/>
      <c r="U1160" s="5"/>
      <c r="V1160" s="5"/>
      <c r="W1160" s="5"/>
      <c r="X1160" s="5"/>
      <c r="Y1160" s="5" t="s">
        <v>5529</v>
      </c>
      <c r="Z1160" s="5" t="s">
        <v>5467</v>
      </c>
      <c r="AA1160" s="5">
        <v>646</v>
      </c>
      <c r="AB1160" s="5" t="s">
        <v>5467</v>
      </c>
      <c r="AC1160" s="5"/>
      <c r="AD1160" s="5" t="b">
        <v>0</v>
      </c>
      <c r="AE1160" s="5"/>
      <c r="AF1160" s="5"/>
      <c r="AG1160" s="9">
        <f t="shared" si="18"/>
        <v>43285</v>
      </c>
    </row>
    <row r="1161" s="6" customFormat="1" spans="1:33">
      <c r="A1161" s="5" t="s">
        <v>5530</v>
      </c>
      <c r="B1161" s="5" t="s">
        <v>5530</v>
      </c>
      <c r="C1161" s="5" t="s">
        <v>5531</v>
      </c>
      <c r="D1161" s="5" t="s">
        <v>5532</v>
      </c>
      <c r="E1161" s="5" t="s">
        <v>36</v>
      </c>
      <c r="F1161" s="5" t="s">
        <v>37</v>
      </c>
      <c r="G1161" s="5" t="s">
        <v>38</v>
      </c>
      <c r="H1161" s="5"/>
      <c r="I1161" s="5"/>
      <c r="J1161" s="5" t="s">
        <v>39</v>
      </c>
      <c r="K1161" s="5" t="s">
        <v>1407</v>
      </c>
      <c r="L1161" s="5" t="s">
        <v>1408</v>
      </c>
      <c r="M1161" s="5" t="s">
        <v>1409</v>
      </c>
      <c r="N1161" s="5" t="s">
        <v>36</v>
      </c>
      <c r="O1161" s="5">
        <v>1</v>
      </c>
      <c r="P1161" s="5" t="s">
        <v>43</v>
      </c>
      <c r="Q1161" s="5">
        <v>29.99</v>
      </c>
      <c r="R1161" s="5"/>
      <c r="S1161" s="5"/>
      <c r="T1161" s="5"/>
      <c r="U1161" s="5"/>
      <c r="V1161" s="5"/>
      <c r="W1161" s="5"/>
      <c r="X1161" s="5"/>
      <c r="Y1161" s="5" t="s">
        <v>5533</v>
      </c>
      <c r="Z1161" s="5" t="s">
        <v>3007</v>
      </c>
      <c r="AA1161" s="5" t="s">
        <v>5534</v>
      </c>
      <c r="AB1161" s="5" t="s">
        <v>46</v>
      </c>
      <c r="AC1161" s="5"/>
      <c r="AD1161" s="5" t="b">
        <v>0</v>
      </c>
      <c r="AE1161" s="5"/>
      <c r="AF1161" s="5"/>
      <c r="AG1161" s="9">
        <f t="shared" si="18"/>
        <v>43286</v>
      </c>
    </row>
    <row r="1162" s="6" customFormat="1" spans="1:33">
      <c r="A1162" s="5" t="s">
        <v>5535</v>
      </c>
      <c r="B1162" s="5" t="s">
        <v>5535</v>
      </c>
      <c r="C1162" s="5" t="s">
        <v>5536</v>
      </c>
      <c r="D1162" s="5" t="s">
        <v>5537</v>
      </c>
      <c r="E1162" s="5" t="s">
        <v>36</v>
      </c>
      <c r="F1162" s="5" t="s">
        <v>37</v>
      </c>
      <c r="G1162" s="5" t="s">
        <v>38</v>
      </c>
      <c r="H1162" s="5"/>
      <c r="I1162" s="5"/>
      <c r="J1162" s="5" t="s">
        <v>39</v>
      </c>
      <c r="K1162" s="5" t="s">
        <v>3668</v>
      </c>
      <c r="L1162" s="5" t="s">
        <v>578</v>
      </c>
      <c r="M1162" s="5" t="s">
        <v>572</v>
      </c>
      <c r="N1162" s="5" t="s">
        <v>36</v>
      </c>
      <c r="O1162" s="5">
        <v>1</v>
      </c>
      <c r="P1162" s="5" t="s">
        <v>43</v>
      </c>
      <c r="Q1162" s="5">
        <v>24.99</v>
      </c>
      <c r="R1162" s="5">
        <v>1.5</v>
      </c>
      <c r="S1162" s="5"/>
      <c r="T1162" s="5"/>
      <c r="U1162" s="5"/>
      <c r="V1162" s="5"/>
      <c r="W1162" s="5"/>
      <c r="X1162" s="5"/>
      <c r="Y1162" s="5" t="s">
        <v>5538</v>
      </c>
      <c r="Z1162" s="5" t="s">
        <v>255</v>
      </c>
      <c r="AA1162" s="5" t="s">
        <v>5539</v>
      </c>
      <c r="AB1162" s="5" t="s">
        <v>46</v>
      </c>
      <c r="AC1162" s="5"/>
      <c r="AD1162" s="5" t="b">
        <v>0</v>
      </c>
      <c r="AE1162" s="5"/>
      <c r="AF1162" s="5"/>
      <c r="AG1162" s="9">
        <f t="shared" si="18"/>
        <v>43286</v>
      </c>
    </row>
    <row r="1163" s="6" customFormat="1" spans="1:33">
      <c r="A1163" s="5" t="s">
        <v>5540</v>
      </c>
      <c r="B1163" s="5" t="s">
        <v>5540</v>
      </c>
      <c r="C1163" s="5" t="s">
        <v>5541</v>
      </c>
      <c r="D1163" s="5" t="s">
        <v>5542</v>
      </c>
      <c r="E1163" s="5" t="s">
        <v>36</v>
      </c>
      <c r="F1163" s="5" t="s">
        <v>37</v>
      </c>
      <c r="G1163" s="5" t="s">
        <v>38</v>
      </c>
      <c r="H1163" s="5"/>
      <c r="I1163" s="5"/>
      <c r="J1163" s="5" t="s">
        <v>39</v>
      </c>
      <c r="K1163" s="5" t="s">
        <v>4155</v>
      </c>
      <c r="L1163" s="5" t="s">
        <v>111</v>
      </c>
      <c r="M1163" s="5" t="s">
        <v>112</v>
      </c>
      <c r="N1163" s="5" t="s">
        <v>36</v>
      </c>
      <c r="O1163" s="5">
        <v>1</v>
      </c>
      <c r="P1163" s="5" t="s">
        <v>43</v>
      </c>
      <c r="Q1163" s="5">
        <v>13.99</v>
      </c>
      <c r="R1163" s="5"/>
      <c r="S1163" s="5"/>
      <c r="T1163" s="5"/>
      <c r="U1163" s="5"/>
      <c r="V1163" s="5"/>
      <c r="W1163" s="5"/>
      <c r="X1163" s="5"/>
      <c r="Y1163" s="5" t="s">
        <v>946</v>
      </c>
      <c r="Z1163" s="5" t="s">
        <v>247</v>
      </c>
      <c r="AA1163" s="5" t="s">
        <v>5543</v>
      </c>
      <c r="AB1163" s="5" t="s">
        <v>46</v>
      </c>
      <c r="AC1163" s="5"/>
      <c r="AD1163" s="5" t="b">
        <v>0</v>
      </c>
      <c r="AE1163" s="5"/>
      <c r="AF1163" s="5"/>
      <c r="AG1163" s="9">
        <f t="shared" si="18"/>
        <v>43286</v>
      </c>
    </row>
    <row r="1164" s="6" customFormat="1" spans="1:33">
      <c r="A1164" s="5" t="s">
        <v>5544</v>
      </c>
      <c r="B1164" s="5" t="s">
        <v>5544</v>
      </c>
      <c r="C1164" s="5" t="s">
        <v>5545</v>
      </c>
      <c r="D1164" s="5" t="s">
        <v>5546</v>
      </c>
      <c r="E1164" s="5" t="s">
        <v>36</v>
      </c>
      <c r="F1164" s="5" t="s">
        <v>37</v>
      </c>
      <c r="G1164" s="5" t="s">
        <v>38</v>
      </c>
      <c r="H1164" s="5"/>
      <c r="I1164" s="5"/>
      <c r="J1164" s="5" t="s">
        <v>39</v>
      </c>
      <c r="K1164" s="5" t="s">
        <v>4085</v>
      </c>
      <c r="L1164" s="5" t="s">
        <v>102</v>
      </c>
      <c r="M1164" s="5" t="s">
        <v>103</v>
      </c>
      <c r="N1164" s="5" t="s">
        <v>36</v>
      </c>
      <c r="O1164" s="5">
        <v>1</v>
      </c>
      <c r="P1164" s="5" t="s">
        <v>43</v>
      </c>
      <c r="Q1164" s="5">
        <v>13.99</v>
      </c>
      <c r="R1164" s="5"/>
      <c r="S1164" s="5"/>
      <c r="T1164" s="5"/>
      <c r="U1164" s="5"/>
      <c r="V1164" s="5"/>
      <c r="W1164" s="5"/>
      <c r="X1164" s="5"/>
      <c r="Y1164" s="5" t="s">
        <v>4033</v>
      </c>
      <c r="Z1164" s="5" t="s">
        <v>218</v>
      </c>
      <c r="AA1164" s="5" t="s">
        <v>5547</v>
      </c>
      <c r="AB1164" s="5" t="s">
        <v>46</v>
      </c>
      <c r="AC1164" s="5"/>
      <c r="AD1164" s="5" t="b">
        <v>0</v>
      </c>
      <c r="AE1164" s="5"/>
      <c r="AF1164" s="5"/>
      <c r="AG1164" s="9">
        <f t="shared" si="18"/>
        <v>43286</v>
      </c>
    </row>
    <row r="1165" s="6" customFormat="1" spans="1:33">
      <c r="A1165" s="5" t="s">
        <v>5548</v>
      </c>
      <c r="B1165" s="5" t="s">
        <v>5548</v>
      </c>
      <c r="C1165" s="5" t="s">
        <v>5549</v>
      </c>
      <c r="D1165" s="5" t="s">
        <v>5550</v>
      </c>
      <c r="E1165" s="5" t="s">
        <v>36</v>
      </c>
      <c r="F1165" s="5" t="s">
        <v>37</v>
      </c>
      <c r="G1165" s="5" t="s">
        <v>38</v>
      </c>
      <c r="H1165" s="5"/>
      <c r="I1165" s="5"/>
      <c r="J1165" s="5" t="s">
        <v>39</v>
      </c>
      <c r="K1165" s="5" t="s">
        <v>2197</v>
      </c>
      <c r="L1165" s="5" t="s">
        <v>2198</v>
      </c>
      <c r="M1165" s="5" t="s">
        <v>2199</v>
      </c>
      <c r="N1165" s="5" t="s">
        <v>36</v>
      </c>
      <c r="O1165" s="5">
        <v>1</v>
      </c>
      <c r="P1165" s="5" t="s">
        <v>43</v>
      </c>
      <c r="Q1165" s="5">
        <v>24.99</v>
      </c>
      <c r="R1165" s="5"/>
      <c r="S1165" s="5"/>
      <c r="T1165" s="5"/>
      <c r="U1165" s="5"/>
      <c r="V1165" s="5"/>
      <c r="W1165" s="5"/>
      <c r="X1165" s="5"/>
      <c r="Y1165" s="5" t="s">
        <v>5551</v>
      </c>
      <c r="Z1165" s="5" t="s">
        <v>606</v>
      </c>
      <c r="AA1165" s="5" t="s">
        <v>5552</v>
      </c>
      <c r="AB1165" s="5" t="s">
        <v>46</v>
      </c>
      <c r="AC1165" s="5"/>
      <c r="AD1165" s="5" t="b">
        <v>0</v>
      </c>
      <c r="AE1165" s="5"/>
      <c r="AF1165" s="5"/>
      <c r="AG1165" s="9">
        <f t="shared" si="18"/>
        <v>43286</v>
      </c>
    </row>
    <row r="1166" s="6" customFormat="1" spans="1:33">
      <c r="A1166" s="5" t="s">
        <v>5553</v>
      </c>
      <c r="B1166" s="5" t="s">
        <v>5553</v>
      </c>
      <c r="C1166" s="5" t="s">
        <v>5554</v>
      </c>
      <c r="D1166" s="5" t="s">
        <v>5555</v>
      </c>
      <c r="E1166" s="5" t="s">
        <v>36</v>
      </c>
      <c r="F1166" s="5" t="s">
        <v>37</v>
      </c>
      <c r="G1166" s="5" t="s">
        <v>38</v>
      </c>
      <c r="H1166" s="5"/>
      <c r="I1166" s="5"/>
      <c r="J1166" s="5" t="s">
        <v>39</v>
      </c>
      <c r="K1166" s="5" t="s">
        <v>1542</v>
      </c>
      <c r="L1166" s="5" t="s">
        <v>1543</v>
      </c>
      <c r="M1166" s="5" t="s">
        <v>1544</v>
      </c>
      <c r="N1166" s="5" t="s">
        <v>36</v>
      </c>
      <c r="O1166" s="5">
        <v>1</v>
      </c>
      <c r="P1166" s="5" t="s">
        <v>43</v>
      </c>
      <c r="Q1166" s="5">
        <v>12</v>
      </c>
      <c r="R1166" s="5"/>
      <c r="S1166" s="5"/>
      <c r="T1166" s="5"/>
      <c r="U1166" s="5"/>
      <c r="V1166" s="5"/>
      <c r="W1166" s="5"/>
      <c r="X1166" s="5"/>
      <c r="Y1166" s="5" t="s">
        <v>5556</v>
      </c>
      <c r="Z1166" s="5" t="s">
        <v>142</v>
      </c>
      <c r="AA1166" s="5" t="s">
        <v>5557</v>
      </c>
      <c r="AB1166" s="5" t="s">
        <v>46</v>
      </c>
      <c r="AC1166" s="5"/>
      <c r="AD1166" s="5" t="b">
        <v>0</v>
      </c>
      <c r="AE1166" s="5"/>
      <c r="AF1166" s="5"/>
      <c r="AG1166" s="9">
        <f t="shared" si="18"/>
        <v>43286</v>
      </c>
    </row>
    <row r="1167" s="6" customFormat="1" spans="1:33">
      <c r="A1167" s="5" t="s">
        <v>5558</v>
      </c>
      <c r="B1167" s="5" t="s">
        <v>5558</v>
      </c>
      <c r="C1167" s="5" t="s">
        <v>5559</v>
      </c>
      <c r="D1167" s="5" t="s">
        <v>5560</v>
      </c>
      <c r="E1167" s="5" t="s">
        <v>36</v>
      </c>
      <c r="F1167" s="5" t="s">
        <v>37</v>
      </c>
      <c r="G1167" s="5" t="s">
        <v>38</v>
      </c>
      <c r="H1167" s="5"/>
      <c r="I1167" s="5"/>
      <c r="J1167" s="5" t="s">
        <v>39</v>
      </c>
      <c r="K1167" s="5" t="s">
        <v>4085</v>
      </c>
      <c r="L1167" s="5" t="s">
        <v>102</v>
      </c>
      <c r="M1167" s="5" t="s">
        <v>103</v>
      </c>
      <c r="N1167" s="5" t="s">
        <v>36</v>
      </c>
      <c r="O1167" s="5">
        <v>1</v>
      </c>
      <c r="P1167" s="5" t="s">
        <v>43</v>
      </c>
      <c r="Q1167" s="5">
        <v>13.99</v>
      </c>
      <c r="R1167" s="5"/>
      <c r="S1167" s="5"/>
      <c r="T1167" s="5"/>
      <c r="U1167" s="5"/>
      <c r="V1167" s="5"/>
      <c r="W1167" s="5"/>
      <c r="X1167" s="5"/>
      <c r="Y1167" s="5" t="s">
        <v>1664</v>
      </c>
      <c r="Z1167" s="5" t="s">
        <v>382</v>
      </c>
      <c r="AA1167" s="5" t="s">
        <v>5561</v>
      </c>
      <c r="AB1167" s="5" t="s">
        <v>46</v>
      </c>
      <c r="AC1167" s="5"/>
      <c r="AD1167" s="5" t="b">
        <v>0</v>
      </c>
      <c r="AE1167" s="5"/>
      <c r="AF1167" s="5"/>
      <c r="AG1167" s="9">
        <f t="shared" si="18"/>
        <v>43286</v>
      </c>
    </row>
    <row r="1168" s="6" customFormat="1" spans="1:33">
      <c r="A1168" s="5" t="s">
        <v>5562</v>
      </c>
      <c r="B1168" s="5" t="s">
        <v>5562</v>
      </c>
      <c r="C1168" s="5" t="s">
        <v>5563</v>
      </c>
      <c r="D1168" s="5" t="s">
        <v>5564</v>
      </c>
      <c r="E1168" s="5" t="s">
        <v>36</v>
      </c>
      <c r="F1168" s="5" t="s">
        <v>37</v>
      </c>
      <c r="G1168" s="5" t="s">
        <v>38</v>
      </c>
      <c r="H1168" s="5"/>
      <c r="I1168" s="5"/>
      <c r="J1168" s="5" t="s">
        <v>39</v>
      </c>
      <c r="K1168" s="5" t="s">
        <v>4173</v>
      </c>
      <c r="L1168" s="5" t="s">
        <v>1958</v>
      </c>
      <c r="M1168" s="5" t="s">
        <v>271</v>
      </c>
      <c r="N1168" s="5" t="s">
        <v>36</v>
      </c>
      <c r="O1168" s="5">
        <v>1</v>
      </c>
      <c r="P1168" s="5" t="s">
        <v>43</v>
      </c>
      <c r="Q1168" s="5">
        <v>24.99</v>
      </c>
      <c r="R1168" s="5"/>
      <c r="S1168" s="5"/>
      <c r="T1168" s="5"/>
      <c r="U1168" s="5"/>
      <c r="V1168" s="5"/>
      <c r="W1168" s="5"/>
      <c r="X1168" s="5"/>
      <c r="Y1168" s="5" t="s">
        <v>2865</v>
      </c>
      <c r="Z1168" s="5" t="s">
        <v>87</v>
      </c>
      <c r="AA1168" s="5" t="s">
        <v>5565</v>
      </c>
      <c r="AB1168" s="5" t="s">
        <v>46</v>
      </c>
      <c r="AC1168" s="5"/>
      <c r="AD1168" s="5" t="b">
        <v>0</v>
      </c>
      <c r="AE1168" s="5"/>
      <c r="AF1168" s="5"/>
      <c r="AG1168" s="9">
        <f t="shared" si="18"/>
        <v>43286</v>
      </c>
    </row>
    <row r="1169" s="6" customFormat="1" spans="1:33">
      <c r="A1169" s="5" t="s">
        <v>5566</v>
      </c>
      <c r="B1169" s="5" t="s">
        <v>5566</v>
      </c>
      <c r="C1169" s="5" t="s">
        <v>5567</v>
      </c>
      <c r="D1169" s="5" t="s">
        <v>5568</v>
      </c>
      <c r="E1169" s="5" t="s">
        <v>36</v>
      </c>
      <c r="F1169" s="5" t="s">
        <v>37</v>
      </c>
      <c r="G1169" s="5" t="s">
        <v>38</v>
      </c>
      <c r="H1169" s="5"/>
      <c r="I1169" s="5"/>
      <c r="J1169" s="5" t="s">
        <v>39</v>
      </c>
      <c r="K1169" s="5" t="s">
        <v>5569</v>
      </c>
      <c r="L1169" s="5" t="s">
        <v>5570</v>
      </c>
      <c r="M1169" s="5" t="s">
        <v>5571</v>
      </c>
      <c r="N1169" s="5" t="s">
        <v>36</v>
      </c>
      <c r="O1169" s="5">
        <v>1</v>
      </c>
      <c r="P1169" s="5" t="s">
        <v>43</v>
      </c>
      <c r="Q1169" s="5">
        <v>12</v>
      </c>
      <c r="R1169" s="5"/>
      <c r="S1169" s="5">
        <v>9.98</v>
      </c>
      <c r="T1169" s="5"/>
      <c r="U1169" s="5"/>
      <c r="V1169" s="5"/>
      <c r="W1169" s="5"/>
      <c r="X1169" s="5"/>
      <c r="Y1169" s="5" t="s">
        <v>5572</v>
      </c>
      <c r="Z1169" s="5" t="s">
        <v>218</v>
      </c>
      <c r="AA1169" s="5" t="s">
        <v>5573</v>
      </c>
      <c r="AB1169" s="5" t="s">
        <v>46</v>
      </c>
      <c r="AC1169" s="5"/>
      <c r="AD1169" s="5" t="b">
        <v>0</v>
      </c>
      <c r="AE1169" s="5"/>
      <c r="AF1169" s="5"/>
      <c r="AG1169" s="9">
        <f t="shared" si="18"/>
        <v>43286</v>
      </c>
    </row>
    <row r="1170" s="6" customFormat="1" spans="1:33">
      <c r="A1170" s="5" t="s">
        <v>5574</v>
      </c>
      <c r="B1170" s="5" t="s">
        <v>5574</v>
      </c>
      <c r="C1170" s="5" t="s">
        <v>5575</v>
      </c>
      <c r="D1170" s="5" t="s">
        <v>5576</v>
      </c>
      <c r="E1170" s="5" t="s">
        <v>36</v>
      </c>
      <c r="F1170" s="5" t="s">
        <v>37</v>
      </c>
      <c r="G1170" s="5" t="s">
        <v>38</v>
      </c>
      <c r="H1170" s="5"/>
      <c r="I1170" s="5"/>
      <c r="J1170" s="5" t="s">
        <v>39</v>
      </c>
      <c r="K1170" s="5" t="s">
        <v>3668</v>
      </c>
      <c r="L1170" s="5" t="s">
        <v>578</v>
      </c>
      <c r="M1170" s="5" t="s">
        <v>572</v>
      </c>
      <c r="N1170" s="5" t="s">
        <v>36</v>
      </c>
      <c r="O1170" s="5">
        <v>1</v>
      </c>
      <c r="P1170" s="5" t="s">
        <v>43</v>
      </c>
      <c r="Q1170" s="5">
        <v>24.99</v>
      </c>
      <c r="R1170" s="5"/>
      <c r="S1170" s="5"/>
      <c r="T1170" s="5"/>
      <c r="U1170" s="5"/>
      <c r="V1170" s="5"/>
      <c r="W1170" s="5"/>
      <c r="X1170" s="5"/>
      <c r="Y1170" s="5" t="s">
        <v>5577</v>
      </c>
      <c r="Z1170" s="5" t="s">
        <v>54</v>
      </c>
      <c r="AA1170" s="5" t="s">
        <v>5578</v>
      </c>
      <c r="AB1170" s="5" t="s">
        <v>46</v>
      </c>
      <c r="AC1170" s="5"/>
      <c r="AD1170" s="5" t="b">
        <v>0</v>
      </c>
      <c r="AE1170" s="5"/>
      <c r="AF1170" s="5"/>
      <c r="AG1170" s="9">
        <f t="shared" si="18"/>
        <v>43286</v>
      </c>
    </row>
    <row r="1171" s="6" customFormat="1" spans="1:33">
      <c r="A1171" s="5" t="s">
        <v>5579</v>
      </c>
      <c r="B1171" s="5" t="s">
        <v>5579</v>
      </c>
      <c r="C1171" s="5" t="s">
        <v>5580</v>
      </c>
      <c r="D1171" s="5" t="s">
        <v>5581</v>
      </c>
      <c r="E1171" s="5" t="s">
        <v>36</v>
      </c>
      <c r="F1171" s="5" t="s">
        <v>37</v>
      </c>
      <c r="G1171" s="5" t="s">
        <v>38</v>
      </c>
      <c r="H1171" s="5"/>
      <c r="I1171" s="5"/>
      <c r="J1171" s="5" t="s">
        <v>39</v>
      </c>
      <c r="K1171" s="5" t="s">
        <v>3714</v>
      </c>
      <c r="L1171" s="5" t="s">
        <v>148</v>
      </c>
      <c r="M1171" s="5" t="s">
        <v>149</v>
      </c>
      <c r="N1171" s="5" t="s">
        <v>36</v>
      </c>
      <c r="O1171" s="5">
        <v>1</v>
      </c>
      <c r="P1171" s="5" t="s">
        <v>43</v>
      </c>
      <c r="Q1171" s="5">
        <v>13.99</v>
      </c>
      <c r="R1171" s="5"/>
      <c r="S1171" s="5"/>
      <c r="T1171" s="5"/>
      <c r="U1171" s="5"/>
      <c r="V1171" s="5"/>
      <c r="W1171" s="5"/>
      <c r="X1171" s="5"/>
      <c r="Y1171" s="5" t="s">
        <v>5582</v>
      </c>
      <c r="Z1171" s="5" t="s">
        <v>54</v>
      </c>
      <c r="AA1171" s="5" t="s">
        <v>5583</v>
      </c>
      <c r="AB1171" s="5" t="s">
        <v>46</v>
      </c>
      <c r="AC1171" s="5"/>
      <c r="AD1171" s="5" t="b">
        <v>0</v>
      </c>
      <c r="AE1171" s="5"/>
      <c r="AF1171" s="5"/>
      <c r="AG1171" s="9">
        <f t="shared" si="18"/>
        <v>43286</v>
      </c>
    </row>
    <row r="1172" s="6" customFormat="1" spans="1:33">
      <c r="A1172" s="5" t="s">
        <v>5584</v>
      </c>
      <c r="B1172" s="5" t="s">
        <v>5584</v>
      </c>
      <c r="C1172" s="5" t="s">
        <v>5585</v>
      </c>
      <c r="D1172" s="5" t="s">
        <v>5586</v>
      </c>
      <c r="E1172" s="5" t="s">
        <v>36</v>
      </c>
      <c r="F1172" s="5" t="s">
        <v>37</v>
      </c>
      <c r="G1172" s="5" t="s">
        <v>38</v>
      </c>
      <c r="H1172" s="5"/>
      <c r="I1172" s="5"/>
      <c r="J1172" s="5" t="s">
        <v>39</v>
      </c>
      <c r="K1172" s="5" t="s">
        <v>3940</v>
      </c>
      <c r="L1172" s="5" t="s">
        <v>2099</v>
      </c>
      <c r="M1172" s="5" t="s">
        <v>121</v>
      </c>
      <c r="N1172" s="5" t="s">
        <v>36</v>
      </c>
      <c r="O1172" s="5">
        <v>1</v>
      </c>
      <c r="P1172" s="5" t="s">
        <v>43</v>
      </c>
      <c r="Q1172" s="5">
        <v>24.99</v>
      </c>
      <c r="R1172" s="5"/>
      <c r="S1172" s="5"/>
      <c r="T1172" s="5"/>
      <c r="U1172" s="5"/>
      <c r="V1172" s="5"/>
      <c r="W1172" s="5"/>
      <c r="X1172" s="5"/>
      <c r="Y1172" s="5" t="s">
        <v>5587</v>
      </c>
      <c r="Z1172" s="5" t="s">
        <v>3906</v>
      </c>
      <c r="AA1172" s="5">
        <v>80906</v>
      </c>
      <c r="AB1172" s="5" t="s">
        <v>46</v>
      </c>
      <c r="AC1172" s="5"/>
      <c r="AD1172" s="5" t="b">
        <v>0</v>
      </c>
      <c r="AE1172" s="5"/>
      <c r="AF1172" s="5"/>
      <c r="AG1172" s="9">
        <f t="shared" si="18"/>
        <v>43286</v>
      </c>
    </row>
    <row r="1173" s="6" customFormat="1" spans="1:33">
      <c r="A1173" s="5" t="s">
        <v>5588</v>
      </c>
      <c r="B1173" s="5" t="s">
        <v>5588</v>
      </c>
      <c r="C1173" s="5" t="s">
        <v>5589</v>
      </c>
      <c r="D1173" s="5" t="s">
        <v>5590</v>
      </c>
      <c r="E1173" s="5" t="s">
        <v>36</v>
      </c>
      <c r="F1173" s="5" t="s">
        <v>37</v>
      </c>
      <c r="G1173" s="5" t="s">
        <v>38</v>
      </c>
      <c r="H1173" s="5"/>
      <c r="I1173" s="5"/>
      <c r="J1173" s="5" t="s">
        <v>39</v>
      </c>
      <c r="K1173" s="5" t="s">
        <v>587</v>
      </c>
      <c r="L1173" s="5" t="s">
        <v>588</v>
      </c>
      <c r="M1173" s="5" t="s">
        <v>589</v>
      </c>
      <c r="N1173" s="5" t="s">
        <v>36</v>
      </c>
      <c r="O1173" s="5">
        <v>1</v>
      </c>
      <c r="P1173" s="5" t="s">
        <v>43</v>
      </c>
      <c r="Q1173" s="5">
        <v>18.99</v>
      </c>
      <c r="R1173" s="5"/>
      <c r="S1173" s="5"/>
      <c r="T1173" s="5"/>
      <c r="U1173" s="5"/>
      <c r="V1173" s="5"/>
      <c r="W1173" s="5"/>
      <c r="X1173" s="5"/>
      <c r="Y1173" s="5" t="s">
        <v>5591</v>
      </c>
      <c r="Z1173" s="5" t="s">
        <v>238</v>
      </c>
      <c r="AA1173" s="5" t="s">
        <v>5592</v>
      </c>
      <c r="AB1173" s="5" t="s">
        <v>46</v>
      </c>
      <c r="AC1173" s="5"/>
      <c r="AD1173" s="5" t="b">
        <v>0</v>
      </c>
      <c r="AE1173" s="5"/>
      <c r="AF1173" s="5"/>
      <c r="AG1173" s="9">
        <f t="shared" si="18"/>
        <v>43286</v>
      </c>
    </row>
    <row r="1174" s="6" customFormat="1" spans="1:33">
      <c r="A1174" s="5" t="s">
        <v>5593</v>
      </c>
      <c r="B1174" s="5" t="s">
        <v>5593</v>
      </c>
      <c r="C1174" s="5" t="s">
        <v>5594</v>
      </c>
      <c r="D1174" s="5" t="s">
        <v>5595</v>
      </c>
      <c r="E1174" s="5" t="s">
        <v>36</v>
      </c>
      <c r="F1174" s="5" t="s">
        <v>37</v>
      </c>
      <c r="G1174" s="5" t="s">
        <v>38</v>
      </c>
      <c r="H1174" s="5"/>
      <c r="I1174" s="5"/>
      <c r="J1174" s="5" t="s">
        <v>128</v>
      </c>
      <c r="K1174" s="5" t="s">
        <v>4155</v>
      </c>
      <c r="L1174" s="5" t="s">
        <v>111</v>
      </c>
      <c r="M1174" s="5" t="s">
        <v>112</v>
      </c>
      <c r="N1174" s="5" t="s">
        <v>36</v>
      </c>
      <c r="O1174" s="5">
        <v>1</v>
      </c>
      <c r="P1174" s="5" t="s">
        <v>43</v>
      </c>
      <c r="Q1174" s="5">
        <v>13.99</v>
      </c>
      <c r="R1174" s="5"/>
      <c r="S1174" s="5">
        <v>5.99</v>
      </c>
      <c r="T1174" s="5"/>
      <c r="U1174" s="5"/>
      <c r="V1174" s="5"/>
      <c r="W1174" s="5"/>
      <c r="X1174" s="5"/>
      <c r="Y1174" s="5" t="s">
        <v>3654</v>
      </c>
      <c r="Z1174" s="5" t="s">
        <v>377</v>
      </c>
      <c r="AA1174" s="5" t="s">
        <v>5596</v>
      </c>
      <c r="AB1174" s="5" t="s">
        <v>46</v>
      </c>
      <c r="AC1174" s="5"/>
      <c r="AD1174" s="5" t="b">
        <v>0</v>
      </c>
      <c r="AE1174" s="5"/>
      <c r="AF1174" s="5"/>
      <c r="AG1174" s="9">
        <f t="shared" si="18"/>
        <v>43286</v>
      </c>
    </row>
    <row r="1175" s="6" customFormat="1" spans="1:33">
      <c r="A1175" s="5" t="s">
        <v>5597</v>
      </c>
      <c r="B1175" s="5" t="s">
        <v>5597</v>
      </c>
      <c r="C1175" s="5" t="s">
        <v>5598</v>
      </c>
      <c r="D1175" s="5" t="s">
        <v>5599</v>
      </c>
      <c r="E1175" s="5" t="s">
        <v>36</v>
      </c>
      <c r="F1175" s="5" t="s">
        <v>37</v>
      </c>
      <c r="G1175" s="5" t="s">
        <v>38</v>
      </c>
      <c r="H1175" s="5"/>
      <c r="I1175" s="5"/>
      <c r="J1175" s="5" t="s">
        <v>39</v>
      </c>
      <c r="K1175" s="5" t="s">
        <v>3940</v>
      </c>
      <c r="L1175" s="5" t="s">
        <v>2099</v>
      </c>
      <c r="M1175" s="5" t="s">
        <v>121</v>
      </c>
      <c r="N1175" s="5" t="s">
        <v>36</v>
      </c>
      <c r="O1175" s="5">
        <v>1</v>
      </c>
      <c r="P1175" s="5" t="s">
        <v>43</v>
      </c>
      <c r="Q1175" s="5">
        <v>24.99</v>
      </c>
      <c r="R1175" s="5"/>
      <c r="S1175" s="5"/>
      <c r="T1175" s="5"/>
      <c r="U1175" s="5"/>
      <c r="V1175" s="5"/>
      <c r="W1175" s="5"/>
      <c r="X1175" s="5"/>
      <c r="Y1175" s="5" t="s">
        <v>5600</v>
      </c>
      <c r="Z1175" s="5" t="s">
        <v>807</v>
      </c>
      <c r="AA1175" s="5">
        <v>68154</v>
      </c>
      <c r="AB1175" s="5" t="s">
        <v>46</v>
      </c>
      <c r="AC1175" s="5"/>
      <c r="AD1175" s="5" t="b">
        <v>0</v>
      </c>
      <c r="AE1175" s="5"/>
      <c r="AF1175" s="5"/>
      <c r="AG1175" s="9">
        <f t="shared" si="18"/>
        <v>43286</v>
      </c>
    </row>
    <row r="1176" s="6" customFormat="1" spans="1:33">
      <c r="A1176" s="5" t="s">
        <v>5601</v>
      </c>
      <c r="B1176" s="5" t="s">
        <v>5601</v>
      </c>
      <c r="C1176" s="5" t="s">
        <v>5602</v>
      </c>
      <c r="D1176" s="5" t="s">
        <v>5603</v>
      </c>
      <c r="E1176" s="5" t="s">
        <v>36</v>
      </c>
      <c r="F1176" s="5" t="s">
        <v>37</v>
      </c>
      <c r="G1176" s="5" t="s">
        <v>38</v>
      </c>
      <c r="H1176" s="5"/>
      <c r="I1176" s="5"/>
      <c r="J1176" s="5" t="s">
        <v>287</v>
      </c>
      <c r="K1176" s="5" t="s">
        <v>4173</v>
      </c>
      <c r="L1176" s="5" t="s">
        <v>1958</v>
      </c>
      <c r="M1176" s="5" t="s">
        <v>271</v>
      </c>
      <c r="N1176" s="5" t="s">
        <v>36</v>
      </c>
      <c r="O1176" s="5">
        <v>1</v>
      </c>
      <c r="P1176" s="5" t="s">
        <v>43</v>
      </c>
      <c r="Q1176" s="5">
        <v>24.99</v>
      </c>
      <c r="R1176" s="5"/>
      <c r="S1176" s="5">
        <v>5.99</v>
      </c>
      <c r="T1176" s="5"/>
      <c r="U1176" s="5"/>
      <c r="V1176" s="5"/>
      <c r="W1176" s="5"/>
      <c r="X1176" s="5">
        <v>5.99</v>
      </c>
      <c r="Y1176" s="5" t="s">
        <v>2865</v>
      </c>
      <c r="Z1176" s="5" t="s">
        <v>87</v>
      </c>
      <c r="AA1176" s="5" t="s">
        <v>5565</v>
      </c>
      <c r="AB1176" s="5" t="s">
        <v>46</v>
      </c>
      <c r="AC1176" s="5"/>
      <c r="AD1176" s="5" t="b">
        <v>0</v>
      </c>
      <c r="AE1176" s="5"/>
      <c r="AF1176" s="5"/>
      <c r="AG1176" s="9">
        <f t="shared" si="18"/>
        <v>43286</v>
      </c>
    </row>
    <row r="1177" s="6" customFormat="1" spans="1:33">
      <c r="A1177" s="5" t="s">
        <v>5604</v>
      </c>
      <c r="B1177" s="5" t="s">
        <v>5604</v>
      </c>
      <c r="C1177" s="5" t="s">
        <v>5605</v>
      </c>
      <c r="D1177" s="5" t="s">
        <v>5606</v>
      </c>
      <c r="E1177" s="5" t="s">
        <v>36</v>
      </c>
      <c r="F1177" s="5" t="s">
        <v>37</v>
      </c>
      <c r="G1177" s="5" t="s">
        <v>38</v>
      </c>
      <c r="H1177" s="5"/>
      <c r="I1177" s="5"/>
      <c r="J1177" s="5" t="s">
        <v>39</v>
      </c>
      <c r="K1177" s="5" t="s">
        <v>1613</v>
      </c>
      <c r="L1177" s="5" t="s">
        <v>1614</v>
      </c>
      <c r="M1177" s="5" t="s">
        <v>1615</v>
      </c>
      <c r="N1177" s="5" t="s">
        <v>36</v>
      </c>
      <c r="O1177" s="5">
        <v>1</v>
      </c>
      <c r="P1177" s="5" t="s">
        <v>43</v>
      </c>
      <c r="Q1177" s="5">
        <v>10</v>
      </c>
      <c r="R1177" s="5"/>
      <c r="S1177" s="5"/>
      <c r="T1177" s="5"/>
      <c r="U1177" s="5"/>
      <c r="V1177" s="5"/>
      <c r="W1177" s="5"/>
      <c r="X1177" s="5"/>
      <c r="Y1177" s="5" t="s">
        <v>1684</v>
      </c>
      <c r="Z1177" s="5" t="s">
        <v>142</v>
      </c>
      <c r="AA1177" s="5" t="s">
        <v>5607</v>
      </c>
      <c r="AB1177" s="5" t="s">
        <v>46</v>
      </c>
      <c r="AC1177" s="5"/>
      <c r="AD1177" s="5" t="b">
        <v>0</v>
      </c>
      <c r="AE1177" s="5"/>
      <c r="AF1177" s="5"/>
      <c r="AG1177" s="9">
        <f t="shared" si="18"/>
        <v>43286</v>
      </c>
    </row>
    <row r="1178" s="6" customFormat="1" spans="1:33">
      <c r="A1178" s="5" t="s">
        <v>5608</v>
      </c>
      <c r="B1178" s="5" t="s">
        <v>5608</v>
      </c>
      <c r="C1178" s="5" t="s">
        <v>5609</v>
      </c>
      <c r="D1178" s="5" t="s">
        <v>5610</v>
      </c>
      <c r="E1178" s="5" t="s">
        <v>36</v>
      </c>
      <c r="F1178" s="5" t="s">
        <v>37</v>
      </c>
      <c r="G1178" s="5" t="s">
        <v>38</v>
      </c>
      <c r="H1178" s="5"/>
      <c r="I1178" s="5"/>
      <c r="J1178" s="5" t="s">
        <v>39</v>
      </c>
      <c r="K1178" s="5" t="s">
        <v>2344</v>
      </c>
      <c r="L1178" s="5" t="s">
        <v>2345</v>
      </c>
      <c r="M1178" s="5" t="s">
        <v>2346</v>
      </c>
      <c r="N1178" s="5" t="s">
        <v>36</v>
      </c>
      <c r="O1178" s="5">
        <v>1</v>
      </c>
      <c r="P1178" s="5" t="s">
        <v>43</v>
      </c>
      <c r="Q1178" s="5">
        <v>13.99</v>
      </c>
      <c r="R1178" s="5"/>
      <c r="S1178" s="5"/>
      <c r="T1178" s="5"/>
      <c r="U1178" s="5"/>
      <c r="V1178" s="5"/>
      <c r="W1178" s="5"/>
      <c r="X1178" s="5"/>
      <c r="Y1178" s="5" t="s">
        <v>5611</v>
      </c>
      <c r="Z1178" s="5" t="s">
        <v>247</v>
      </c>
      <c r="AA1178" s="5" t="s">
        <v>5612</v>
      </c>
      <c r="AB1178" s="5" t="s">
        <v>46</v>
      </c>
      <c r="AC1178" s="5"/>
      <c r="AD1178" s="5" t="b">
        <v>0</v>
      </c>
      <c r="AE1178" s="5"/>
      <c r="AF1178" s="5"/>
      <c r="AG1178" s="9">
        <f t="shared" si="18"/>
        <v>43286</v>
      </c>
    </row>
    <row r="1179" s="6" customFormat="1" spans="1:33">
      <c r="A1179" s="5" t="s">
        <v>5613</v>
      </c>
      <c r="B1179" s="5" t="s">
        <v>5613</v>
      </c>
      <c r="C1179" s="5" t="s">
        <v>5614</v>
      </c>
      <c r="D1179" s="5" t="s">
        <v>5615</v>
      </c>
      <c r="E1179" s="5" t="s">
        <v>36</v>
      </c>
      <c r="F1179" s="5" t="s">
        <v>37</v>
      </c>
      <c r="G1179" s="5" t="s">
        <v>38</v>
      </c>
      <c r="H1179" s="5"/>
      <c r="I1179" s="5"/>
      <c r="J1179" s="5" t="s">
        <v>287</v>
      </c>
      <c r="K1179" s="5" t="s">
        <v>4552</v>
      </c>
      <c r="L1179" s="5" t="s">
        <v>3245</v>
      </c>
      <c r="M1179" s="5" t="s">
        <v>280</v>
      </c>
      <c r="N1179" s="5" t="s">
        <v>36</v>
      </c>
      <c r="O1179" s="5">
        <v>1</v>
      </c>
      <c r="P1179" s="5" t="s">
        <v>43</v>
      </c>
      <c r="Q1179" s="5">
        <v>24.99</v>
      </c>
      <c r="R1179" s="5"/>
      <c r="S1179" s="5">
        <v>5.99</v>
      </c>
      <c r="T1179" s="5"/>
      <c r="U1179" s="5"/>
      <c r="V1179" s="5"/>
      <c r="W1179" s="5"/>
      <c r="X1179" s="5">
        <v>5.99</v>
      </c>
      <c r="Y1179" s="5" t="s">
        <v>922</v>
      </c>
      <c r="Z1179" s="5" t="s">
        <v>923</v>
      </c>
      <c r="AA1179" s="5" t="s">
        <v>5616</v>
      </c>
      <c r="AB1179" s="5" t="s">
        <v>46</v>
      </c>
      <c r="AC1179" s="5"/>
      <c r="AD1179" s="5" t="b">
        <v>0</v>
      </c>
      <c r="AE1179" s="5"/>
      <c r="AF1179" s="5"/>
      <c r="AG1179" s="9">
        <f t="shared" si="18"/>
        <v>43286</v>
      </c>
    </row>
    <row r="1180" s="6" customFormat="1" spans="1:33">
      <c r="A1180" s="5" t="s">
        <v>5617</v>
      </c>
      <c r="B1180" s="5" t="s">
        <v>5617</v>
      </c>
      <c r="C1180" s="5" t="s">
        <v>5618</v>
      </c>
      <c r="D1180" s="5" t="s">
        <v>5619</v>
      </c>
      <c r="E1180" s="5" t="s">
        <v>36</v>
      </c>
      <c r="F1180" s="5" t="s">
        <v>37</v>
      </c>
      <c r="G1180" s="5" t="s">
        <v>38</v>
      </c>
      <c r="H1180" s="5"/>
      <c r="I1180" s="5"/>
      <c r="J1180" s="5" t="s">
        <v>39</v>
      </c>
      <c r="K1180" s="5" t="s">
        <v>58</v>
      </c>
      <c r="L1180" s="5" t="s">
        <v>59</v>
      </c>
      <c r="M1180" s="5" t="s">
        <v>60</v>
      </c>
      <c r="N1180" s="5" t="s">
        <v>36</v>
      </c>
      <c r="O1180" s="5">
        <v>1</v>
      </c>
      <c r="P1180" s="5" t="s">
        <v>43</v>
      </c>
      <c r="Q1180" s="5">
        <v>13.99</v>
      </c>
      <c r="R1180" s="5"/>
      <c r="S1180" s="5"/>
      <c r="T1180" s="5"/>
      <c r="U1180" s="5"/>
      <c r="V1180" s="5"/>
      <c r="W1180" s="5"/>
      <c r="X1180" s="5"/>
      <c r="Y1180" s="5" t="s">
        <v>1774</v>
      </c>
      <c r="Z1180" s="5" t="s">
        <v>218</v>
      </c>
      <c r="AA1180" s="5" t="s">
        <v>5620</v>
      </c>
      <c r="AB1180" s="5" t="s">
        <v>46</v>
      </c>
      <c r="AC1180" s="5"/>
      <c r="AD1180" s="5" t="b">
        <v>0</v>
      </c>
      <c r="AE1180" s="5"/>
      <c r="AF1180" s="5"/>
      <c r="AG1180" s="9">
        <f t="shared" si="18"/>
        <v>43286</v>
      </c>
    </row>
    <row r="1181" s="6" customFormat="1" spans="1:33">
      <c r="A1181" s="5" t="s">
        <v>5621</v>
      </c>
      <c r="B1181" s="5" t="s">
        <v>5621</v>
      </c>
      <c r="C1181" s="5" t="s">
        <v>5622</v>
      </c>
      <c r="D1181" s="5" t="s">
        <v>5623</v>
      </c>
      <c r="E1181" s="5" t="s">
        <v>614</v>
      </c>
      <c r="F1181" s="5" t="s">
        <v>37</v>
      </c>
      <c r="G1181" s="5" t="s">
        <v>38</v>
      </c>
      <c r="H1181" s="5"/>
      <c r="I1181" s="5"/>
      <c r="J1181" s="5" t="s">
        <v>156</v>
      </c>
      <c r="K1181" s="5" t="s">
        <v>3798</v>
      </c>
      <c r="L1181" s="5" t="s">
        <v>1048</v>
      </c>
      <c r="M1181" s="5" t="s">
        <v>535</v>
      </c>
      <c r="N1181" s="5" t="s">
        <v>833</v>
      </c>
      <c r="O1181" s="5">
        <v>1</v>
      </c>
      <c r="P1181" s="5" t="s">
        <v>43</v>
      </c>
      <c r="Q1181" s="5">
        <v>24.99</v>
      </c>
      <c r="R1181" s="5"/>
      <c r="S1181" s="5"/>
      <c r="T1181" s="5"/>
      <c r="U1181" s="5"/>
      <c r="V1181" s="5"/>
      <c r="W1181" s="5"/>
      <c r="X1181" s="5"/>
      <c r="Y1181" s="5" t="s">
        <v>5624</v>
      </c>
      <c r="Z1181" s="5" t="s">
        <v>151</v>
      </c>
      <c r="AA1181" s="5" t="s">
        <v>5625</v>
      </c>
      <c r="AB1181" s="5" t="s">
        <v>46</v>
      </c>
      <c r="AC1181" s="5"/>
      <c r="AD1181" s="5" t="b">
        <v>0</v>
      </c>
      <c r="AE1181" s="5"/>
      <c r="AF1181" s="5"/>
      <c r="AG1181" s="9">
        <f t="shared" si="18"/>
        <v>43286</v>
      </c>
    </row>
    <row r="1182" s="6" customFormat="1" spans="1:33">
      <c r="A1182" s="5" t="s">
        <v>5626</v>
      </c>
      <c r="B1182" s="5" t="s">
        <v>5626</v>
      </c>
      <c r="C1182" s="5" t="s">
        <v>5627</v>
      </c>
      <c r="D1182" s="5" t="s">
        <v>5628</v>
      </c>
      <c r="E1182" s="5" t="s">
        <v>36</v>
      </c>
      <c r="F1182" s="5" t="s">
        <v>37</v>
      </c>
      <c r="G1182" s="5" t="s">
        <v>38</v>
      </c>
      <c r="H1182" s="5"/>
      <c r="I1182" s="5"/>
      <c r="J1182" s="5" t="s">
        <v>39</v>
      </c>
      <c r="K1182" s="5" t="s">
        <v>4307</v>
      </c>
      <c r="L1182" s="5" t="s">
        <v>1227</v>
      </c>
      <c r="M1182" s="5" t="s">
        <v>262</v>
      </c>
      <c r="N1182" s="5" t="s">
        <v>36</v>
      </c>
      <c r="O1182" s="5">
        <v>1</v>
      </c>
      <c r="P1182" s="5" t="s">
        <v>43</v>
      </c>
      <c r="Q1182" s="5">
        <v>18.99</v>
      </c>
      <c r="R1182" s="5"/>
      <c r="S1182" s="5"/>
      <c r="T1182" s="5"/>
      <c r="U1182" s="5"/>
      <c r="V1182" s="5"/>
      <c r="W1182" s="5"/>
      <c r="X1182" s="5"/>
      <c r="Y1182" s="5" t="s">
        <v>5629</v>
      </c>
      <c r="Z1182" s="5" t="s">
        <v>382</v>
      </c>
      <c r="AA1182" s="5" t="s">
        <v>5630</v>
      </c>
      <c r="AB1182" s="5" t="s">
        <v>46</v>
      </c>
      <c r="AC1182" s="5"/>
      <c r="AD1182" s="5" t="b">
        <v>0</v>
      </c>
      <c r="AE1182" s="5"/>
      <c r="AF1182" s="5"/>
      <c r="AG1182" s="9">
        <f t="shared" si="18"/>
        <v>43286</v>
      </c>
    </row>
    <row r="1183" s="6" customFormat="1" spans="1:33">
      <c r="A1183" s="5" t="s">
        <v>5631</v>
      </c>
      <c r="B1183" s="5" t="s">
        <v>5631</v>
      </c>
      <c r="C1183" s="5" t="s">
        <v>5632</v>
      </c>
      <c r="D1183" s="5" t="s">
        <v>5633</v>
      </c>
      <c r="E1183" s="5" t="s">
        <v>5238</v>
      </c>
      <c r="F1183" s="5" t="s">
        <v>37</v>
      </c>
      <c r="G1183" s="5" t="s">
        <v>38</v>
      </c>
      <c r="H1183" s="5"/>
      <c r="I1183" s="5"/>
      <c r="J1183" s="5" t="s">
        <v>128</v>
      </c>
      <c r="K1183" s="5" t="s">
        <v>3815</v>
      </c>
      <c r="L1183" s="5" t="s">
        <v>5634</v>
      </c>
      <c r="M1183" s="5" t="s">
        <v>5635</v>
      </c>
      <c r="N1183" s="5" t="s">
        <v>833</v>
      </c>
      <c r="O1183" s="5">
        <v>1</v>
      </c>
      <c r="P1183" s="5" t="s">
        <v>43</v>
      </c>
      <c r="Q1183" s="5">
        <v>15</v>
      </c>
      <c r="R1183" s="5"/>
      <c r="S1183" s="5"/>
      <c r="T1183" s="5"/>
      <c r="U1183" s="5"/>
      <c r="V1183" s="5"/>
      <c r="W1183" s="5"/>
      <c r="X1183" s="5"/>
      <c r="Y1183" s="5" t="s">
        <v>2268</v>
      </c>
      <c r="Z1183" s="5" t="s">
        <v>505</v>
      </c>
      <c r="AA1183" s="5">
        <v>55901</v>
      </c>
      <c r="AB1183" s="5" t="s">
        <v>46</v>
      </c>
      <c r="AC1183" s="5" t="s">
        <v>225</v>
      </c>
      <c r="AD1183" s="5" t="b">
        <v>0</v>
      </c>
      <c r="AE1183" s="5"/>
      <c r="AF1183" s="5"/>
      <c r="AG1183" s="9">
        <f t="shared" si="18"/>
        <v>43286</v>
      </c>
    </row>
    <row r="1184" s="6" customFormat="1" spans="1:33">
      <c r="A1184" s="5" t="s">
        <v>5636</v>
      </c>
      <c r="B1184" s="5" t="s">
        <v>5636</v>
      </c>
      <c r="C1184" s="5" t="s">
        <v>5637</v>
      </c>
      <c r="D1184" s="5" t="s">
        <v>5638</v>
      </c>
      <c r="E1184" s="5" t="s">
        <v>36</v>
      </c>
      <c r="F1184" s="5" t="s">
        <v>37</v>
      </c>
      <c r="G1184" s="5" t="s">
        <v>38</v>
      </c>
      <c r="H1184" s="5"/>
      <c r="I1184" s="5"/>
      <c r="J1184" s="5" t="s">
        <v>39</v>
      </c>
      <c r="K1184" s="5" t="s">
        <v>3645</v>
      </c>
      <c r="L1184" s="5" t="s">
        <v>51</v>
      </c>
      <c r="M1184" s="5" t="s">
        <v>52</v>
      </c>
      <c r="N1184" s="5" t="s">
        <v>36</v>
      </c>
      <c r="O1184" s="5">
        <v>1</v>
      </c>
      <c r="P1184" s="5" t="s">
        <v>43</v>
      </c>
      <c r="Q1184" s="5">
        <v>18.99</v>
      </c>
      <c r="R1184" s="5"/>
      <c r="S1184" s="5"/>
      <c r="T1184" s="5"/>
      <c r="U1184" s="5"/>
      <c r="V1184" s="5"/>
      <c r="W1184" s="5"/>
      <c r="X1184" s="5"/>
      <c r="Y1184" s="5" t="s">
        <v>5639</v>
      </c>
      <c r="Z1184" s="5" t="s">
        <v>87</v>
      </c>
      <c r="AA1184" s="5" t="s">
        <v>5640</v>
      </c>
      <c r="AB1184" s="5" t="s">
        <v>46</v>
      </c>
      <c r="AC1184" s="5"/>
      <c r="AD1184" s="5" t="b">
        <v>0</v>
      </c>
      <c r="AE1184" s="5"/>
      <c r="AF1184" s="5"/>
      <c r="AG1184" s="9">
        <f t="shared" si="18"/>
        <v>43286</v>
      </c>
    </row>
    <row r="1185" s="6" customFormat="1" spans="1:33">
      <c r="A1185" s="5" t="s">
        <v>5641</v>
      </c>
      <c r="B1185" s="5" t="s">
        <v>5641</v>
      </c>
      <c r="C1185" s="5" t="s">
        <v>5642</v>
      </c>
      <c r="D1185" s="5" t="s">
        <v>5643</v>
      </c>
      <c r="E1185" s="5" t="s">
        <v>36</v>
      </c>
      <c r="F1185" s="5" t="s">
        <v>37</v>
      </c>
      <c r="G1185" s="5" t="s">
        <v>38</v>
      </c>
      <c r="H1185" s="5"/>
      <c r="I1185" s="5"/>
      <c r="J1185" s="5" t="s">
        <v>39</v>
      </c>
      <c r="K1185" s="5" t="s">
        <v>4038</v>
      </c>
      <c r="L1185" s="5" t="s">
        <v>76</v>
      </c>
      <c r="M1185" s="5" t="s">
        <v>77</v>
      </c>
      <c r="N1185" s="5" t="s">
        <v>36</v>
      </c>
      <c r="O1185" s="5">
        <v>1</v>
      </c>
      <c r="P1185" s="5" t="s">
        <v>43</v>
      </c>
      <c r="Q1185" s="5">
        <v>13.99</v>
      </c>
      <c r="R1185" s="5"/>
      <c r="S1185" s="5"/>
      <c r="T1185" s="5"/>
      <c r="U1185" s="5"/>
      <c r="V1185" s="5"/>
      <c r="W1185" s="5"/>
      <c r="X1185" s="5"/>
      <c r="Y1185" s="5" t="s">
        <v>2347</v>
      </c>
      <c r="Z1185" s="5" t="s">
        <v>463</v>
      </c>
      <c r="AA1185" s="5" t="s">
        <v>5644</v>
      </c>
      <c r="AB1185" s="5" t="s">
        <v>46</v>
      </c>
      <c r="AC1185" s="5"/>
      <c r="AD1185" s="5" t="b">
        <v>0</v>
      </c>
      <c r="AE1185" s="5"/>
      <c r="AF1185" s="5"/>
      <c r="AG1185" s="9">
        <f t="shared" si="18"/>
        <v>43286</v>
      </c>
    </row>
    <row r="1186" s="6" customFormat="1" spans="1:33">
      <c r="A1186" s="5" t="s">
        <v>5645</v>
      </c>
      <c r="B1186" s="5" t="s">
        <v>5645</v>
      </c>
      <c r="C1186" s="5" t="s">
        <v>5646</v>
      </c>
      <c r="D1186" s="5" t="s">
        <v>5647</v>
      </c>
      <c r="E1186" s="5" t="s">
        <v>36</v>
      </c>
      <c r="F1186" s="5" t="s">
        <v>37</v>
      </c>
      <c r="G1186" s="5" t="s">
        <v>38</v>
      </c>
      <c r="H1186" s="5"/>
      <c r="I1186" s="5"/>
      <c r="J1186" s="5" t="s">
        <v>39</v>
      </c>
      <c r="K1186" s="5" t="s">
        <v>3287</v>
      </c>
      <c r="L1186" s="5" t="s">
        <v>3288</v>
      </c>
      <c r="M1186" s="5" t="s">
        <v>3289</v>
      </c>
      <c r="N1186" s="5" t="s">
        <v>36</v>
      </c>
      <c r="O1186" s="5">
        <v>1</v>
      </c>
      <c r="P1186" s="5" t="s">
        <v>43</v>
      </c>
      <c r="Q1186" s="5">
        <v>15.98</v>
      </c>
      <c r="R1186" s="5"/>
      <c r="S1186" s="5"/>
      <c r="T1186" s="5"/>
      <c r="U1186" s="5"/>
      <c r="V1186" s="5"/>
      <c r="W1186" s="5"/>
      <c r="X1186" s="5"/>
      <c r="Y1186" s="5" t="s">
        <v>1316</v>
      </c>
      <c r="Z1186" s="5" t="s">
        <v>54</v>
      </c>
      <c r="AA1186" s="5" t="s">
        <v>5648</v>
      </c>
      <c r="AB1186" s="5" t="s">
        <v>46</v>
      </c>
      <c r="AC1186" s="5"/>
      <c r="AD1186" s="5" t="b">
        <v>0</v>
      </c>
      <c r="AE1186" s="5"/>
      <c r="AF1186" s="5"/>
      <c r="AG1186" s="9">
        <f t="shared" si="18"/>
        <v>43286</v>
      </c>
    </row>
    <row r="1187" s="6" customFormat="1" spans="1:33">
      <c r="A1187" s="5" t="s">
        <v>5649</v>
      </c>
      <c r="B1187" s="5" t="s">
        <v>5649</v>
      </c>
      <c r="C1187" s="5" t="s">
        <v>5650</v>
      </c>
      <c r="D1187" s="5" t="s">
        <v>5651</v>
      </c>
      <c r="E1187" s="5" t="s">
        <v>36</v>
      </c>
      <c r="F1187" s="5" t="s">
        <v>37</v>
      </c>
      <c r="G1187" s="5" t="s">
        <v>38</v>
      </c>
      <c r="H1187" s="5"/>
      <c r="I1187" s="5"/>
      <c r="J1187" s="5" t="s">
        <v>39</v>
      </c>
      <c r="K1187" s="5" t="s">
        <v>3815</v>
      </c>
      <c r="L1187" s="5" t="s">
        <v>5652</v>
      </c>
      <c r="M1187" s="5" t="s">
        <v>5653</v>
      </c>
      <c r="N1187" s="5" t="s">
        <v>36</v>
      </c>
      <c r="O1187" s="5">
        <v>1</v>
      </c>
      <c r="P1187" s="5" t="s">
        <v>43</v>
      </c>
      <c r="Q1187" s="5">
        <v>15</v>
      </c>
      <c r="R1187" s="5"/>
      <c r="S1187" s="5"/>
      <c r="T1187" s="5"/>
      <c r="U1187" s="5"/>
      <c r="V1187" s="5"/>
      <c r="W1187" s="5"/>
      <c r="X1187" s="5"/>
      <c r="Y1187" s="5" t="s">
        <v>437</v>
      </c>
      <c r="Z1187" s="5" t="s">
        <v>151</v>
      </c>
      <c r="AA1187" s="5" t="s">
        <v>5654</v>
      </c>
      <c r="AB1187" s="5" t="s">
        <v>46</v>
      </c>
      <c r="AC1187" s="5"/>
      <c r="AD1187" s="5" t="b">
        <v>0</v>
      </c>
      <c r="AE1187" s="5"/>
      <c r="AF1187" s="5"/>
      <c r="AG1187" s="9">
        <f t="shared" si="18"/>
        <v>43286</v>
      </c>
    </row>
    <row r="1188" s="6" customFormat="1" spans="1:33">
      <c r="A1188" s="5" t="s">
        <v>5655</v>
      </c>
      <c r="B1188" s="5" t="s">
        <v>5655</v>
      </c>
      <c r="C1188" s="5" t="s">
        <v>5656</v>
      </c>
      <c r="D1188" s="5" t="s">
        <v>5657</v>
      </c>
      <c r="E1188" s="5" t="s">
        <v>36</v>
      </c>
      <c r="F1188" s="5" t="s">
        <v>37</v>
      </c>
      <c r="G1188" s="5" t="s">
        <v>38</v>
      </c>
      <c r="H1188" s="5"/>
      <c r="I1188" s="5"/>
      <c r="J1188" s="5" t="s">
        <v>39</v>
      </c>
      <c r="K1188" s="5" t="s">
        <v>3668</v>
      </c>
      <c r="L1188" s="5" t="s">
        <v>578</v>
      </c>
      <c r="M1188" s="5" t="s">
        <v>572</v>
      </c>
      <c r="N1188" s="5" t="s">
        <v>36</v>
      </c>
      <c r="O1188" s="5">
        <v>1</v>
      </c>
      <c r="P1188" s="5" t="s">
        <v>43</v>
      </c>
      <c r="Q1188" s="5">
        <v>24.99</v>
      </c>
      <c r="R1188" s="5"/>
      <c r="S1188" s="5"/>
      <c r="T1188" s="5"/>
      <c r="U1188" s="5"/>
      <c r="V1188" s="5"/>
      <c r="W1188" s="5"/>
      <c r="X1188" s="5"/>
      <c r="Y1188" s="5" t="s">
        <v>5658</v>
      </c>
      <c r="Z1188" s="5" t="s">
        <v>151</v>
      </c>
      <c r="AA1188" s="5" t="s">
        <v>5659</v>
      </c>
      <c r="AB1188" s="5" t="s">
        <v>46</v>
      </c>
      <c r="AC1188" s="5"/>
      <c r="AD1188" s="5" t="b">
        <v>0</v>
      </c>
      <c r="AE1188" s="5"/>
      <c r="AF1188" s="5"/>
      <c r="AG1188" s="9">
        <f t="shared" si="18"/>
        <v>43286</v>
      </c>
    </row>
    <row r="1189" s="6" customFormat="1" spans="1:33">
      <c r="A1189" s="5" t="s">
        <v>5660</v>
      </c>
      <c r="B1189" s="5" t="s">
        <v>5660</v>
      </c>
      <c r="C1189" s="5" t="s">
        <v>5661</v>
      </c>
      <c r="D1189" s="5" t="s">
        <v>5662</v>
      </c>
      <c r="E1189" s="5" t="s">
        <v>36</v>
      </c>
      <c r="F1189" s="5" t="s">
        <v>37</v>
      </c>
      <c r="G1189" s="5" t="s">
        <v>38</v>
      </c>
      <c r="H1189" s="5"/>
      <c r="I1189" s="5"/>
      <c r="J1189" s="5" t="s">
        <v>39</v>
      </c>
      <c r="K1189" s="5" t="s">
        <v>3752</v>
      </c>
      <c r="L1189" s="5" t="s">
        <v>244</v>
      </c>
      <c r="M1189" s="5" t="s">
        <v>245</v>
      </c>
      <c r="N1189" s="5" t="s">
        <v>36</v>
      </c>
      <c r="O1189" s="5">
        <v>1</v>
      </c>
      <c r="P1189" s="5" t="s">
        <v>43</v>
      </c>
      <c r="Q1189" s="5">
        <v>18.99</v>
      </c>
      <c r="R1189" s="5"/>
      <c r="S1189" s="5"/>
      <c r="T1189" s="5"/>
      <c r="U1189" s="5"/>
      <c r="V1189" s="5"/>
      <c r="W1189" s="5"/>
      <c r="X1189" s="5"/>
      <c r="Y1189" s="5" t="s">
        <v>5663</v>
      </c>
      <c r="Z1189" s="5" t="s">
        <v>105</v>
      </c>
      <c r="AA1189" s="5" t="s">
        <v>5664</v>
      </c>
      <c r="AB1189" s="5" t="s">
        <v>46</v>
      </c>
      <c r="AC1189" s="5"/>
      <c r="AD1189" s="5" t="b">
        <v>0</v>
      </c>
      <c r="AE1189" s="5"/>
      <c r="AF1189" s="5"/>
      <c r="AG1189" s="9">
        <f t="shared" si="18"/>
        <v>43286</v>
      </c>
    </row>
    <row r="1190" s="6" customFormat="1" spans="1:33">
      <c r="A1190" s="5" t="s">
        <v>5665</v>
      </c>
      <c r="B1190" s="5" t="s">
        <v>5665</v>
      </c>
      <c r="C1190" s="5" t="s">
        <v>5666</v>
      </c>
      <c r="D1190" s="5" t="s">
        <v>5667</v>
      </c>
      <c r="E1190" s="5" t="s">
        <v>36</v>
      </c>
      <c r="F1190" s="5" t="s">
        <v>37</v>
      </c>
      <c r="G1190" s="5" t="s">
        <v>38</v>
      </c>
      <c r="H1190" s="5"/>
      <c r="I1190" s="5"/>
      <c r="J1190" s="5" t="s">
        <v>39</v>
      </c>
      <c r="K1190" s="5" t="s">
        <v>4038</v>
      </c>
      <c r="L1190" s="5" t="s">
        <v>76</v>
      </c>
      <c r="M1190" s="5" t="s">
        <v>77</v>
      </c>
      <c r="N1190" s="5" t="s">
        <v>36</v>
      </c>
      <c r="O1190" s="5">
        <v>1</v>
      </c>
      <c r="P1190" s="5" t="s">
        <v>43</v>
      </c>
      <c r="Q1190" s="5">
        <v>13.99</v>
      </c>
      <c r="R1190" s="5"/>
      <c r="S1190" s="5"/>
      <c r="T1190" s="5"/>
      <c r="U1190" s="5"/>
      <c r="V1190" s="5"/>
      <c r="W1190" s="5"/>
      <c r="X1190" s="5"/>
      <c r="Y1190" s="5" t="s">
        <v>3341</v>
      </c>
      <c r="Z1190" s="5" t="s">
        <v>87</v>
      </c>
      <c r="AA1190" s="5">
        <v>23323</v>
      </c>
      <c r="AB1190" s="5" t="s">
        <v>46</v>
      </c>
      <c r="AC1190" s="5"/>
      <c r="AD1190" s="5" t="b">
        <v>0</v>
      </c>
      <c r="AE1190" s="5"/>
      <c r="AF1190" s="5"/>
      <c r="AG1190" s="9">
        <f t="shared" si="18"/>
        <v>43286</v>
      </c>
    </row>
    <row r="1191" s="6" customFormat="1" spans="1:33">
      <c r="A1191" s="5" t="s">
        <v>5668</v>
      </c>
      <c r="B1191" s="5" t="s">
        <v>5668</v>
      </c>
      <c r="C1191" s="5" t="s">
        <v>5669</v>
      </c>
      <c r="D1191" s="5" t="s">
        <v>5670</v>
      </c>
      <c r="E1191" s="5" t="s">
        <v>36</v>
      </c>
      <c r="F1191" s="5" t="s">
        <v>37</v>
      </c>
      <c r="G1191" s="5" t="s">
        <v>38</v>
      </c>
      <c r="H1191" s="5"/>
      <c r="I1191" s="5"/>
      <c r="J1191" s="5" t="s">
        <v>39</v>
      </c>
      <c r="K1191" s="5" t="s">
        <v>3645</v>
      </c>
      <c r="L1191" s="5" t="s">
        <v>51</v>
      </c>
      <c r="M1191" s="5" t="s">
        <v>52</v>
      </c>
      <c r="N1191" s="5" t="s">
        <v>36</v>
      </c>
      <c r="O1191" s="5">
        <v>1</v>
      </c>
      <c r="P1191" s="5" t="s">
        <v>43</v>
      </c>
      <c r="Q1191" s="5">
        <v>18.99</v>
      </c>
      <c r="R1191" s="5"/>
      <c r="S1191" s="5"/>
      <c r="T1191" s="5"/>
      <c r="U1191" s="5"/>
      <c r="V1191" s="5"/>
      <c r="W1191" s="5"/>
      <c r="X1191" s="5"/>
      <c r="Y1191" s="5" t="s">
        <v>5344</v>
      </c>
      <c r="Z1191" s="5" t="s">
        <v>463</v>
      </c>
      <c r="AA1191" s="5" t="s">
        <v>5671</v>
      </c>
      <c r="AB1191" s="5" t="s">
        <v>46</v>
      </c>
      <c r="AC1191" s="5"/>
      <c r="AD1191" s="5" t="b">
        <v>0</v>
      </c>
      <c r="AE1191" s="5"/>
      <c r="AF1191" s="5"/>
      <c r="AG1191" s="9">
        <f t="shared" si="18"/>
        <v>43286</v>
      </c>
    </row>
    <row r="1192" s="6" customFormat="1" spans="1:33">
      <c r="A1192" s="5" t="s">
        <v>5672</v>
      </c>
      <c r="B1192" s="5" t="s">
        <v>5672</v>
      </c>
      <c r="C1192" s="5" t="s">
        <v>5673</v>
      </c>
      <c r="D1192" s="5" t="s">
        <v>5674</v>
      </c>
      <c r="E1192" s="5" t="s">
        <v>36</v>
      </c>
      <c r="F1192" s="5" t="s">
        <v>37</v>
      </c>
      <c r="G1192" s="5" t="s">
        <v>38</v>
      </c>
      <c r="H1192" s="5"/>
      <c r="I1192" s="5"/>
      <c r="J1192" s="5" t="s">
        <v>39</v>
      </c>
      <c r="K1192" s="5" t="s">
        <v>4038</v>
      </c>
      <c r="L1192" s="5" t="s">
        <v>76</v>
      </c>
      <c r="M1192" s="5" t="s">
        <v>77</v>
      </c>
      <c r="N1192" s="5" t="s">
        <v>36</v>
      </c>
      <c r="O1192" s="5">
        <v>1</v>
      </c>
      <c r="P1192" s="5" t="s">
        <v>43</v>
      </c>
      <c r="Q1192" s="5">
        <v>13.99</v>
      </c>
      <c r="R1192" s="5"/>
      <c r="S1192" s="5"/>
      <c r="T1192" s="5"/>
      <c r="U1192" s="5"/>
      <c r="V1192" s="5"/>
      <c r="W1192" s="5"/>
      <c r="X1192" s="5"/>
      <c r="Y1192" s="5" t="s">
        <v>5675</v>
      </c>
      <c r="Z1192" s="5" t="s">
        <v>377</v>
      </c>
      <c r="AA1192" s="5">
        <v>2472</v>
      </c>
      <c r="AB1192" s="5" t="s">
        <v>46</v>
      </c>
      <c r="AC1192" s="5"/>
      <c r="AD1192" s="5" t="b">
        <v>0</v>
      </c>
      <c r="AE1192" s="5"/>
      <c r="AF1192" s="5"/>
      <c r="AG1192" s="9">
        <f t="shared" si="18"/>
        <v>43286</v>
      </c>
    </row>
    <row r="1193" s="6" customFormat="1" spans="1:33">
      <c r="A1193" s="5" t="s">
        <v>5676</v>
      </c>
      <c r="B1193" s="5" t="s">
        <v>5676</v>
      </c>
      <c r="C1193" s="5" t="s">
        <v>5677</v>
      </c>
      <c r="D1193" s="5" t="s">
        <v>5678</v>
      </c>
      <c r="E1193" s="5" t="s">
        <v>36</v>
      </c>
      <c r="F1193" s="5" t="s">
        <v>37</v>
      </c>
      <c r="G1193" s="5" t="s">
        <v>38</v>
      </c>
      <c r="H1193" s="5"/>
      <c r="I1193" s="5"/>
      <c r="J1193" s="5" t="s">
        <v>39</v>
      </c>
      <c r="K1193" s="5" t="s">
        <v>409</v>
      </c>
      <c r="L1193" s="5" t="s">
        <v>5679</v>
      </c>
      <c r="M1193" s="5" t="s">
        <v>5680</v>
      </c>
      <c r="N1193" s="5" t="s">
        <v>36</v>
      </c>
      <c r="O1193" s="5">
        <v>1</v>
      </c>
      <c r="P1193" s="5" t="s">
        <v>43</v>
      </c>
      <c r="Q1193" s="5">
        <v>9.9</v>
      </c>
      <c r="R1193" s="5"/>
      <c r="S1193" s="5"/>
      <c r="T1193" s="5"/>
      <c r="U1193" s="5"/>
      <c r="V1193" s="5"/>
      <c r="W1193" s="5"/>
      <c r="X1193" s="5"/>
      <c r="Y1193" s="5" t="s">
        <v>3866</v>
      </c>
      <c r="Z1193" s="5" t="s">
        <v>183</v>
      </c>
      <c r="AA1193" s="5" t="s">
        <v>3867</v>
      </c>
      <c r="AB1193" s="5" t="s">
        <v>46</v>
      </c>
      <c r="AC1193" s="5"/>
      <c r="AD1193" s="5" t="b">
        <v>0</v>
      </c>
      <c r="AE1193" s="5"/>
      <c r="AF1193" s="5"/>
      <c r="AG1193" s="9">
        <f t="shared" si="18"/>
        <v>43286</v>
      </c>
    </row>
    <row r="1194" s="6" customFormat="1" spans="1:33">
      <c r="A1194" s="5" t="s">
        <v>5681</v>
      </c>
      <c r="B1194" s="5" t="s">
        <v>5681</v>
      </c>
      <c r="C1194" s="5" t="s">
        <v>5682</v>
      </c>
      <c r="D1194" s="5" t="s">
        <v>5683</v>
      </c>
      <c r="E1194" s="5" t="s">
        <v>36</v>
      </c>
      <c r="F1194" s="5" t="s">
        <v>37</v>
      </c>
      <c r="G1194" s="5" t="s">
        <v>38</v>
      </c>
      <c r="H1194" s="5"/>
      <c r="I1194" s="5"/>
      <c r="J1194" s="5" t="s">
        <v>128</v>
      </c>
      <c r="K1194" s="5" t="s">
        <v>4085</v>
      </c>
      <c r="L1194" s="5" t="s">
        <v>102</v>
      </c>
      <c r="M1194" s="5" t="s">
        <v>103</v>
      </c>
      <c r="N1194" s="5" t="s">
        <v>36</v>
      </c>
      <c r="O1194" s="5">
        <v>1</v>
      </c>
      <c r="P1194" s="5" t="s">
        <v>43</v>
      </c>
      <c r="Q1194" s="5">
        <v>13.99</v>
      </c>
      <c r="R1194" s="5"/>
      <c r="S1194" s="5">
        <v>5.99</v>
      </c>
      <c r="T1194" s="5"/>
      <c r="U1194" s="5"/>
      <c r="V1194" s="5"/>
      <c r="W1194" s="5"/>
      <c r="X1194" s="5"/>
      <c r="Y1194" s="5" t="s">
        <v>5684</v>
      </c>
      <c r="Z1194" s="5" t="s">
        <v>335</v>
      </c>
      <c r="AA1194" s="5" t="s">
        <v>5685</v>
      </c>
      <c r="AB1194" s="5" t="s">
        <v>46</v>
      </c>
      <c r="AC1194" s="5"/>
      <c r="AD1194" s="5" t="b">
        <v>0</v>
      </c>
      <c r="AE1194" s="5"/>
      <c r="AF1194" s="5"/>
      <c r="AG1194" s="9">
        <f t="shared" si="18"/>
        <v>43286</v>
      </c>
    </row>
    <row r="1195" s="6" customFormat="1" spans="1:33">
      <c r="A1195" s="5" t="s">
        <v>5686</v>
      </c>
      <c r="B1195" s="5" t="s">
        <v>5687</v>
      </c>
      <c r="C1195" s="5" t="s">
        <v>5688</v>
      </c>
      <c r="D1195" s="5" t="s">
        <v>5689</v>
      </c>
      <c r="E1195" s="5" t="s">
        <v>4663</v>
      </c>
      <c r="F1195" s="5" t="s">
        <v>37</v>
      </c>
      <c r="G1195" s="5" t="s">
        <v>1121</v>
      </c>
      <c r="H1195" s="5"/>
      <c r="I1195" s="5"/>
      <c r="J1195" s="5" t="s">
        <v>128</v>
      </c>
      <c r="K1195" s="5" t="s">
        <v>3645</v>
      </c>
      <c r="L1195" s="5" t="s">
        <v>3383</v>
      </c>
      <c r="M1195" s="5" t="s">
        <v>52</v>
      </c>
      <c r="N1195" s="5" t="s">
        <v>833</v>
      </c>
      <c r="O1195" s="5">
        <v>2</v>
      </c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 t="b">
        <v>0</v>
      </c>
      <c r="AE1195" s="5"/>
      <c r="AF1195" s="5"/>
      <c r="AG1195" s="9">
        <f t="shared" si="18"/>
        <v>43287</v>
      </c>
    </row>
    <row r="1196" s="6" customFormat="1" spans="1:33">
      <c r="A1196" s="5" t="s">
        <v>5690</v>
      </c>
      <c r="B1196" s="5" t="s">
        <v>5690</v>
      </c>
      <c r="C1196" s="5" t="s">
        <v>5691</v>
      </c>
      <c r="D1196" s="5" t="s">
        <v>5692</v>
      </c>
      <c r="E1196" s="5" t="s">
        <v>36</v>
      </c>
      <c r="F1196" s="5" t="s">
        <v>37</v>
      </c>
      <c r="G1196" s="5" t="s">
        <v>38</v>
      </c>
      <c r="H1196" s="5"/>
      <c r="I1196" s="5"/>
      <c r="J1196" s="5" t="s">
        <v>39</v>
      </c>
      <c r="K1196" s="5" t="s">
        <v>4038</v>
      </c>
      <c r="L1196" s="5" t="s">
        <v>76</v>
      </c>
      <c r="M1196" s="5" t="s">
        <v>77</v>
      </c>
      <c r="N1196" s="5" t="s">
        <v>36</v>
      </c>
      <c r="O1196" s="5">
        <v>1</v>
      </c>
      <c r="P1196" s="5" t="s">
        <v>43</v>
      </c>
      <c r="Q1196" s="5">
        <v>13.99</v>
      </c>
      <c r="R1196" s="5"/>
      <c r="S1196" s="5"/>
      <c r="T1196" s="5"/>
      <c r="U1196" s="5"/>
      <c r="V1196" s="5"/>
      <c r="W1196" s="5"/>
      <c r="X1196" s="5"/>
      <c r="Y1196" s="5" t="s">
        <v>5693</v>
      </c>
      <c r="Z1196" s="5" t="s">
        <v>377</v>
      </c>
      <c r="AA1196" s="5" t="s">
        <v>5694</v>
      </c>
      <c r="AB1196" s="5" t="s">
        <v>46</v>
      </c>
      <c r="AC1196" s="5"/>
      <c r="AD1196" s="5" t="b">
        <v>0</v>
      </c>
      <c r="AE1196" s="5"/>
      <c r="AF1196" s="5"/>
      <c r="AG1196" s="9">
        <f t="shared" si="18"/>
        <v>43287</v>
      </c>
    </row>
    <row r="1197" s="6" customFormat="1" spans="1:33">
      <c r="A1197" s="5" t="s">
        <v>5695</v>
      </c>
      <c r="B1197" s="5" t="s">
        <v>5695</v>
      </c>
      <c r="C1197" s="5" t="s">
        <v>5696</v>
      </c>
      <c r="D1197" s="5" t="s">
        <v>5697</v>
      </c>
      <c r="E1197" s="5" t="s">
        <v>36</v>
      </c>
      <c r="F1197" s="5" t="s">
        <v>37</v>
      </c>
      <c r="G1197" s="5" t="s">
        <v>38</v>
      </c>
      <c r="H1197" s="5"/>
      <c r="I1197" s="5"/>
      <c r="J1197" s="5" t="s">
        <v>39</v>
      </c>
      <c r="K1197" s="5" t="s">
        <v>4038</v>
      </c>
      <c r="L1197" s="5" t="s">
        <v>76</v>
      </c>
      <c r="M1197" s="5" t="s">
        <v>77</v>
      </c>
      <c r="N1197" s="5" t="s">
        <v>36</v>
      </c>
      <c r="O1197" s="5">
        <v>1</v>
      </c>
      <c r="P1197" s="5" t="s">
        <v>43</v>
      </c>
      <c r="Q1197" s="5">
        <v>13.99</v>
      </c>
      <c r="R1197" s="5"/>
      <c r="S1197" s="5"/>
      <c r="T1197" s="5"/>
      <c r="U1197" s="5"/>
      <c r="V1197" s="5"/>
      <c r="W1197" s="5"/>
      <c r="X1197" s="5"/>
      <c r="Y1197" s="5" t="s">
        <v>1684</v>
      </c>
      <c r="Z1197" s="5" t="s">
        <v>142</v>
      </c>
      <c r="AA1197" s="5">
        <v>33191</v>
      </c>
      <c r="AB1197" s="5" t="s">
        <v>46</v>
      </c>
      <c r="AC1197" s="5"/>
      <c r="AD1197" s="5" t="b">
        <v>0</v>
      </c>
      <c r="AE1197" s="5"/>
      <c r="AF1197" s="5"/>
      <c r="AG1197" s="9">
        <f t="shared" si="18"/>
        <v>43287</v>
      </c>
    </row>
    <row r="1198" s="6" customFormat="1" spans="1:33">
      <c r="A1198" s="5" t="s">
        <v>5698</v>
      </c>
      <c r="B1198" s="5" t="s">
        <v>5698</v>
      </c>
      <c r="C1198" s="5" t="s">
        <v>5699</v>
      </c>
      <c r="D1198" s="5" t="s">
        <v>5700</v>
      </c>
      <c r="E1198" s="5" t="s">
        <v>36</v>
      </c>
      <c r="F1198" s="5" t="s">
        <v>37</v>
      </c>
      <c r="G1198" s="5" t="s">
        <v>38</v>
      </c>
      <c r="H1198" s="5"/>
      <c r="I1198" s="5"/>
      <c r="J1198" s="5" t="s">
        <v>287</v>
      </c>
      <c r="K1198" s="5" t="s">
        <v>3645</v>
      </c>
      <c r="L1198" s="5" t="s">
        <v>51</v>
      </c>
      <c r="M1198" s="5" t="s">
        <v>52</v>
      </c>
      <c r="N1198" s="5" t="s">
        <v>36</v>
      </c>
      <c r="O1198" s="5">
        <v>1</v>
      </c>
      <c r="P1198" s="5" t="s">
        <v>43</v>
      </c>
      <c r="Q1198" s="5">
        <v>18.99</v>
      </c>
      <c r="R1198" s="5"/>
      <c r="S1198" s="5">
        <v>3</v>
      </c>
      <c r="T1198" s="5"/>
      <c r="U1198" s="5"/>
      <c r="V1198" s="5"/>
      <c r="W1198" s="5"/>
      <c r="X1198" s="5"/>
      <c r="Y1198" s="5" t="s">
        <v>5701</v>
      </c>
      <c r="Z1198" s="5" t="s">
        <v>96</v>
      </c>
      <c r="AA1198" s="5" t="s">
        <v>5702</v>
      </c>
      <c r="AB1198" s="5" t="s">
        <v>46</v>
      </c>
      <c r="AC1198" s="5"/>
      <c r="AD1198" s="5" t="b">
        <v>0</v>
      </c>
      <c r="AE1198" s="5"/>
      <c r="AF1198" s="5"/>
      <c r="AG1198" s="9">
        <f t="shared" si="18"/>
        <v>43287</v>
      </c>
    </row>
    <row r="1199" s="6" customFormat="1" spans="1:33">
      <c r="A1199" s="5" t="s">
        <v>5703</v>
      </c>
      <c r="B1199" s="5" t="s">
        <v>5703</v>
      </c>
      <c r="C1199" s="5" t="s">
        <v>5704</v>
      </c>
      <c r="D1199" s="5" t="s">
        <v>5705</v>
      </c>
      <c r="E1199" s="5" t="s">
        <v>36</v>
      </c>
      <c r="F1199" s="5" t="s">
        <v>37</v>
      </c>
      <c r="G1199" s="5" t="s">
        <v>38</v>
      </c>
      <c r="H1199" s="5"/>
      <c r="I1199" s="5"/>
      <c r="J1199" s="5" t="s">
        <v>39</v>
      </c>
      <c r="K1199" s="5" t="s">
        <v>4038</v>
      </c>
      <c r="L1199" s="5" t="s">
        <v>76</v>
      </c>
      <c r="M1199" s="5" t="s">
        <v>77</v>
      </c>
      <c r="N1199" s="5" t="s">
        <v>36</v>
      </c>
      <c r="O1199" s="5">
        <v>1</v>
      </c>
      <c r="P1199" s="5" t="s">
        <v>43</v>
      </c>
      <c r="Q1199" s="5">
        <v>13.99</v>
      </c>
      <c r="R1199" s="5"/>
      <c r="S1199" s="5"/>
      <c r="T1199" s="5"/>
      <c r="U1199" s="5"/>
      <c r="V1199" s="5"/>
      <c r="W1199" s="5"/>
      <c r="X1199" s="5"/>
      <c r="Y1199" s="5" t="s">
        <v>5706</v>
      </c>
      <c r="Z1199" s="5" t="s">
        <v>5707</v>
      </c>
      <c r="AA1199" s="5">
        <v>35022</v>
      </c>
      <c r="AB1199" s="5" t="s">
        <v>46</v>
      </c>
      <c r="AC1199" s="5"/>
      <c r="AD1199" s="5" t="b">
        <v>0</v>
      </c>
      <c r="AE1199" s="5"/>
      <c r="AF1199" s="5"/>
      <c r="AG1199" s="9">
        <f t="shared" si="18"/>
        <v>43287</v>
      </c>
    </row>
    <row r="1200" s="6" customFormat="1" spans="1:33">
      <c r="A1200" s="5" t="s">
        <v>5708</v>
      </c>
      <c r="B1200" s="5" t="s">
        <v>5708</v>
      </c>
      <c r="C1200" s="5" t="s">
        <v>5709</v>
      </c>
      <c r="D1200" s="5" t="s">
        <v>5710</v>
      </c>
      <c r="E1200" s="5" t="s">
        <v>5238</v>
      </c>
      <c r="F1200" s="5" t="s">
        <v>37</v>
      </c>
      <c r="G1200" s="5" t="s">
        <v>38</v>
      </c>
      <c r="H1200" s="5"/>
      <c r="I1200" s="5"/>
      <c r="J1200" s="5" t="s">
        <v>128</v>
      </c>
      <c r="K1200" s="5" t="s">
        <v>3645</v>
      </c>
      <c r="L1200" s="5" t="s">
        <v>51</v>
      </c>
      <c r="M1200" s="5" t="s">
        <v>52</v>
      </c>
      <c r="N1200" s="5" t="s">
        <v>833</v>
      </c>
      <c r="O1200" s="5">
        <v>1</v>
      </c>
      <c r="P1200" s="5" t="s">
        <v>43</v>
      </c>
      <c r="Q1200" s="5">
        <v>18.99</v>
      </c>
      <c r="R1200" s="5">
        <v>1.9</v>
      </c>
      <c r="S1200" s="5">
        <v>1.39</v>
      </c>
      <c r="T1200" s="5"/>
      <c r="U1200" s="5"/>
      <c r="V1200" s="5"/>
      <c r="W1200" s="5"/>
      <c r="X1200" s="5">
        <v>1.39</v>
      </c>
      <c r="Y1200" s="5" t="s">
        <v>5711</v>
      </c>
      <c r="Z1200" s="5" t="s">
        <v>843</v>
      </c>
      <c r="AA1200" s="5" t="s">
        <v>5712</v>
      </c>
      <c r="AB1200" s="5" t="s">
        <v>46</v>
      </c>
      <c r="AC1200" s="5" t="s">
        <v>225</v>
      </c>
      <c r="AD1200" s="5" t="b">
        <v>0</v>
      </c>
      <c r="AE1200" s="5"/>
      <c r="AF1200" s="5"/>
      <c r="AG1200" s="9">
        <f t="shared" si="18"/>
        <v>43287</v>
      </c>
    </row>
    <row r="1201" s="6" customFormat="1" spans="1:33">
      <c r="A1201" s="5" t="s">
        <v>5713</v>
      </c>
      <c r="B1201" s="5" t="s">
        <v>5713</v>
      </c>
      <c r="C1201" s="5" t="s">
        <v>5714</v>
      </c>
      <c r="D1201" s="5" t="s">
        <v>5715</v>
      </c>
      <c r="E1201" s="5" t="s">
        <v>36</v>
      </c>
      <c r="F1201" s="5" t="s">
        <v>37</v>
      </c>
      <c r="G1201" s="5" t="s">
        <v>38</v>
      </c>
      <c r="H1201" s="5"/>
      <c r="I1201" s="5"/>
      <c r="J1201" s="5" t="s">
        <v>39</v>
      </c>
      <c r="K1201" s="5" t="s">
        <v>4085</v>
      </c>
      <c r="L1201" s="5" t="s">
        <v>102</v>
      </c>
      <c r="M1201" s="5" t="s">
        <v>103</v>
      </c>
      <c r="N1201" s="5" t="s">
        <v>36</v>
      </c>
      <c r="O1201" s="5">
        <v>2</v>
      </c>
      <c r="P1201" s="5" t="s">
        <v>43</v>
      </c>
      <c r="Q1201" s="5">
        <v>27.98</v>
      </c>
      <c r="R1201" s="5"/>
      <c r="S1201" s="5"/>
      <c r="T1201" s="5"/>
      <c r="U1201" s="5"/>
      <c r="V1201" s="5"/>
      <c r="W1201" s="5"/>
      <c r="X1201" s="5"/>
      <c r="Y1201" s="5" t="s">
        <v>1702</v>
      </c>
      <c r="Z1201" s="5" t="s">
        <v>142</v>
      </c>
      <c r="AA1201" s="5" t="s">
        <v>5716</v>
      </c>
      <c r="AB1201" s="5" t="s">
        <v>46</v>
      </c>
      <c r="AC1201" s="5"/>
      <c r="AD1201" s="5" t="b">
        <v>0</v>
      </c>
      <c r="AE1201" s="5"/>
      <c r="AF1201" s="5"/>
      <c r="AG1201" s="9">
        <f t="shared" si="18"/>
        <v>43287</v>
      </c>
    </row>
    <row r="1202" s="6" customFormat="1" spans="1:33">
      <c r="A1202" s="5" t="s">
        <v>5717</v>
      </c>
      <c r="B1202" s="5" t="s">
        <v>5717</v>
      </c>
      <c r="C1202" s="5" t="s">
        <v>5718</v>
      </c>
      <c r="D1202" s="5" t="s">
        <v>5719</v>
      </c>
      <c r="E1202" s="5" t="s">
        <v>5238</v>
      </c>
      <c r="F1202" s="5" t="s">
        <v>37</v>
      </c>
      <c r="G1202" s="5" t="s">
        <v>38</v>
      </c>
      <c r="H1202" s="5"/>
      <c r="I1202" s="5"/>
      <c r="J1202" s="5" t="s">
        <v>128</v>
      </c>
      <c r="K1202" s="5" t="s">
        <v>4085</v>
      </c>
      <c r="L1202" s="5" t="s">
        <v>102</v>
      </c>
      <c r="M1202" s="5" t="s">
        <v>103</v>
      </c>
      <c r="N1202" s="5" t="s">
        <v>833</v>
      </c>
      <c r="O1202" s="5">
        <v>1</v>
      </c>
      <c r="P1202" s="5" t="s">
        <v>43</v>
      </c>
      <c r="Q1202" s="5">
        <v>13.99</v>
      </c>
      <c r="R1202" s="5"/>
      <c r="S1202" s="5"/>
      <c r="T1202" s="5"/>
      <c r="U1202" s="5"/>
      <c r="V1202" s="5"/>
      <c r="W1202" s="5"/>
      <c r="X1202" s="5"/>
      <c r="Y1202" s="5" t="s">
        <v>5720</v>
      </c>
      <c r="Z1202" s="5" t="s">
        <v>377</v>
      </c>
      <c r="AA1202" s="5" t="s">
        <v>5721</v>
      </c>
      <c r="AB1202" s="5" t="s">
        <v>46</v>
      </c>
      <c r="AC1202" s="5"/>
      <c r="AD1202" s="5" t="b">
        <v>0</v>
      </c>
      <c r="AE1202" s="5"/>
      <c r="AF1202" s="5"/>
      <c r="AG1202" s="9">
        <f t="shared" si="18"/>
        <v>43287</v>
      </c>
    </row>
    <row r="1203" s="6" customFormat="1" spans="1:33">
      <c r="A1203" s="5" t="s">
        <v>5722</v>
      </c>
      <c r="B1203" s="5" t="s">
        <v>5722</v>
      </c>
      <c r="C1203" s="5" t="s">
        <v>5723</v>
      </c>
      <c r="D1203" s="5" t="s">
        <v>5724</v>
      </c>
      <c r="E1203" s="5" t="s">
        <v>36</v>
      </c>
      <c r="F1203" s="5" t="s">
        <v>37</v>
      </c>
      <c r="G1203" s="5" t="s">
        <v>38</v>
      </c>
      <c r="H1203" s="5"/>
      <c r="I1203" s="5"/>
      <c r="J1203" s="5" t="s">
        <v>39</v>
      </c>
      <c r="K1203" s="5" t="s">
        <v>4155</v>
      </c>
      <c r="L1203" s="5" t="s">
        <v>111</v>
      </c>
      <c r="M1203" s="5" t="s">
        <v>112</v>
      </c>
      <c r="N1203" s="5" t="s">
        <v>36</v>
      </c>
      <c r="O1203" s="5">
        <v>1</v>
      </c>
      <c r="P1203" s="5" t="s">
        <v>43</v>
      </c>
      <c r="Q1203" s="5">
        <v>13.99</v>
      </c>
      <c r="R1203" s="5"/>
      <c r="S1203" s="5"/>
      <c r="T1203" s="5"/>
      <c r="U1203" s="5"/>
      <c r="V1203" s="5"/>
      <c r="W1203" s="5"/>
      <c r="X1203" s="5"/>
      <c r="Y1203" s="5" t="s">
        <v>5725</v>
      </c>
      <c r="Z1203" s="5" t="s">
        <v>5113</v>
      </c>
      <c r="AA1203" s="5" t="s">
        <v>5726</v>
      </c>
      <c r="AB1203" s="5" t="s">
        <v>46</v>
      </c>
      <c r="AC1203" s="5"/>
      <c r="AD1203" s="5" t="b">
        <v>0</v>
      </c>
      <c r="AE1203" s="5"/>
      <c r="AF1203" s="5"/>
      <c r="AG1203" s="9">
        <f t="shared" si="18"/>
        <v>43287</v>
      </c>
    </row>
    <row r="1204" s="6" customFormat="1" spans="1:33">
      <c r="A1204" s="5" t="s">
        <v>5727</v>
      </c>
      <c r="B1204" s="5" t="s">
        <v>5727</v>
      </c>
      <c r="C1204" s="5" t="s">
        <v>5728</v>
      </c>
      <c r="D1204" s="5" t="s">
        <v>5729</v>
      </c>
      <c r="E1204" s="5" t="s">
        <v>36</v>
      </c>
      <c r="F1204" s="5" t="s">
        <v>37</v>
      </c>
      <c r="G1204" s="5" t="s">
        <v>38</v>
      </c>
      <c r="H1204" s="5"/>
      <c r="I1204" s="5"/>
      <c r="J1204" s="5" t="s">
        <v>39</v>
      </c>
      <c r="K1204" s="5" t="s">
        <v>3752</v>
      </c>
      <c r="L1204" s="5" t="s">
        <v>244</v>
      </c>
      <c r="M1204" s="5" t="s">
        <v>245</v>
      </c>
      <c r="N1204" s="5" t="s">
        <v>36</v>
      </c>
      <c r="O1204" s="5">
        <v>1</v>
      </c>
      <c r="P1204" s="5" t="s">
        <v>43</v>
      </c>
      <c r="Q1204" s="5">
        <v>18.99</v>
      </c>
      <c r="R1204" s="5"/>
      <c r="S1204" s="5"/>
      <c r="T1204" s="5"/>
      <c r="U1204" s="5"/>
      <c r="V1204" s="5"/>
      <c r="W1204" s="5"/>
      <c r="X1204" s="5"/>
      <c r="Y1204" s="5" t="s">
        <v>834</v>
      </c>
      <c r="Z1204" s="5" t="s">
        <v>218</v>
      </c>
      <c r="AA1204" s="5" t="s">
        <v>5730</v>
      </c>
      <c r="AB1204" s="5" t="s">
        <v>46</v>
      </c>
      <c r="AC1204" s="5"/>
      <c r="AD1204" s="5" t="b">
        <v>0</v>
      </c>
      <c r="AE1204" s="5"/>
      <c r="AF1204" s="5"/>
      <c r="AG1204" s="9">
        <f t="shared" si="18"/>
        <v>43287</v>
      </c>
    </row>
    <row r="1205" s="6" customFormat="1" spans="1:33">
      <c r="A1205" s="5" t="s">
        <v>5731</v>
      </c>
      <c r="B1205" s="5" t="s">
        <v>5731</v>
      </c>
      <c r="C1205" s="5" t="s">
        <v>5732</v>
      </c>
      <c r="D1205" s="5" t="s">
        <v>5733</v>
      </c>
      <c r="E1205" s="5" t="s">
        <v>36</v>
      </c>
      <c r="F1205" s="5" t="s">
        <v>37</v>
      </c>
      <c r="G1205" s="5" t="s">
        <v>38</v>
      </c>
      <c r="H1205" s="5"/>
      <c r="I1205" s="5"/>
      <c r="J1205" s="5" t="s">
        <v>39</v>
      </c>
      <c r="K1205" s="5" t="s">
        <v>4085</v>
      </c>
      <c r="L1205" s="5" t="s">
        <v>102</v>
      </c>
      <c r="M1205" s="5" t="s">
        <v>103</v>
      </c>
      <c r="N1205" s="5" t="s">
        <v>36</v>
      </c>
      <c r="O1205" s="5">
        <v>1</v>
      </c>
      <c r="P1205" s="5" t="s">
        <v>43</v>
      </c>
      <c r="Q1205" s="5">
        <v>13.99</v>
      </c>
      <c r="R1205" s="5"/>
      <c r="S1205" s="5"/>
      <c r="T1205" s="5"/>
      <c r="U1205" s="5"/>
      <c r="V1205" s="5"/>
      <c r="W1205" s="5"/>
      <c r="X1205" s="5"/>
      <c r="Y1205" s="5" t="s">
        <v>5734</v>
      </c>
      <c r="Z1205" s="5" t="s">
        <v>105</v>
      </c>
      <c r="AA1205" s="5">
        <v>8046</v>
      </c>
      <c r="AB1205" s="5" t="s">
        <v>46</v>
      </c>
      <c r="AC1205" s="5"/>
      <c r="AD1205" s="5" t="b">
        <v>0</v>
      </c>
      <c r="AE1205" s="5"/>
      <c r="AF1205" s="5"/>
      <c r="AG1205" s="9">
        <f t="shared" si="18"/>
        <v>43287</v>
      </c>
    </row>
    <row r="1206" s="6" customFormat="1" spans="1:33">
      <c r="A1206" s="5" t="s">
        <v>5735</v>
      </c>
      <c r="B1206" s="5" t="s">
        <v>5735</v>
      </c>
      <c r="C1206" s="5" t="s">
        <v>5736</v>
      </c>
      <c r="D1206" s="5" t="s">
        <v>5737</v>
      </c>
      <c r="E1206" s="5" t="s">
        <v>36</v>
      </c>
      <c r="F1206" s="5" t="s">
        <v>37</v>
      </c>
      <c r="G1206" s="5" t="s">
        <v>38</v>
      </c>
      <c r="H1206" s="5"/>
      <c r="I1206" s="5"/>
      <c r="J1206" s="5" t="s">
        <v>39</v>
      </c>
      <c r="K1206" s="5" t="s">
        <v>3668</v>
      </c>
      <c r="L1206" s="5" t="s">
        <v>578</v>
      </c>
      <c r="M1206" s="5" t="s">
        <v>572</v>
      </c>
      <c r="N1206" s="5" t="s">
        <v>36</v>
      </c>
      <c r="O1206" s="5">
        <v>1</v>
      </c>
      <c r="P1206" s="5" t="s">
        <v>43</v>
      </c>
      <c r="Q1206" s="5">
        <v>24.99</v>
      </c>
      <c r="R1206" s="5">
        <v>2.47</v>
      </c>
      <c r="S1206" s="5"/>
      <c r="T1206" s="5"/>
      <c r="U1206" s="5"/>
      <c r="V1206" s="5"/>
      <c r="W1206" s="5"/>
      <c r="X1206" s="5"/>
      <c r="Y1206" s="5" t="s">
        <v>5738</v>
      </c>
      <c r="Z1206" s="5" t="s">
        <v>474</v>
      </c>
      <c r="AA1206" s="5">
        <v>98371</v>
      </c>
      <c r="AB1206" s="5" t="s">
        <v>46</v>
      </c>
      <c r="AC1206" s="5"/>
      <c r="AD1206" s="5" t="b">
        <v>0</v>
      </c>
      <c r="AE1206" s="5"/>
      <c r="AF1206" s="5"/>
      <c r="AG1206" s="9">
        <f t="shared" si="18"/>
        <v>43287</v>
      </c>
    </row>
    <row r="1207" s="6" customFormat="1" spans="1:33">
      <c r="A1207" s="5" t="s">
        <v>5739</v>
      </c>
      <c r="B1207" s="5" t="s">
        <v>5739</v>
      </c>
      <c r="C1207" s="5" t="s">
        <v>5740</v>
      </c>
      <c r="D1207" s="5" t="s">
        <v>5741</v>
      </c>
      <c r="E1207" s="5" t="s">
        <v>36</v>
      </c>
      <c r="F1207" s="5" t="s">
        <v>37</v>
      </c>
      <c r="G1207" s="5" t="s">
        <v>38</v>
      </c>
      <c r="H1207" s="5"/>
      <c r="I1207" s="5"/>
      <c r="J1207" s="5" t="s">
        <v>39</v>
      </c>
      <c r="K1207" s="5" t="s">
        <v>3752</v>
      </c>
      <c r="L1207" s="5" t="s">
        <v>244</v>
      </c>
      <c r="M1207" s="5" t="s">
        <v>245</v>
      </c>
      <c r="N1207" s="5" t="s">
        <v>36</v>
      </c>
      <c r="O1207" s="5">
        <v>1</v>
      </c>
      <c r="P1207" s="5" t="s">
        <v>43</v>
      </c>
      <c r="Q1207" s="5">
        <v>18.99</v>
      </c>
      <c r="R1207" s="5"/>
      <c r="S1207" s="5"/>
      <c r="T1207" s="5"/>
      <c r="U1207" s="5"/>
      <c r="V1207" s="5"/>
      <c r="W1207" s="5"/>
      <c r="X1207" s="5"/>
      <c r="Y1207" s="5" t="s">
        <v>955</v>
      </c>
      <c r="Z1207" s="5" t="s">
        <v>142</v>
      </c>
      <c r="AA1207" s="5" t="s">
        <v>5742</v>
      </c>
      <c r="AB1207" s="5" t="s">
        <v>46</v>
      </c>
      <c r="AC1207" s="5"/>
      <c r="AD1207" s="5" t="b">
        <v>0</v>
      </c>
      <c r="AE1207" s="5"/>
      <c r="AF1207" s="5"/>
      <c r="AG1207" s="9">
        <f t="shared" si="18"/>
        <v>43287</v>
      </c>
    </row>
    <row r="1208" s="6" customFormat="1" spans="1:33">
      <c r="A1208" s="5" t="s">
        <v>5743</v>
      </c>
      <c r="B1208" s="5" t="s">
        <v>5743</v>
      </c>
      <c r="C1208" s="5" t="s">
        <v>5744</v>
      </c>
      <c r="D1208" s="5" t="s">
        <v>5745</v>
      </c>
      <c r="E1208" s="5" t="s">
        <v>36</v>
      </c>
      <c r="F1208" s="5" t="s">
        <v>37</v>
      </c>
      <c r="G1208" s="5" t="s">
        <v>38</v>
      </c>
      <c r="H1208" s="5"/>
      <c r="I1208" s="5"/>
      <c r="J1208" s="5" t="s">
        <v>39</v>
      </c>
      <c r="K1208" s="5" t="s">
        <v>4038</v>
      </c>
      <c r="L1208" s="5" t="s">
        <v>76</v>
      </c>
      <c r="M1208" s="5" t="s">
        <v>77</v>
      </c>
      <c r="N1208" s="5" t="s">
        <v>36</v>
      </c>
      <c r="O1208" s="5">
        <v>1</v>
      </c>
      <c r="P1208" s="5" t="s">
        <v>43</v>
      </c>
      <c r="Q1208" s="5">
        <v>13.99</v>
      </c>
      <c r="R1208" s="5"/>
      <c r="S1208" s="5"/>
      <c r="T1208" s="5"/>
      <c r="U1208" s="5"/>
      <c r="V1208" s="5"/>
      <c r="W1208" s="5"/>
      <c r="X1208" s="5"/>
      <c r="Y1208" s="5" t="s">
        <v>5233</v>
      </c>
      <c r="Z1208" s="5" t="s">
        <v>142</v>
      </c>
      <c r="AA1208" s="5" t="s">
        <v>5746</v>
      </c>
      <c r="AB1208" s="5" t="s">
        <v>46</v>
      </c>
      <c r="AC1208" s="5"/>
      <c r="AD1208" s="5" t="b">
        <v>0</v>
      </c>
      <c r="AE1208" s="5"/>
      <c r="AF1208" s="5"/>
      <c r="AG1208" s="9">
        <f t="shared" si="18"/>
        <v>43287</v>
      </c>
    </row>
    <row r="1209" s="6" customFormat="1" spans="1:33">
      <c r="A1209" s="5" t="s">
        <v>5747</v>
      </c>
      <c r="B1209" s="5" t="s">
        <v>5747</v>
      </c>
      <c r="C1209" s="5" t="s">
        <v>5748</v>
      </c>
      <c r="D1209" s="5" t="s">
        <v>5749</v>
      </c>
      <c r="E1209" s="5" t="s">
        <v>36</v>
      </c>
      <c r="F1209" s="5" t="s">
        <v>37</v>
      </c>
      <c r="G1209" s="5" t="s">
        <v>38</v>
      </c>
      <c r="H1209" s="5"/>
      <c r="I1209" s="5"/>
      <c r="J1209" s="5" t="s">
        <v>39</v>
      </c>
      <c r="K1209" s="5" t="s">
        <v>4155</v>
      </c>
      <c r="L1209" s="5" t="s">
        <v>111</v>
      </c>
      <c r="M1209" s="5" t="s">
        <v>112</v>
      </c>
      <c r="N1209" s="5" t="s">
        <v>36</v>
      </c>
      <c r="O1209" s="5">
        <v>1</v>
      </c>
      <c r="P1209" s="5" t="s">
        <v>43</v>
      </c>
      <c r="Q1209" s="5">
        <v>13.99</v>
      </c>
      <c r="R1209" s="5">
        <v>0.84</v>
      </c>
      <c r="S1209" s="5"/>
      <c r="T1209" s="5"/>
      <c r="U1209" s="5"/>
      <c r="V1209" s="5"/>
      <c r="W1209" s="5"/>
      <c r="X1209" s="5"/>
      <c r="Y1209" s="5" t="s">
        <v>5750</v>
      </c>
      <c r="Z1209" s="5" t="s">
        <v>255</v>
      </c>
      <c r="AA1209" s="5" t="s">
        <v>5751</v>
      </c>
      <c r="AB1209" s="5" t="s">
        <v>46</v>
      </c>
      <c r="AC1209" s="5"/>
      <c r="AD1209" s="5" t="b">
        <v>0</v>
      </c>
      <c r="AE1209" s="5"/>
      <c r="AF1209" s="5"/>
      <c r="AG1209" s="9">
        <f t="shared" si="18"/>
        <v>43287</v>
      </c>
    </row>
    <row r="1210" s="6" customFormat="1" spans="1:33">
      <c r="A1210" s="5" t="s">
        <v>5752</v>
      </c>
      <c r="B1210" s="5" t="s">
        <v>5752</v>
      </c>
      <c r="C1210" s="5" t="s">
        <v>5753</v>
      </c>
      <c r="D1210" s="5" t="s">
        <v>5754</v>
      </c>
      <c r="E1210" s="5" t="s">
        <v>36</v>
      </c>
      <c r="F1210" s="5" t="s">
        <v>37</v>
      </c>
      <c r="G1210" s="5" t="s">
        <v>38</v>
      </c>
      <c r="H1210" s="5"/>
      <c r="I1210" s="5"/>
      <c r="J1210" s="5" t="s">
        <v>39</v>
      </c>
      <c r="K1210" s="5" t="s">
        <v>3920</v>
      </c>
      <c r="L1210" s="5" t="s">
        <v>366</v>
      </c>
      <c r="M1210" s="5" t="s">
        <v>367</v>
      </c>
      <c r="N1210" s="5" t="s">
        <v>36</v>
      </c>
      <c r="O1210" s="5">
        <v>1</v>
      </c>
      <c r="P1210" s="5" t="s">
        <v>43</v>
      </c>
      <c r="Q1210" s="5">
        <v>18.99</v>
      </c>
      <c r="R1210" s="5"/>
      <c r="S1210" s="5"/>
      <c r="T1210" s="5"/>
      <c r="U1210" s="5"/>
      <c r="V1210" s="5"/>
      <c r="W1210" s="5"/>
      <c r="X1210" s="5"/>
      <c r="Y1210" s="5" t="s">
        <v>5755</v>
      </c>
      <c r="Z1210" s="5" t="s">
        <v>238</v>
      </c>
      <c r="AA1210" s="5" t="s">
        <v>5756</v>
      </c>
      <c r="AB1210" s="5" t="s">
        <v>46</v>
      </c>
      <c r="AC1210" s="5"/>
      <c r="AD1210" s="5" t="b">
        <v>0</v>
      </c>
      <c r="AE1210" s="5"/>
      <c r="AF1210" s="5"/>
      <c r="AG1210" s="9">
        <f t="shared" si="18"/>
        <v>43287</v>
      </c>
    </row>
    <row r="1211" s="6" customFormat="1" spans="1:33">
      <c r="A1211" s="5" t="s">
        <v>5757</v>
      </c>
      <c r="B1211" s="5" t="s">
        <v>5757</v>
      </c>
      <c r="C1211" s="5" t="s">
        <v>5758</v>
      </c>
      <c r="D1211" s="5" t="s">
        <v>5759</v>
      </c>
      <c r="E1211" s="5" t="s">
        <v>36</v>
      </c>
      <c r="F1211" s="5" t="s">
        <v>37</v>
      </c>
      <c r="G1211" s="5" t="s">
        <v>38</v>
      </c>
      <c r="H1211" s="5"/>
      <c r="I1211" s="5"/>
      <c r="J1211" s="5" t="s">
        <v>39</v>
      </c>
      <c r="K1211" s="5" t="s">
        <v>4038</v>
      </c>
      <c r="L1211" s="5" t="s">
        <v>76</v>
      </c>
      <c r="M1211" s="5" t="s">
        <v>77</v>
      </c>
      <c r="N1211" s="5" t="s">
        <v>36</v>
      </c>
      <c r="O1211" s="5">
        <v>1</v>
      </c>
      <c r="P1211" s="5" t="s">
        <v>43</v>
      </c>
      <c r="Q1211" s="5">
        <v>13.99</v>
      </c>
      <c r="R1211" s="5">
        <v>1.41</v>
      </c>
      <c r="S1211" s="5"/>
      <c r="T1211" s="5"/>
      <c r="U1211" s="5"/>
      <c r="V1211" s="5"/>
      <c r="W1211" s="5"/>
      <c r="X1211" s="5"/>
      <c r="Y1211" s="5" t="s">
        <v>1849</v>
      </c>
      <c r="Z1211" s="5" t="s">
        <v>474</v>
      </c>
      <c r="AA1211" s="5" t="s">
        <v>5760</v>
      </c>
      <c r="AB1211" s="5" t="s">
        <v>46</v>
      </c>
      <c r="AC1211" s="5"/>
      <c r="AD1211" s="5" t="b">
        <v>1</v>
      </c>
      <c r="AE1211" s="5">
        <v>300</v>
      </c>
      <c r="AF1211" s="5"/>
      <c r="AG1211" s="9">
        <f t="shared" si="18"/>
        <v>43287</v>
      </c>
    </row>
    <row r="1212" s="6" customFormat="1" spans="1:33">
      <c r="A1212" s="5" t="s">
        <v>5761</v>
      </c>
      <c r="B1212" s="5" t="s">
        <v>5761</v>
      </c>
      <c r="C1212" s="5" t="s">
        <v>5762</v>
      </c>
      <c r="D1212" s="5" t="s">
        <v>5763</v>
      </c>
      <c r="E1212" s="5" t="s">
        <v>36</v>
      </c>
      <c r="F1212" s="5" t="s">
        <v>37</v>
      </c>
      <c r="G1212" s="5" t="s">
        <v>38</v>
      </c>
      <c r="H1212" s="5"/>
      <c r="I1212" s="5"/>
      <c r="J1212" s="5" t="s">
        <v>39</v>
      </c>
      <c r="K1212" s="5" t="s">
        <v>3920</v>
      </c>
      <c r="L1212" s="5" t="s">
        <v>419</v>
      </c>
      <c r="M1212" s="5" t="s">
        <v>367</v>
      </c>
      <c r="N1212" s="5" t="s">
        <v>36</v>
      </c>
      <c r="O1212" s="5">
        <v>1</v>
      </c>
      <c r="P1212" s="5" t="s">
        <v>43</v>
      </c>
      <c r="Q1212" s="5">
        <v>18.99</v>
      </c>
      <c r="R1212" s="5"/>
      <c r="S1212" s="5"/>
      <c r="T1212" s="5"/>
      <c r="U1212" s="5"/>
      <c r="V1212" s="5"/>
      <c r="W1212" s="5"/>
      <c r="X1212" s="5"/>
      <c r="Y1212" s="5" t="s">
        <v>5764</v>
      </c>
      <c r="Z1212" s="5" t="s">
        <v>170</v>
      </c>
      <c r="AA1212" s="5">
        <v>65762</v>
      </c>
      <c r="AB1212" s="5" t="s">
        <v>46</v>
      </c>
      <c r="AC1212" s="5"/>
      <c r="AD1212" s="5" t="b">
        <v>0</v>
      </c>
      <c r="AE1212" s="5"/>
      <c r="AF1212" s="5"/>
      <c r="AG1212" s="9">
        <f t="shared" si="18"/>
        <v>43287</v>
      </c>
    </row>
    <row r="1213" s="6" customFormat="1" spans="1:33">
      <c r="A1213" s="5" t="s">
        <v>5761</v>
      </c>
      <c r="B1213" s="5" t="s">
        <v>5761</v>
      </c>
      <c r="C1213" s="5" t="s">
        <v>5762</v>
      </c>
      <c r="D1213" s="5" t="s">
        <v>5763</v>
      </c>
      <c r="E1213" s="5" t="s">
        <v>36</v>
      </c>
      <c r="F1213" s="5" t="s">
        <v>37</v>
      </c>
      <c r="G1213" s="5" t="s">
        <v>38</v>
      </c>
      <c r="H1213" s="5"/>
      <c r="I1213" s="5"/>
      <c r="J1213" s="5" t="s">
        <v>39</v>
      </c>
      <c r="K1213" s="5" t="s">
        <v>58</v>
      </c>
      <c r="L1213" s="5" t="s">
        <v>59</v>
      </c>
      <c r="M1213" s="5" t="s">
        <v>60</v>
      </c>
      <c r="N1213" s="5" t="s">
        <v>36</v>
      </c>
      <c r="O1213" s="5">
        <v>1</v>
      </c>
      <c r="P1213" s="5" t="s">
        <v>43</v>
      </c>
      <c r="Q1213" s="5">
        <v>13.99</v>
      </c>
      <c r="R1213" s="5"/>
      <c r="S1213" s="5"/>
      <c r="T1213" s="5"/>
      <c r="U1213" s="5"/>
      <c r="V1213" s="5"/>
      <c r="W1213" s="5"/>
      <c r="X1213" s="5"/>
      <c r="Y1213" s="5" t="s">
        <v>5764</v>
      </c>
      <c r="Z1213" s="5" t="s">
        <v>170</v>
      </c>
      <c r="AA1213" s="5">
        <v>65762</v>
      </c>
      <c r="AB1213" s="5" t="s">
        <v>46</v>
      </c>
      <c r="AC1213" s="5"/>
      <c r="AD1213" s="5" t="b">
        <v>0</v>
      </c>
      <c r="AE1213" s="5"/>
      <c r="AF1213" s="5"/>
      <c r="AG1213" s="9">
        <f t="shared" si="18"/>
        <v>43287</v>
      </c>
    </row>
    <row r="1214" s="6" customFormat="1" spans="1:33">
      <c r="A1214" s="5" t="s">
        <v>5765</v>
      </c>
      <c r="B1214" s="5" t="s">
        <v>5765</v>
      </c>
      <c r="C1214" s="5" t="s">
        <v>5766</v>
      </c>
      <c r="D1214" s="5" t="s">
        <v>5767</v>
      </c>
      <c r="E1214" s="5" t="s">
        <v>36</v>
      </c>
      <c r="F1214" s="5" t="s">
        <v>37</v>
      </c>
      <c r="G1214" s="5" t="s">
        <v>38</v>
      </c>
      <c r="H1214" s="5"/>
      <c r="I1214" s="5"/>
      <c r="J1214" s="5" t="s">
        <v>39</v>
      </c>
      <c r="K1214" s="5" t="s">
        <v>3745</v>
      </c>
      <c r="L1214" s="5" t="s">
        <v>202</v>
      </c>
      <c r="M1214" s="5" t="s">
        <v>203</v>
      </c>
      <c r="N1214" s="5" t="s">
        <v>36</v>
      </c>
      <c r="O1214" s="5">
        <v>1</v>
      </c>
      <c r="P1214" s="5" t="s">
        <v>43</v>
      </c>
      <c r="Q1214" s="5">
        <v>18.99</v>
      </c>
      <c r="R1214" s="5">
        <v>1.96</v>
      </c>
      <c r="S1214" s="5"/>
      <c r="T1214" s="5"/>
      <c r="U1214" s="5"/>
      <c r="V1214" s="5"/>
      <c r="W1214" s="5"/>
      <c r="X1214" s="5"/>
      <c r="Y1214" s="5" t="s">
        <v>4754</v>
      </c>
      <c r="Z1214" s="5" t="s">
        <v>474</v>
      </c>
      <c r="AA1214" s="5" t="s">
        <v>5768</v>
      </c>
      <c r="AB1214" s="5" t="s">
        <v>46</v>
      </c>
      <c r="AC1214" s="5"/>
      <c r="AD1214" s="5" t="b">
        <v>0</v>
      </c>
      <c r="AE1214" s="5"/>
      <c r="AF1214" s="5"/>
      <c r="AG1214" s="9">
        <f t="shared" si="18"/>
        <v>43287</v>
      </c>
    </row>
    <row r="1215" s="6" customFormat="1" spans="1:33">
      <c r="A1215" s="5" t="s">
        <v>5769</v>
      </c>
      <c r="B1215" s="5" t="s">
        <v>5769</v>
      </c>
      <c r="C1215" s="5" t="s">
        <v>5770</v>
      </c>
      <c r="D1215" s="5" t="s">
        <v>5771</v>
      </c>
      <c r="E1215" s="5" t="s">
        <v>36</v>
      </c>
      <c r="F1215" s="5" t="s">
        <v>37</v>
      </c>
      <c r="G1215" s="5" t="s">
        <v>38</v>
      </c>
      <c r="H1215" s="5"/>
      <c r="I1215" s="5"/>
      <c r="J1215" s="5" t="s">
        <v>39</v>
      </c>
      <c r="K1215" s="5" t="s">
        <v>58</v>
      </c>
      <c r="L1215" s="5" t="s">
        <v>59</v>
      </c>
      <c r="M1215" s="5" t="s">
        <v>60</v>
      </c>
      <c r="N1215" s="5" t="s">
        <v>36</v>
      </c>
      <c r="O1215" s="5">
        <v>1</v>
      </c>
      <c r="P1215" s="5" t="s">
        <v>43</v>
      </c>
      <c r="Q1215" s="5">
        <v>13.99</v>
      </c>
      <c r="R1215" s="5"/>
      <c r="S1215" s="5"/>
      <c r="T1215" s="5"/>
      <c r="U1215" s="5"/>
      <c r="V1215" s="5"/>
      <c r="W1215" s="5"/>
      <c r="X1215" s="5"/>
      <c r="Y1215" s="5" t="s">
        <v>5772</v>
      </c>
      <c r="Z1215" s="5" t="s">
        <v>391</v>
      </c>
      <c r="AA1215" s="5">
        <v>44319</v>
      </c>
      <c r="AB1215" s="5" t="s">
        <v>46</v>
      </c>
      <c r="AC1215" s="5"/>
      <c r="AD1215" s="5" t="b">
        <v>0</v>
      </c>
      <c r="AE1215" s="5"/>
      <c r="AF1215" s="5"/>
      <c r="AG1215" s="9">
        <f t="shared" si="18"/>
        <v>43287</v>
      </c>
    </row>
    <row r="1216" s="6" customFormat="1" spans="1:33">
      <c r="A1216" s="5" t="s">
        <v>5773</v>
      </c>
      <c r="B1216" s="5" t="s">
        <v>5773</v>
      </c>
      <c r="C1216" s="5" t="s">
        <v>5774</v>
      </c>
      <c r="D1216" s="5" t="s">
        <v>5775</v>
      </c>
      <c r="E1216" s="5" t="s">
        <v>36</v>
      </c>
      <c r="F1216" s="5" t="s">
        <v>37</v>
      </c>
      <c r="G1216" s="5" t="s">
        <v>38</v>
      </c>
      <c r="H1216" s="5"/>
      <c r="I1216" s="5"/>
      <c r="J1216" s="5" t="s">
        <v>39</v>
      </c>
      <c r="K1216" s="5" t="s">
        <v>4038</v>
      </c>
      <c r="L1216" s="5" t="s">
        <v>76</v>
      </c>
      <c r="M1216" s="5" t="s">
        <v>77</v>
      </c>
      <c r="N1216" s="5" t="s">
        <v>36</v>
      </c>
      <c r="O1216" s="5">
        <v>1</v>
      </c>
      <c r="P1216" s="5" t="s">
        <v>43</v>
      </c>
      <c r="Q1216" s="5">
        <v>13.99</v>
      </c>
      <c r="R1216" s="5"/>
      <c r="S1216" s="5"/>
      <c r="T1216" s="5"/>
      <c r="U1216" s="5"/>
      <c r="V1216" s="5"/>
      <c r="W1216" s="5"/>
      <c r="X1216" s="5"/>
      <c r="Y1216" s="5" t="s">
        <v>5776</v>
      </c>
      <c r="Z1216" s="5" t="s">
        <v>54</v>
      </c>
      <c r="AA1216" s="5" t="s">
        <v>5777</v>
      </c>
      <c r="AB1216" s="5" t="s">
        <v>46</v>
      </c>
      <c r="AC1216" s="5"/>
      <c r="AD1216" s="5" t="b">
        <v>0</v>
      </c>
      <c r="AE1216" s="5"/>
      <c r="AF1216" s="5"/>
      <c r="AG1216" s="9">
        <f t="shared" si="18"/>
        <v>43287</v>
      </c>
    </row>
    <row r="1217" s="6" customFormat="1" spans="1:33">
      <c r="A1217" s="5" t="s">
        <v>5778</v>
      </c>
      <c r="B1217" s="5" t="s">
        <v>5778</v>
      </c>
      <c r="C1217" s="5" t="s">
        <v>5779</v>
      </c>
      <c r="D1217" s="5" t="s">
        <v>5780</v>
      </c>
      <c r="E1217" s="5" t="s">
        <v>36</v>
      </c>
      <c r="F1217" s="5" t="s">
        <v>37</v>
      </c>
      <c r="G1217" s="5" t="s">
        <v>38</v>
      </c>
      <c r="H1217" s="5"/>
      <c r="I1217" s="5"/>
      <c r="J1217" s="5" t="s">
        <v>39</v>
      </c>
      <c r="K1217" s="5" t="s">
        <v>4085</v>
      </c>
      <c r="L1217" s="5" t="s">
        <v>102</v>
      </c>
      <c r="M1217" s="5" t="s">
        <v>103</v>
      </c>
      <c r="N1217" s="5" t="s">
        <v>36</v>
      </c>
      <c r="O1217" s="5">
        <v>1</v>
      </c>
      <c r="P1217" s="5" t="s">
        <v>43</v>
      </c>
      <c r="Q1217" s="5">
        <v>13.99</v>
      </c>
      <c r="R1217" s="5"/>
      <c r="S1217" s="5"/>
      <c r="T1217" s="5"/>
      <c r="U1217" s="5"/>
      <c r="V1217" s="5"/>
      <c r="W1217" s="5"/>
      <c r="X1217" s="5"/>
      <c r="Y1217" s="5" t="s">
        <v>2460</v>
      </c>
      <c r="Z1217" s="5" t="s">
        <v>307</v>
      </c>
      <c r="AA1217" s="5" t="s">
        <v>5781</v>
      </c>
      <c r="AB1217" s="5" t="s">
        <v>46</v>
      </c>
      <c r="AC1217" s="5"/>
      <c r="AD1217" s="5" t="b">
        <v>0</v>
      </c>
      <c r="AE1217" s="5"/>
      <c r="AF1217" s="5"/>
      <c r="AG1217" s="9">
        <f t="shared" si="18"/>
        <v>43287</v>
      </c>
    </row>
    <row r="1218" s="6" customFormat="1" spans="1:33">
      <c r="A1218" s="5" t="s">
        <v>5782</v>
      </c>
      <c r="B1218" s="5" t="s">
        <v>5782</v>
      </c>
      <c r="C1218" s="5" t="s">
        <v>5783</v>
      </c>
      <c r="D1218" s="5" t="s">
        <v>5784</v>
      </c>
      <c r="E1218" s="5" t="s">
        <v>614</v>
      </c>
      <c r="F1218" s="5" t="s">
        <v>37</v>
      </c>
      <c r="G1218" s="5" t="s">
        <v>38</v>
      </c>
      <c r="H1218" s="5"/>
      <c r="I1218" s="5"/>
      <c r="J1218" s="5" t="s">
        <v>39</v>
      </c>
      <c r="K1218" s="5" t="s">
        <v>1336</v>
      </c>
      <c r="L1218" s="5" t="s">
        <v>2316</v>
      </c>
      <c r="M1218" s="5" t="s">
        <v>2317</v>
      </c>
      <c r="N1218" s="5" t="s">
        <v>614</v>
      </c>
      <c r="O1218" s="5">
        <v>0</v>
      </c>
      <c r="P1218" s="5"/>
      <c r="Q1218" s="5"/>
      <c r="R1218" s="5"/>
      <c r="S1218" s="5"/>
      <c r="T1218" s="5"/>
      <c r="U1218" s="5"/>
      <c r="V1218" s="5"/>
      <c r="W1218" s="5"/>
      <c r="X1218" s="5"/>
      <c r="Y1218" s="5" t="s">
        <v>5785</v>
      </c>
      <c r="Z1218" s="5" t="s">
        <v>756</v>
      </c>
      <c r="AA1218" s="5">
        <v>21782</v>
      </c>
      <c r="AB1218" s="5" t="s">
        <v>46</v>
      </c>
      <c r="AC1218" s="5"/>
      <c r="AD1218" s="5" t="b">
        <v>0</v>
      </c>
      <c r="AE1218" s="5"/>
      <c r="AF1218" s="5"/>
      <c r="AG1218" s="9">
        <f t="shared" ref="AG1218:AG1281" si="19">DATEVALUE(LEFT(C1218,10))</f>
        <v>43287</v>
      </c>
    </row>
    <row r="1219" s="6" customFormat="1" spans="1:33">
      <c r="A1219" s="5" t="s">
        <v>5786</v>
      </c>
      <c r="B1219" s="5" t="s">
        <v>5786</v>
      </c>
      <c r="C1219" s="5" t="s">
        <v>5787</v>
      </c>
      <c r="D1219" s="5" t="s">
        <v>5788</v>
      </c>
      <c r="E1219" s="5" t="s">
        <v>36</v>
      </c>
      <c r="F1219" s="5" t="s">
        <v>37</v>
      </c>
      <c r="G1219" s="5" t="s">
        <v>38</v>
      </c>
      <c r="H1219" s="5"/>
      <c r="I1219" s="5"/>
      <c r="J1219" s="5" t="s">
        <v>39</v>
      </c>
      <c r="K1219" s="5" t="s">
        <v>4038</v>
      </c>
      <c r="L1219" s="5" t="s">
        <v>76</v>
      </c>
      <c r="M1219" s="5" t="s">
        <v>77</v>
      </c>
      <c r="N1219" s="5" t="s">
        <v>36</v>
      </c>
      <c r="O1219" s="5">
        <v>1</v>
      </c>
      <c r="P1219" s="5" t="s">
        <v>43</v>
      </c>
      <c r="Q1219" s="5">
        <v>13.99</v>
      </c>
      <c r="R1219" s="5"/>
      <c r="S1219" s="5"/>
      <c r="T1219" s="5"/>
      <c r="U1219" s="5"/>
      <c r="V1219" s="5"/>
      <c r="W1219" s="5"/>
      <c r="X1219" s="5"/>
      <c r="Y1219" s="5" t="s">
        <v>157</v>
      </c>
      <c r="Z1219" s="5" t="s">
        <v>96</v>
      </c>
      <c r="AA1219" s="5" t="s">
        <v>5789</v>
      </c>
      <c r="AB1219" s="5" t="s">
        <v>46</v>
      </c>
      <c r="AC1219" s="5"/>
      <c r="AD1219" s="5" t="b">
        <v>0</v>
      </c>
      <c r="AE1219" s="5"/>
      <c r="AF1219" s="5"/>
      <c r="AG1219" s="9">
        <f t="shared" si="19"/>
        <v>43287</v>
      </c>
    </row>
    <row r="1220" s="6" customFormat="1" spans="1:33">
      <c r="A1220" s="5" t="s">
        <v>5790</v>
      </c>
      <c r="B1220" s="5" t="s">
        <v>5790</v>
      </c>
      <c r="C1220" s="5" t="s">
        <v>5791</v>
      </c>
      <c r="D1220" s="5" t="s">
        <v>5792</v>
      </c>
      <c r="E1220" s="5" t="s">
        <v>36</v>
      </c>
      <c r="F1220" s="5" t="s">
        <v>37</v>
      </c>
      <c r="G1220" s="5" t="s">
        <v>38</v>
      </c>
      <c r="H1220" s="5"/>
      <c r="I1220" s="5"/>
      <c r="J1220" s="5" t="s">
        <v>39</v>
      </c>
      <c r="K1220" s="5" t="s">
        <v>3714</v>
      </c>
      <c r="L1220" s="5" t="s">
        <v>148</v>
      </c>
      <c r="M1220" s="5" t="s">
        <v>149</v>
      </c>
      <c r="N1220" s="5" t="s">
        <v>36</v>
      </c>
      <c r="O1220" s="5">
        <v>1</v>
      </c>
      <c r="P1220" s="5" t="s">
        <v>43</v>
      </c>
      <c r="Q1220" s="5">
        <v>13.99</v>
      </c>
      <c r="R1220" s="5"/>
      <c r="S1220" s="5"/>
      <c r="T1220" s="5"/>
      <c r="U1220" s="5"/>
      <c r="V1220" s="5"/>
      <c r="W1220" s="5"/>
      <c r="X1220" s="5"/>
      <c r="Y1220" s="5" t="s">
        <v>5793</v>
      </c>
      <c r="Z1220" s="5" t="s">
        <v>142</v>
      </c>
      <c r="AA1220" s="5" t="s">
        <v>5794</v>
      </c>
      <c r="AB1220" s="5" t="s">
        <v>46</v>
      </c>
      <c r="AC1220" s="5"/>
      <c r="AD1220" s="5" t="b">
        <v>0</v>
      </c>
      <c r="AE1220" s="5"/>
      <c r="AF1220" s="5"/>
      <c r="AG1220" s="9">
        <f t="shared" si="19"/>
        <v>43287</v>
      </c>
    </row>
    <row r="1221" s="6" customFormat="1" spans="1:33">
      <c r="A1221" s="5" t="s">
        <v>5795</v>
      </c>
      <c r="B1221" s="5" t="s">
        <v>5795</v>
      </c>
      <c r="C1221" s="5" t="s">
        <v>5791</v>
      </c>
      <c r="D1221" s="5" t="s">
        <v>5796</v>
      </c>
      <c r="E1221" s="5" t="s">
        <v>36</v>
      </c>
      <c r="F1221" s="5" t="s">
        <v>37</v>
      </c>
      <c r="G1221" s="5" t="s">
        <v>38</v>
      </c>
      <c r="H1221" s="5"/>
      <c r="I1221" s="5"/>
      <c r="J1221" s="5" t="s">
        <v>287</v>
      </c>
      <c r="K1221" s="5" t="s">
        <v>3703</v>
      </c>
      <c r="L1221" s="5" t="s">
        <v>388</v>
      </c>
      <c r="M1221" s="5" t="s">
        <v>389</v>
      </c>
      <c r="N1221" s="5" t="s">
        <v>36</v>
      </c>
      <c r="O1221" s="5">
        <v>1</v>
      </c>
      <c r="P1221" s="5" t="s">
        <v>43</v>
      </c>
      <c r="Q1221" s="5">
        <v>18.99</v>
      </c>
      <c r="R1221" s="5"/>
      <c r="S1221" s="5">
        <v>3.99</v>
      </c>
      <c r="T1221" s="5"/>
      <c r="U1221" s="5"/>
      <c r="V1221" s="5"/>
      <c r="W1221" s="5"/>
      <c r="X1221" s="5">
        <v>3.99</v>
      </c>
      <c r="Y1221" s="5" t="s">
        <v>5793</v>
      </c>
      <c r="Z1221" s="5" t="s">
        <v>142</v>
      </c>
      <c r="AA1221" s="5" t="s">
        <v>5794</v>
      </c>
      <c r="AB1221" s="5" t="s">
        <v>46</v>
      </c>
      <c r="AC1221" s="5"/>
      <c r="AD1221" s="5" t="b">
        <v>0</v>
      </c>
      <c r="AE1221" s="5"/>
      <c r="AF1221" s="5"/>
      <c r="AG1221" s="9">
        <f t="shared" si="19"/>
        <v>43287</v>
      </c>
    </row>
    <row r="1222" s="6" customFormat="1" spans="1:33">
      <c r="A1222" s="5" t="s">
        <v>5797</v>
      </c>
      <c r="B1222" s="5" t="s">
        <v>5797</v>
      </c>
      <c r="C1222" s="5" t="s">
        <v>5798</v>
      </c>
      <c r="D1222" s="5" t="s">
        <v>5799</v>
      </c>
      <c r="E1222" s="5" t="s">
        <v>36</v>
      </c>
      <c r="F1222" s="5" t="s">
        <v>37</v>
      </c>
      <c r="G1222" s="5" t="s">
        <v>38</v>
      </c>
      <c r="H1222" s="5"/>
      <c r="I1222" s="5"/>
      <c r="J1222" s="5" t="s">
        <v>39</v>
      </c>
      <c r="K1222" s="5" t="s">
        <v>4085</v>
      </c>
      <c r="L1222" s="5" t="s">
        <v>102</v>
      </c>
      <c r="M1222" s="5" t="s">
        <v>103</v>
      </c>
      <c r="N1222" s="5" t="s">
        <v>36</v>
      </c>
      <c r="O1222" s="5">
        <v>2</v>
      </c>
      <c r="P1222" s="5" t="s">
        <v>43</v>
      </c>
      <c r="Q1222" s="5">
        <v>27.98</v>
      </c>
      <c r="R1222" s="5"/>
      <c r="S1222" s="5"/>
      <c r="T1222" s="5"/>
      <c r="U1222" s="5"/>
      <c r="V1222" s="5"/>
      <c r="W1222" s="5"/>
      <c r="X1222" s="5"/>
      <c r="Y1222" s="5" t="s">
        <v>2779</v>
      </c>
      <c r="Z1222" s="5" t="s">
        <v>247</v>
      </c>
      <c r="AA1222" s="5" t="s">
        <v>5800</v>
      </c>
      <c r="AB1222" s="5" t="s">
        <v>46</v>
      </c>
      <c r="AC1222" s="5"/>
      <c r="AD1222" s="5" t="b">
        <v>0</v>
      </c>
      <c r="AE1222" s="5"/>
      <c r="AF1222" s="5"/>
      <c r="AG1222" s="9">
        <f t="shared" si="19"/>
        <v>43287</v>
      </c>
    </row>
    <row r="1223" s="6" customFormat="1" spans="1:33">
      <c r="A1223" s="5" t="s">
        <v>5801</v>
      </c>
      <c r="B1223" s="5" t="s">
        <v>5801</v>
      </c>
      <c r="C1223" s="5" t="s">
        <v>5802</v>
      </c>
      <c r="D1223" s="5" t="s">
        <v>5803</v>
      </c>
      <c r="E1223" s="5" t="s">
        <v>36</v>
      </c>
      <c r="F1223" s="5" t="s">
        <v>37</v>
      </c>
      <c r="G1223" s="5" t="s">
        <v>38</v>
      </c>
      <c r="H1223" s="5"/>
      <c r="I1223" s="5"/>
      <c r="J1223" s="5" t="s">
        <v>39</v>
      </c>
      <c r="K1223" s="5" t="s">
        <v>3645</v>
      </c>
      <c r="L1223" s="5" t="s">
        <v>51</v>
      </c>
      <c r="M1223" s="5" t="s">
        <v>52</v>
      </c>
      <c r="N1223" s="5" t="s">
        <v>36</v>
      </c>
      <c r="O1223" s="5">
        <v>1</v>
      </c>
      <c r="P1223" s="5" t="s">
        <v>43</v>
      </c>
      <c r="Q1223" s="5">
        <v>18.99</v>
      </c>
      <c r="R1223" s="5"/>
      <c r="S1223" s="5"/>
      <c r="T1223" s="5"/>
      <c r="U1223" s="5"/>
      <c r="V1223" s="5"/>
      <c r="W1223" s="5"/>
      <c r="X1223" s="5"/>
      <c r="Y1223" s="5" t="s">
        <v>5804</v>
      </c>
      <c r="Z1223" s="5" t="s">
        <v>96</v>
      </c>
      <c r="AA1223" s="5" t="s">
        <v>5805</v>
      </c>
      <c r="AB1223" s="5" t="s">
        <v>46</v>
      </c>
      <c r="AC1223" s="5"/>
      <c r="AD1223" s="5" t="b">
        <v>0</v>
      </c>
      <c r="AE1223" s="5"/>
      <c r="AF1223" s="5"/>
      <c r="AG1223" s="9">
        <f t="shared" si="19"/>
        <v>43287</v>
      </c>
    </row>
    <row r="1224" s="6" customFormat="1" spans="1:33">
      <c r="A1224" s="5" t="s">
        <v>5806</v>
      </c>
      <c r="B1224" s="5" t="s">
        <v>5806</v>
      </c>
      <c r="C1224" s="5" t="s">
        <v>5807</v>
      </c>
      <c r="D1224" s="5" t="s">
        <v>5808</v>
      </c>
      <c r="E1224" s="5" t="s">
        <v>5238</v>
      </c>
      <c r="F1224" s="5" t="s">
        <v>37</v>
      </c>
      <c r="G1224" s="5" t="s">
        <v>38</v>
      </c>
      <c r="H1224" s="5"/>
      <c r="I1224" s="5"/>
      <c r="J1224" s="5" t="s">
        <v>39</v>
      </c>
      <c r="K1224" s="5" t="s">
        <v>587</v>
      </c>
      <c r="L1224" s="5" t="s">
        <v>588</v>
      </c>
      <c r="M1224" s="5" t="s">
        <v>589</v>
      </c>
      <c r="N1224" s="5" t="s">
        <v>833</v>
      </c>
      <c r="O1224" s="5">
        <v>1</v>
      </c>
      <c r="P1224" s="5" t="s">
        <v>43</v>
      </c>
      <c r="Q1224" s="5">
        <v>18.99</v>
      </c>
      <c r="R1224" s="5"/>
      <c r="S1224" s="5"/>
      <c r="T1224" s="5"/>
      <c r="U1224" s="5"/>
      <c r="V1224" s="5"/>
      <c r="W1224" s="5"/>
      <c r="X1224" s="5"/>
      <c r="Y1224" s="5" t="s">
        <v>5809</v>
      </c>
      <c r="Z1224" s="5" t="s">
        <v>5810</v>
      </c>
      <c r="AA1224" s="5">
        <v>61615</v>
      </c>
      <c r="AB1224" s="5" t="s">
        <v>46</v>
      </c>
      <c r="AC1224" s="5"/>
      <c r="AD1224" s="5" t="b">
        <v>0</v>
      </c>
      <c r="AE1224" s="5"/>
      <c r="AF1224" s="5"/>
      <c r="AG1224" s="9">
        <f t="shared" si="19"/>
        <v>43287</v>
      </c>
    </row>
    <row r="1225" s="6" customFormat="1" spans="1:33">
      <c r="A1225" s="5" t="s">
        <v>5811</v>
      </c>
      <c r="B1225" s="5" t="s">
        <v>5811</v>
      </c>
      <c r="C1225" s="5" t="s">
        <v>5812</v>
      </c>
      <c r="D1225" s="5" t="s">
        <v>5813</v>
      </c>
      <c r="E1225" s="5" t="s">
        <v>36</v>
      </c>
      <c r="F1225" s="5" t="s">
        <v>37</v>
      </c>
      <c r="G1225" s="5" t="s">
        <v>38</v>
      </c>
      <c r="H1225" s="5"/>
      <c r="I1225" s="5"/>
      <c r="J1225" s="5" t="s">
        <v>39</v>
      </c>
      <c r="K1225" s="5" t="s">
        <v>2862</v>
      </c>
      <c r="L1225" s="5" t="s">
        <v>2863</v>
      </c>
      <c r="M1225" s="5" t="s">
        <v>2864</v>
      </c>
      <c r="N1225" s="5" t="s">
        <v>36</v>
      </c>
      <c r="O1225" s="5">
        <v>1</v>
      </c>
      <c r="P1225" s="5" t="s">
        <v>43</v>
      </c>
      <c r="Q1225" s="5">
        <v>12</v>
      </c>
      <c r="R1225" s="5"/>
      <c r="S1225" s="5"/>
      <c r="T1225" s="5"/>
      <c r="U1225" s="5"/>
      <c r="V1225" s="5"/>
      <c r="W1225" s="5"/>
      <c r="X1225" s="5"/>
      <c r="Y1225" s="5" t="s">
        <v>856</v>
      </c>
      <c r="Z1225" s="5" t="s">
        <v>151</v>
      </c>
      <c r="AA1225" s="5" t="s">
        <v>5814</v>
      </c>
      <c r="AB1225" s="5" t="s">
        <v>46</v>
      </c>
      <c r="AC1225" s="5"/>
      <c r="AD1225" s="5" t="b">
        <v>0</v>
      </c>
      <c r="AE1225" s="5"/>
      <c r="AF1225" s="5"/>
      <c r="AG1225" s="9">
        <f t="shared" si="19"/>
        <v>43287</v>
      </c>
    </row>
    <row r="1226" s="6" customFormat="1" spans="1:33">
      <c r="A1226" s="5" t="s">
        <v>5815</v>
      </c>
      <c r="B1226" s="5" t="s">
        <v>5815</v>
      </c>
      <c r="C1226" s="5" t="s">
        <v>5816</v>
      </c>
      <c r="D1226" s="5" t="s">
        <v>5817</v>
      </c>
      <c r="E1226" s="5" t="s">
        <v>36</v>
      </c>
      <c r="F1226" s="5" t="s">
        <v>37</v>
      </c>
      <c r="G1226" s="5" t="s">
        <v>38</v>
      </c>
      <c r="H1226" s="5"/>
      <c r="I1226" s="5"/>
      <c r="J1226" s="5" t="s">
        <v>39</v>
      </c>
      <c r="K1226" s="5" t="s">
        <v>1999</v>
      </c>
      <c r="L1226" s="5" t="s">
        <v>2000</v>
      </c>
      <c r="M1226" s="5" t="s">
        <v>2001</v>
      </c>
      <c r="N1226" s="5" t="s">
        <v>36</v>
      </c>
      <c r="O1226" s="5">
        <v>1</v>
      </c>
      <c r="P1226" s="5" t="s">
        <v>43</v>
      </c>
      <c r="Q1226" s="5">
        <v>18.99</v>
      </c>
      <c r="R1226" s="5"/>
      <c r="S1226" s="5"/>
      <c r="T1226" s="5"/>
      <c r="U1226" s="5"/>
      <c r="V1226" s="5"/>
      <c r="W1226" s="5"/>
      <c r="X1226" s="5"/>
      <c r="Y1226" s="5" t="s">
        <v>5818</v>
      </c>
      <c r="Z1226" s="5" t="s">
        <v>54</v>
      </c>
      <c r="AA1226" s="5" t="s">
        <v>5819</v>
      </c>
      <c r="AB1226" s="5" t="s">
        <v>46</v>
      </c>
      <c r="AC1226" s="5"/>
      <c r="AD1226" s="5" t="b">
        <v>0</v>
      </c>
      <c r="AE1226" s="5"/>
      <c r="AF1226" s="5"/>
      <c r="AG1226" s="9">
        <f t="shared" si="19"/>
        <v>43287</v>
      </c>
    </row>
    <row r="1227" s="6" customFormat="1" spans="1:33">
      <c r="A1227" s="5" t="s">
        <v>5820</v>
      </c>
      <c r="B1227" s="5" t="s">
        <v>5820</v>
      </c>
      <c r="C1227" s="5" t="s">
        <v>5821</v>
      </c>
      <c r="D1227" s="5" t="s">
        <v>5822</v>
      </c>
      <c r="E1227" s="5" t="s">
        <v>36</v>
      </c>
      <c r="F1227" s="5" t="s">
        <v>37</v>
      </c>
      <c r="G1227" s="5" t="s">
        <v>38</v>
      </c>
      <c r="H1227" s="5"/>
      <c r="I1227" s="5"/>
      <c r="J1227" s="5" t="s">
        <v>39</v>
      </c>
      <c r="K1227" s="5" t="s">
        <v>325</v>
      </c>
      <c r="L1227" s="5" t="s">
        <v>326</v>
      </c>
      <c r="M1227" s="5" t="s">
        <v>327</v>
      </c>
      <c r="N1227" s="5" t="s">
        <v>36</v>
      </c>
      <c r="O1227" s="5">
        <v>1</v>
      </c>
      <c r="P1227" s="5" t="s">
        <v>43</v>
      </c>
      <c r="Q1227" s="5">
        <v>10</v>
      </c>
      <c r="R1227" s="5"/>
      <c r="S1227" s="5"/>
      <c r="T1227" s="5"/>
      <c r="U1227" s="5"/>
      <c r="V1227" s="5"/>
      <c r="W1227" s="5"/>
      <c r="X1227" s="5"/>
      <c r="Y1227" s="5" t="s">
        <v>5823</v>
      </c>
      <c r="Z1227" s="5" t="s">
        <v>223</v>
      </c>
      <c r="AA1227" s="5" t="s">
        <v>5824</v>
      </c>
      <c r="AB1227" s="5" t="s">
        <v>46</v>
      </c>
      <c r="AC1227" s="5"/>
      <c r="AD1227" s="5" t="b">
        <v>0</v>
      </c>
      <c r="AE1227" s="5"/>
      <c r="AF1227" s="5"/>
      <c r="AG1227" s="9">
        <f t="shared" si="19"/>
        <v>43287</v>
      </c>
    </row>
    <row r="1228" s="6" customFormat="1" spans="1:33">
      <c r="A1228" s="5" t="s">
        <v>5825</v>
      </c>
      <c r="B1228" s="5" t="s">
        <v>5825</v>
      </c>
      <c r="C1228" s="5" t="s">
        <v>5826</v>
      </c>
      <c r="D1228" s="5" t="s">
        <v>5827</v>
      </c>
      <c r="E1228" s="5" t="s">
        <v>36</v>
      </c>
      <c r="F1228" s="5" t="s">
        <v>37</v>
      </c>
      <c r="G1228" s="5" t="s">
        <v>38</v>
      </c>
      <c r="H1228" s="5"/>
      <c r="I1228" s="5"/>
      <c r="J1228" s="5" t="s">
        <v>39</v>
      </c>
      <c r="K1228" s="5" t="s">
        <v>4038</v>
      </c>
      <c r="L1228" s="5" t="s">
        <v>76</v>
      </c>
      <c r="M1228" s="5" t="s">
        <v>77</v>
      </c>
      <c r="N1228" s="5" t="s">
        <v>36</v>
      </c>
      <c r="O1228" s="5">
        <v>1</v>
      </c>
      <c r="P1228" s="5" t="s">
        <v>43</v>
      </c>
      <c r="Q1228" s="5">
        <v>13.99</v>
      </c>
      <c r="R1228" s="5"/>
      <c r="S1228" s="5"/>
      <c r="T1228" s="5"/>
      <c r="U1228" s="5"/>
      <c r="V1228" s="5"/>
      <c r="W1228" s="5"/>
      <c r="X1228" s="5"/>
      <c r="Y1228" s="5" t="s">
        <v>5828</v>
      </c>
      <c r="Z1228" s="5" t="s">
        <v>96</v>
      </c>
      <c r="AA1228" s="5">
        <v>60542</v>
      </c>
      <c r="AB1228" s="5" t="s">
        <v>46</v>
      </c>
      <c r="AC1228" s="5"/>
      <c r="AD1228" s="5" t="b">
        <v>0</v>
      </c>
      <c r="AE1228" s="5"/>
      <c r="AF1228" s="5"/>
      <c r="AG1228" s="9">
        <f t="shared" si="19"/>
        <v>43287</v>
      </c>
    </row>
    <row r="1229" s="6" customFormat="1" spans="1:33">
      <c r="A1229" s="5" t="s">
        <v>5829</v>
      </c>
      <c r="B1229" s="5" t="s">
        <v>5829</v>
      </c>
      <c r="C1229" s="5" t="s">
        <v>5830</v>
      </c>
      <c r="D1229" s="5" t="s">
        <v>5831</v>
      </c>
      <c r="E1229" s="5" t="s">
        <v>36</v>
      </c>
      <c r="F1229" s="5" t="s">
        <v>37</v>
      </c>
      <c r="G1229" s="5" t="s">
        <v>38</v>
      </c>
      <c r="H1229" s="5"/>
      <c r="I1229" s="5"/>
      <c r="J1229" s="5" t="s">
        <v>287</v>
      </c>
      <c r="K1229" s="5" t="s">
        <v>58</v>
      </c>
      <c r="L1229" s="5" t="s">
        <v>59</v>
      </c>
      <c r="M1229" s="5" t="s">
        <v>60</v>
      </c>
      <c r="N1229" s="5" t="s">
        <v>36</v>
      </c>
      <c r="O1229" s="5">
        <v>1</v>
      </c>
      <c r="P1229" s="5" t="s">
        <v>43</v>
      </c>
      <c r="Q1229" s="5">
        <v>13.99</v>
      </c>
      <c r="R1229" s="5"/>
      <c r="S1229" s="5">
        <v>8.99</v>
      </c>
      <c r="T1229" s="5"/>
      <c r="U1229" s="5"/>
      <c r="V1229" s="5"/>
      <c r="W1229" s="5"/>
      <c r="X1229" s="5"/>
      <c r="Y1229" s="5" t="s">
        <v>5832</v>
      </c>
      <c r="Z1229" s="5" t="s">
        <v>282</v>
      </c>
      <c r="AA1229" s="5" t="s">
        <v>5833</v>
      </c>
      <c r="AB1229" s="5" t="s">
        <v>46</v>
      </c>
      <c r="AC1229" s="5"/>
      <c r="AD1229" s="5" t="b">
        <v>0</v>
      </c>
      <c r="AE1229" s="5"/>
      <c r="AF1229" s="5"/>
      <c r="AG1229" s="9">
        <f t="shared" si="19"/>
        <v>43287</v>
      </c>
    </row>
    <row r="1230" s="6" customFormat="1" spans="1:33">
      <c r="A1230" s="5" t="s">
        <v>5834</v>
      </c>
      <c r="B1230" s="5" t="s">
        <v>5834</v>
      </c>
      <c r="C1230" s="5" t="s">
        <v>5835</v>
      </c>
      <c r="D1230" s="5" t="s">
        <v>5836</v>
      </c>
      <c r="E1230" s="5" t="s">
        <v>36</v>
      </c>
      <c r="F1230" s="5" t="s">
        <v>37</v>
      </c>
      <c r="G1230" s="5" t="s">
        <v>38</v>
      </c>
      <c r="H1230" s="5"/>
      <c r="I1230" s="5"/>
      <c r="J1230" s="5" t="s">
        <v>39</v>
      </c>
      <c r="K1230" s="5" t="s">
        <v>3798</v>
      </c>
      <c r="L1230" s="5" t="s">
        <v>1048</v>
      </c>
      <c r="M1230" s="5" t="s">
        <v>535</v>
      </c>
      <c r="N1230" s="5" t="s">
        <v>36</v>
      </c>
      <c r="O1230" s="5">
        <v>1</v>
      </c>
      <c r="P1230" s="5" t="s">
        <v>43</v>
      </c>
      <c r="Q1230" s="5">
        <v>24.99</v>
      </c>
      <c r="R1230" s="5"/>
      <c r="S1230" s="5"/>
      <c r="T1230" s="5"/>
      <c r="U1230" s="5"/>
      <c r="V1230" s="5"/>
      <c r="W1230" s="5"/>
      <c r="X1230" s="5"/>
      <c r="Y1230" s="5" t="s">
        <v>3260</v>
      </c>
      <c r="Z1230" s="5" t="s">
        <v>391</v>
      </c>
      <c r="AA1230" s="5" t="s">
        <v>5837</v>
      </c>
      <c r="AB1230" s="5" t="s">
        <v>46</v>
      </c>
      <c r="AC1230" s="5"/>
      <c r="AD1230" s="5" t="b">
        <v>0</v>
      </c>
      <c r="AE1230" s="5"/>
      <c r="AF1230" s="5"/>
      <c r="AG1230" s="9">
        <f t="shared" si="19"/>
        <v>43287</v>
      </c>
    </row>
    <row r="1231" s="6" customFormat="1" spans="1:33">
      <c r="A1231" s="5" t="s">
        <v>5838</v>
      </c>
      <c r="B1231" s="5" t="s">
        <v>5838</v>
      </c>
      <c r="C1231" s="5" t="s">
        <v>5839</v>
      </c>
      <c r="D1231" s="5" t="s">
        <v>5840</v>
      </c>
      <c r="E1231" s="5" t="s">
        <v>36</v>
      </c>
      <c r="F1231" s="5" t="s">
        <v>37</v>
      </c>
      <c r="G1231" s="5" t="s">
        <v>38</v>
      </c>
      <c r="H1231" s="5"/>
      <c r="I1231" s="5"/>
      <c r="J1231" s="5" t="s">
        <v>39</v>
      </c>
      <c r="K1231" s="5" t="s">
        <v>3940</v>
      </c>
      <c r="L1231" s="5" t="s">
        <v>2099</v>
      </c>
      <c r="M1231" s="5" t="s">
        <v>121</v>
      </c>
      <c r="N1231" s="5" t="s">
        <v>36</v>
      </c>
      <c r="O1231" s="5">
        <v>1</v>
      </c>
      <c r="P1231" s="5" t="s">
        <v>43</v>
      </c>
      <c r="Q1231" s="5">
        <v>24.99</v>
      </c>
      <c r="R1231" s="5"/>
      <c r="S1231" s="5"/>
      <c r="T1231" s="5"/>
      <c r="U1231" s="5"/>
      <c r="V1231" s="5"/>
      <c r="W1231" s="5"/>
      <c r="X1231" s="5"/>
      <c r="Y1231" s="5" t="s">
        <v>5841</v>
      </c>
      <c r="Z1231" s="5" t="s">
        <v>649</v>
      </c>
      <c r="AA1231" s="5" t="s">
        <v>5842</v>
      </c>
      <c r="AB1231" s="5" t="s">
        <v>46</v>
      </c>
      <c r="AC1231" s="5"/>
      <c r="AD1231" s="5" t="b">
        <v>0</v>
      </c>
      <c r="AE1231" s="5"/>
      <c r="AF1231" s="5"/>
      <c r="AG1231" s="9">
        <f t="shared" si="19"/>
        <v>43287</v>
      </c>
    </row>
    <row r="1232" s="6" customFormat="1" spans="1:33">
      <c r="A1232" s="5" t="s">
        <v>5843</v>
      </c>
      <c r="B1232" s="5" t="s">
        <v>5843</v>
      </c>
      <c r="C1232" s="5" t="s">
        <v>5844</v>
      </c>
      <c r="D1232" s="5" t="s">
        <v>5845</v>
      </c>
      <c r="E1232" s="5" t="s">
        <v>36</v>
      </c>
      <c r="F1232" s="5" t="s">
        <v>37</v>
      </c>
      <c r="G1232" s="5" t="s">
        <v>38</v>
      </c>
      <c r="H1232" s="5"/>
      <c r="I1232" s="5"/>
      <c r="J1232" s="5" t="s">
        <v>39</v>
      </c>
      <c r="K1232" s="5" t="s">
        <v>4085</v>
      </c>
      <c r="L1232" s="5" t="s">
        <v>102</v>
      </c>
      <c r="M1232" s="5" t="s">
        <v>103</v>
      </c>
      <c r="N1232" s="5" t="s">
        <v>36</v>
      </c>
      <c r="O1232" s="5">
        <v>1</v>
      </c>
      <c r="P1232" s="5" t="s">
        <v>43</v>
      </c>
      <c r="Q1232" s="5">
        <v>13.99</v>
      </c>
      <c r="R1232" s="5">
        <v>0.84</v>
      </c>
      <c r="S1232" s="5"/>
      <c r="T1232" s="5"/>
      <c r="U1232" s="5"/>
      <c r="V1232" s="5"/>
      <c r="W1232" s="5"/>
      <c r="X1232" s="5"/>
      <c r="Y1232" s="5" t="s">
        <v>5261</v>
      </c>
      <c r="Z1232" s="5" t="s">
        <v>255</v>
      </c>
      <c r="AA1232" s="5" t="s">
        <v>5846</v>
      </c>
      <c r="AB1232" s="5" t="s">
        <v>46</v>
      </c>
      <c r="AC1232" s="5"/>
      <c r="AD1232" s="5" t="b">
        <v>0</v>
      </c>
      <c r="AE1232" s="5"/>
      <c r="AF1232" s="5"/>
      <c r="AG1232" s="9">
        <f t="shared" si="19"/>
        <v>43287</v>
      </c>
    </row>
    <row r="1233" s="6" customFormat="1" spans="1:33">
      <c r="A1233" s="5" t="s">
        <v>5847</v>
      </c>
      <c r="B1233" s="5" t="s">
        <v>5847</v>
      </c>
      <c r="C1233" s="5" t="s">
        <v>5848</v>
      </c>
      <c r="D1233" s="5" t="s">
        <v>5849</v>
      </c>
      <c r="E1233" s="5" t="s">
        <v>36</v>
      </c>
      <c r="F1233" s="5" t="s">
        <v>37</v>
      </c>
      <c r="G1233" s="5" t="s">
        <v>38</v>
      </c>
      <c r="H1233" s="5"/>
      <c r="I1233" s="5"/>
      <c r="J1233" s="5" t="s">
        <v>39</v>
      </c>
      <c r="K1233" s="5" t="s">
        <v>5850</v>
      </c>
      <c r="L1233" s="5" t="s">
        <v>5851</v>
      </c>
      <c r="M1233" s="5" t="s">
        <v>5852</v>
      </c>
      <c r="N1233" s="5" t="s">
        <v>36</v>
      </c>
      <c r="O1233" s="5">
        <v>2</v>
      </c>
      <c r="P1233" s="5" t="s">
        <v>43</v>
      </c>
      <c r="Q1233" s="5">
        <v>24</v>
      </c>
      <c r="R1233" s="5"/>
      <c r="S1233" s="5"/>
      <c r="T1233" s="5"/>
      <c r="U1233" s="5"/>
      <c r="V1233" s="5"/>
      <c r="W1233" s="5"/>
      <c r="X1233" s="5"/>
      <c r="Y1233" s="5" t="s">
        <v>4981</v>
      </c>
      <c r="Z1233" s="5" t="s">
        <v>4982</v>
      </c>
      <c r="AA1233" s="5" t="s">
        <v>5853</v>
      </c>
      <c r="AB1233" s="5" t="s">
        <v>46</v>
      </c>
      <c r="AC1233" s="5"/>
      <c r="AD1233" s="5" t="b">
        <v>0</v>
      </c>
      <c r="AE1233" s="5"/>
      <c r="AF1233" s="5"/>
      <c r="AG1233" s="9">
        <f t="shared" si="19"/>
        <v>43287</v>
      </c>
    </row>
    <row r="1234" s="6" customFormat="1" spans="1:33">
      <c r="A1234" s="5" t="s">
        <v>5854</v>
      </c>
      <c r="B1234" s="5" t="s">
        <v>5854</v>
      </c>
      <c r="C1234" s="5" t="s">
        <v>5855</v>
      </c>
      <c r="D1234" s="5" t="s">
        <v>5856</v>
      </c>
      <c r="E1234" s="5" t="s">
        <v>36</v>
      </c>
      <c r="F1234" s="5" t="s">
        <v>37</v>
      </c>
      <c r="G1234" s="5" t="s">
        <v>38</v>
      </c>
      <c r="H1234" s="5"/>
      <c r="I1234" s="5"/>
      <c r="J1234" s="5" t="s">
        <v>39</v>
      </c>
      <c r="K1234" s="5" t="s">
        <v>587</v>
      </c>
      <c r="L1234" s="5" t="s">
        <v>588</v>
      </c>
      <c r="M1234" s="5" t="s">
        <v>589</v>
      </c>
      <c r="N1234" s="5" t="s">
        <v>36</v>
      </c>
      <c r="O1234" s="5">
        <v>1</v>
      </c>
      <c r="P1234" s="5" t="s">
        <v>43</v>
      </c>
      <c r="Q1234" s="5">
        <v>18.99</v>
      </c>
      <c r="R1234" s="5"/>
      <c r="S1234" s="5"/>
      <c r="T1234" s="5"/>
      <c r="U1234" s="5"/>
      <c r="V1234" s="5"/>
      <c r="W1234" s="5"/>
      <c r="X1234" s="5"/>
      <c r="Y1234" s="5" t="s">
        <v>4708</v>
      </c>
      <c r="Z1234" s="5" t="s">
        <v>247</v>
      </c>
      <c r="AA1234" s="5" t="s">
        <v>5857</v>
      </c>
      <c r="AB1234" s="5" t="s">
        <v>46</v>
      </c>
      <c r="AC1234" s="5"/>
      <c r="AD1234" s="5" t="b">
        <v>0</v>
      </c>
      <c r="AE1234" s="5"/>
      <c r="AF1234" s="5"/>
      <c r="AG1234" s="9">
        <f t="shared" si="19"/>
        <v>43287</v>
      </c>
    </row>
    <row r="1235" s="6" customFormat="1" spans="1:33">
      <c r="A1235" s="5" t="s">
        <v>5858</v>
      </c>
      <c r="B1235" s="5" t="s">
        <v>5858</v>
      </c>
      <c r="C1235" s="5" t="s">
        <v>5859</v>
      </c>
      <c r="D1235" s="5" t="s">
        <v>5860</v>
      </c>
      <c r="E1235" s="5" t="s">
        <v>36</v>
      </c>
      <c r="F1235" s="5" t="s">
        <v>37</v>
      </c>
      <c r="G1235" s="5" t="s">
        <v>38</v>
      </c>
      <c r="H1235" s="5"/>
      <c r="I1235" s="5"/>
      <c r="J1235" s="5" t="s">
        <v>39</v>
      </c>
      <c r="K1235" s="5" t="s">
        <v>4085</v>
      </c>
      <c r="L1235" s="5" t="s">
        <v>102</v>
      </c>
      <c r="M1235" s="5" t="s">
        <v>103</v>
      </c>
      <c r="N1235" s="5" t="s">
        <v>36</v>
      </c>
      <c r="O1235" s="5">
        <v>1</v>
      </c>
      <c r="P1235" s="5" t="s">
        <v>43</v>
      </c>
      <c r="Q1235" s="5">
        <v>13.99</v>
      </c>
      <c r="R1235" s="5"/>
      <c r="S1235" s="5"/>
      <c r="T1235" s="5"/>
      <c r="U1235" s="5"/>
      <c r="V1235" s="5"/>
      <c r="W1235" s="5"/>
      <c r="X1235" s="5"/>
      <c r="Y1235" s="5" t="s">
        <v>5861</v>
      </c>
      <c r="Z1235" s="5" t="s">
        <v>703</v>
      </c>
      <c r="AA1235" s="5">
        <v>77640</v>
      </c>
      <c r="AB1235" s="5" t="s">
        <v>46</v>
      </c>
      <c r="AC1235" s="5"/>
      <c r="AD1235" s="5" t="b">
        <v>0</v>
      </c>
      <c r="AE1235" s="5"/>
      <c r="AF1235" s="5"/>
      <c r="AG1235" s="9">
        <f t="shared" si="19"/>
        <v>43287</v>
      </c>
    </row>
    <row r="1236" s="6" customFormat="1" spans="1:33">
      <c r="A1236" s="5" t="s">
        <v>5862</v>
      </c>
      <c r="B1236" s="5" t="s">
        <v>5862</v>
      </c>
      <c r="C1236" s="5" t="s">
        <v>5863</v>
      </c>
      <c r="D1236" s="5" t="s">
        <v>5864</v>
      </c>
      <c r="E1236" s="5" t="s">
        <v>36</v>
      </c>
      <c r="F1236" s="5" t="s">
        <v>37</v>
      </c>
      <c r="G1236" s="5" t="s">
        <v>38</v>
      </c>
      <c r="H1236" s="5"/>
      <c r="I1236" s="5"/>
      <c r="J1236" s="5" t="s">
        <v>287</v>
      </c>
      <c r="K1236" s="5" t="s">
        <v>4142</v>
      </c>
      <c r="L1236" s="5" t="s">
        <v>4143</v>
      </c>
      <c r="M1236" s="5" t="s">
        <v>4144</v>
      </c>
      <c r="N1236" s="5" t="s">
        <v>36</v>
      </c>
      <c r="O1236" s="5">
        <v>1</v>
      </c>
      <c r="P1236" s="5" t="s">
        <v>43</v>
      </c>
      <c r="Q1236" s="5">
        <v>10</v>
      </c>
      <c r="R1236" s="5"/>
      <c r="S1236" s="5">
        <v>8.99</v>
      </c>
      <c r="T1236" s="5"/>
      <c r="U1236" s="5"/>
      <c r="V1236" s="5"/>
      <c r="W1236" s="5"/>
      <c r="X1236" s="5"/>
      <c r="Y1236" s="5" t="s">
        <v>5865</v>
      </c>
      <c r="Z1236" s="5" t="s">
        <v>247</v>
      </c>
      <c r="AA1236" s="5" t="s">
        <v>5866</v>
      </c>
      <c r="AB1236" s="5" t="s">
        <v>46</v>
      </c>
      <c r="AC1236" s="5"/>
      <c r="AD1236" s="5" t="b">
        <v>0</v>
      </c>
      <c r="AE1236" s="5"/>
      <c r="AF1236" s="5"/>
      <c r="AG1236" s="9">
        <f t="shared" si="19"/>
        <v>43287</v>
      </c>
    </row>
    <row r="1237" s="6" customFormat="1" spans="1:33">
      <c r="A1237" s="5" t="s">
        <v>5867</v>
      </c>
      <c r="B1237" s="5" t="s">
        <v>5867</v>
      </c>
      <c r="C1237" s="5" t="s">
        <v>5868</v>
      </c>
      <c r="D1237" s="5" t="s">
        <v>5869</v>
      </c>
      <c r="E1237" s="5" t="s">
        <v>36</v>
      </c>
      <c r="F1237" s="5" t="s">
        <v>37</v>
      </c>
      <c r="G1237" s="5" t="s">
        <v>38</v>
      </c>
      <c r="H1237" s="5"/>
      <c r="I1237" s="5"/>
      <c r="J1237" s="5" t="s">
        <v>39</v>
      </c>
      <c r="K1237" s="5" t="s">
        <v>1407</v>
      </c>
      <c r="L1237" s="5" t="s">
        <v>1408</v>
      </c>
      <c r="M1237" s="5" t="s">
        <v>1409</v>
      </c>
      <c r="N1237" s="5" t="s">
        <v>36</v>
      </c>
      <c r="O1237" s="5">
        <v>1</v>
      </c>
      <c r="P1237" s="5" t="s">
        <v>43</v>
      </c>
      <c r="Q1237" s="5">
        <v>29.99</v>
      </c>
      <c r="R1237" s="5"/>
      <c r="S1237" s="5"/>
      <c r="T1237" s="5"/>
      <c r="U1237" s="5"/>
      <c r="V1237" s="5"/>
      <c r="W1237" s="5"/>
      <c r="X1237" s="5"/>
      <c r="Y1237" s="5" t="s">
        <v>3022</v>
      </c>
      <c r="Z1237" s="5" t="s">
        <v>54</v>
      </c>
      <c r="AA1237" s="5" t="s">
        <v>5870</v>
      </c>
      <c r="AB1237" s="5" t="s">
        <v>46</v>
      </c>
      <c r="AC1237" s="5"/>
      <c r="AD1237" s="5" t="b">
        <v>0</v>
      </c>
      <c r="AE1237" s="5"/>
      <c r="AF1237" s="5"/>
      <c r="AG1237" s="9">
        <f t="shared" si="19"/>
        <v>43287</v>
      </c>
    </row>
    <row r="1238" s="6" customFormat="1" spans="1:33">
      <c r="A1238" s="5" t="s">
        <v>5871</v>
      </c>
      <c r="B1238" s="5" t="s">
        <v>5871</v>
      </c>
      <c r="C1238" s="5" t="s">
        <v>5872</v>
      </c>
      <c r="D1238" s="5" t="s">
        <v>5873</v>
      </c>
      <c r="E1238" s="5" t="s">
        <v>36</v>
      </c>
      <c r="F1238" s="5" t="s">
        <v>37</v>
      </c>
      <c r="G1238" s="5" t="s">
        <v>38</v>
      </c>
      <c r="H1238" s="5"/>
      <c r="I1238" s="5"/>
      <c r="J1238" s="5" t="s">
        <v>39</v>
      </c>
      <c r="K1238" s="5" t="s">
        <v>3798</v>
      </c>
      <c r="L1238" s="5" t="s">
        <v>1048</v>
      </c>
      <c r="M1238" s="5" t="s">
        <v>535</v>
      </c>
      <c r="N1238" s="5" t="s">
        <v>36</v>
      </c>
      <c r="O1238" s="5">
        <v>1</v>
      </c>
      <c r="P1238" s="5" t="s">
        <v>43</v>
      </c>
      <c r="Q1238" s="5">
        <v>24.99</v>
      </c>
      <c r="R1238" s="5">
        <v>1.5</v>
      </c>
      <c r="S1238" s="5"/>
      <c r="T1238" s="5"/>
      <c r="U1238" s="5"/>
      <c r="V1238" s="5"/>
      <c r="W1238" s="5"/>
      <c r="X1238" s="5"/>
      <c r="Y1238" s="5" t="s">
        <v>5874</v>
      </c>
      <c r="Z1238" s="5" t="s">
        <v>255</v>
      </c>
      <c r="AA1238" s="5">
        <v>17350</v>
      </c>
      <c r="AB1238" s="5" t="s">
        <v>46</v>
      </c>
      <c r="AC1238" s="5"/>
      <c r="AD1238" s="5" t="b">
        <v>0</v>
      </c>
      <c r="AE1238" s="5"/>
      <c r="AF1238" s="5"/>
      <c r="AG1238" s="9">
        <f t="shared" si="19"/>
        <v>43287</v>
      </c>
    </row>
    <row r="1239" s="6" customFormat="1" spans="1:33">
      <c r="A1239" s="5" t="s">
        <v>5871</v>
      </c>
      <c r="B1239" s="5" t="s">
        <v>5871</v>
      </c>
      <c r="C1239" s="5" t="s">
        <v>5872</v>
      </c>
      <c r="D1239" s="5" t="s">
        <v>5873</v>
      </c>
      <c r="E1239" s="5" t="s">
        <v>36</v>
      </c>
      <c r="F1239" s="5" t="s">
        <v>37</v>
      </c>
      <c r="G1239" s="5" t="s">
        <v>38</v>
      </c>
      <c r="H1239" s="5"/>
      <c r="I1239" s="5"/>
      <c r="J1239" s="5" t="s">
        <v>39</v>
      </c>
      <c r="K1239" s="5" t="s">
        <v>3940</v>
      </c>
      <c r="L1239" s="5" t="s">
        <v>2099</v>
      </c>
      <c r="M1239" s="5" t="s">
        <v>121</v>
      </c>
      <c r="N1239" s="5" t="s">
        <v>36</v>
      </c>
      <c r="O1239" s="5">
        <v>1</v>
      </c>
      <c r="P1239" s="5" t="s">
        <v>43</v>
      </c>
      <c r="Q1239" s="5">
        <v>24.99</v>
      </c>
      <c r="R1239" s="5">
        <v>1.5</v>
      </c>
      <c r="S1239" s="5"/>
      <c r="T1239" s="5"/>
      <c r="U1239" s="5"/>
      <c r="V1239" s="5"/>
      <c r="W1239" s="5"/>
      <c r="X1239" s="5"/>
      <c r="Y1239" s="5" t="s">
        <v>5874</v>
      </c>
      <c r="Z1239" s="5" t="s">
        <v>255</v>
      </c>
      <c r="AA1239" s="5">
        <v>17350</v>
      </c>
      <c r="AB1239" s="5" t="s">
        <v>46</v>
      </c>
      <c r="AC1239" s="5"/>
      <c r="AD1239" s="5" t="b">
        <v>0</v>
      </c>
      <c r="AE1239" s="5"/>
      <c r="AF1239" s="5"/>
      <c r="AG1239" s="9">
        <f t="shared" si="19"/>
        <v>43287</v>
      </c>
    </row>
    <row r="1240" s="6" customFormat="1" spans="1:33">
      <c r="A1240" s="5" t="s">
        <v>5871</v>
      </c>
      <c r="B1240" s="5" t="s">
        <v>5871</v>
      </c>
      <c r="C1240" s="5" t="s">
        <v>5872</v>
      </c>
      <c r="D1240" s="5" t="s">
        <v>5873</v>
      </c>
      <c r="E1240" s="5" t="s">
        <v>36</v>
      </c>
      <c r="F1240" s="5" t="s">
        <v>37</v>
      </c>
      <c r="G1240" s="5" t="s">
        <v>38</v>
      </c>
      <c r="H1240" s="5"/>
      <c r="I1240" s="5"/>
      <c r="J1240" s="5" t="s">
        <v>39</v>
      </c>
      <c r="K1240" s="5" t="s">
        <v>3923</v>
      </c>
      <c r="L1240" s="5" t="s">
        <v>2578</v>
      </c>
      <c r="M1240" s="5" t="s">
        <v>314</v>
      </c>
      <c r="N1240" s="5" t="s">
        <v>36</v>
      </c>
      <c r="O1240" s="5">
        <v>1</v>
      </c>
      <c r="P1240" s="5" t="s">
        <v>43</v>
      </c>
      <c r="Q1240" s="5">
        <v>23.99</v>
      </c>
      <c r="R1240" s="5">
        <v>1.44</v>
      </c>
      <c r="S1240" s="5"/>
      <c r="T1240" s="5"/>
      <c r="U1240" s="5"/>
      <c r="V1240" s="5"/>
      <c r="W1240" s="5"/>
      <c r="X1240" s="5"/>
      <c r="Y1240" s="5" t="s">
        <v>5874</v>
      </c>
      <c r="Z1240" s="5" t="s">
        <v>255</v>
      </c>
      <c r="AA1240" s="5">
        <v>17350</v>
      </c>
      <c r="AB1240" s="5" t="s">
        <v>46</v>
      </c>
      <c r="AC1240" s="5"/>
      <c r="AD1240" s="5" t="b">
        <v>0</v>
      </c>
      <c r="AE1240" s="5"/>
      <c r="AF1240" s="5"/>
      <c r="AG1240" s="9">
        <f t="shared" si="19"/>
        <v>43287</v>
      </c>
    </row>
    <row r="1241" s="6" customFormat="1" spans="1:33">
      <c r="A1241" s="5" t="s">
        <v>5875</v>
      </c>
      <c r="B1241" s="5" t="s">
        <v>5875</v>
      </c>
      <c r="C1241" s="5" t="s">
        <v>5876</v>
      </c>
      <c r="D1241" s="5" t="s">
        <v>5877</v>
      </c>
      <c r="E1241" s="5" t="s">
        <v>36</v>
      </c>
      <c r="F1241" s="5" t="s">
        <v>37</v>
      </c>
      <c r="G1241" s="5" t="s">
        <v>38</v>
      </c>
      <c r="H1241" s="5"/>
      <c r="I1241" s="5"/>
      <c r="J1241" s="5" t="s">
        <v>39</v>
      </c>
      <c r="K1241" s="5" t="s">
        <v>3752</v>
      </c>
      <c r="L1241" s="5" t="s">
        <v>244</v>
      </c>
      <c r="M1241" s="5" t="s">
        <v>245</v>
      </c>
      <c r="N1241" s="5" t="s">
        <v>36</v>
      </c>
      <c r="O1241" s="5">
        <v>1</v>
      </c>
      <c r="P1241" s="5" t="s">
        <v>43</v>
      </c>
      <c r="Q1241" s="5">
        <v>18.99</v>
      </c>
      <c r="R1241" s="5"/>
      <c r="S1241" s="5"/>
      <c r="T1241" s="5"/>
      <c r="U1241" s="5"/>
      <c r="V1241" s="5"/>
      <c r="W1241" s="5"/>
      <c r="X1241" s="5"/>
      <c r="Y1241" s="5" t="s">
        <v>5878</v>
      </c>
      <c r="Z1241" s="5" t="s">
        <v>238</v>
      </c>
      <c r="AA1241" s="5" t="s">
        <v>5879</v>
      </c>
      <c r="AB1241" s="5" t="s">
        <v>46</v>
      </c>
      <c r="AC1241" s="5"/>
      <c r="AD1241" s="5" t="b">
        <v>0</v>
      </c>
      <c r="AE1241" s="5"/>
      <c r="AF1241" s="5"/>
      <c r="AG1241" s="9">
        <f t="shared" si="19"/>
        <v>43287</v>
      </c>
    </row>
    <row r="1242" s="6" customFormat="1" spans="1:33">
      <c r="A1242" s="5" t="s">
        <v>5880</v>
      </c>
      <c r="B1242" s="5" t="s">
        <v>5880</v>
      </c>
      <c r="C1242" s="5" t="s">
        <v>5881</v>
      </c>
      <c r="D1242" s="5" t="s">
        <v>5882</v>
      </c>
      <c r="E1242" s="5" t="s">
        <v>36</v>
      </c>
      <c r="F1242" s="5" t="s">
        <v>37</v>
      </c>
      <c r="G1242" s="5" t="s">
        <v>38</v>
      </c>
      <c r="H1242" s="5"/>
      <c r="I1242" s="5"/>
      <c r="J1242" s="5" t="s">
        <v>39</v>
      </c>
      <c r="K1242" s="5" t="s">
        <v>3714</v>
      </c>
      <c r="L1242" s="5" t="s">
        <v>148</v>
      </c>
      <c r="M1242" s="5" t="s">
        <v>149</v>
      </c>
      <c r="N1242" s="5" t="s">
        <v>36</v>
      </c>
      <c r="O1242" s="5">
        <v>1</v>
      </c>
      <c r="P1242" s="5" t="s">
        <v>43</v>
      </c>
      <c r="Q1242" s="5">
        <v>13.99</v>
      </c>
      <c r="R1242" s="5"/>
      <c r="S1242" s="5"/>
      <c r="T1242" s="5"/>
      <c r="U1242" s="5"/>
      <c r="V1242" s="5"/>
      <c r="W1242" s="5"/>
      <c r="X1242" s="5"/>
      <c r="Y1242" s="5" t="s">
        <v>4281</v>
      </c>
      <c r="Z1242" s="5" t="s">
        <v>183</v>
      </c>
      <c r="AA1242" s="5" t="s">
        <v>5883</v>
      </c>
      <c r="AB1242" s="5" t="s">
        <v>46</v>
      </c>
      <c r="AC1242" s="5"/>
      <c r="AD1242" s="5" t="b">
        <v>0</v>
      </c>
      <c r="AE1242" s="5"/>
      <c r="AF1242" s="5"/>
      <c r="AG1242" s="9">
        <f t="shared" si="19"/>
        <v>43287</v>
      </c>
    </row>
    <row r="1243" s="6" customFormat="1" spans="1:33">
      <c r="A1243" s="5" t="s">
        <v>5884</v>
      </c>
      <c r="B1243" s="5" t="s">
        <v>5884</v>
      </c>
      <c r="C1243" s="5" t="s">
        <v>5885</v>
      </c>
      <c r="D1243" s="5" t="s">
        <v>5886</v>
      </c>
      <c r="E1243" s="5" t="s">
        <v>36</v>
      </c>
      <c r="F1243" s="5" t="s">
        <v>37</v>
      </c>
      <c r="G1243" s="5" t="s">
        <v>38</v>
      </c>
      <c r="H1243" s="5"/>
      <c r="I1243" s="5"/>
      <c r="J1243" s="5" t="s">
        <v>39</v>
      </c>
      <c r="K1243" s="5" t="s">
        <v>293</v>
      </c>
      <c r="L1243" s="5" t="s">
        <v>294</v>
      </c>
      <c r="M1243" s="5" t="s">
        <v>295</v>
      </c>
      <c r="N1243" s="5" t="s">
        <v>36</v>
      </c>
      <c r="O1243" s="5">
        <v>1</v>
      </c>
      <c r="P1243" s="5" t="s">
        <v>43</v>
      </c>
      <c r="Q1243" s="5">
        <v>18.99</v>
      </c>
      <c r="R1243" s="5"/>
      <c r="S1243" s="5"/>
      <c r="T1243" s="5"/>
      <c r="U1243" s="5"/>
      <c r="V1243" s="5"/>
      <c r="W1243" s="5"/>
      <c r="X1243" s="5"/>
      <c r="Y1243" s="5" t="s">
        <v>5182</v>
      </c>
      <c r="Z1243" s="5" t="s">
        <v>54</v>
      </c>
      <c r="AA1243" s="5" t="s">
        <v>5183</v>
      </c>
      <c r="AB1243" s="5" t="s">
        <v>46</v>
      </c>
      <c r="AC1243" s="5"/>
      <c r="AD1243" s="5" t="b">
        <v>0</v>
      </c>
      <c r="AE1243" s="5"/>
      <c r="AF1243" s="5"/>
      <c r="AG1243" s="9">
        <f t="shared" si="19"/>
        <v>43287</v>
      </c>
    </row>
    <row r="1244" s="6" customFormat="1" spans="1:33">
      <c r="A1244" s="5" t="s">
        <v>5887</v>
      </c>
      <c r="B1244" s="5" t="s">
        <v>5887</v>
      </c>
      <c r="C1244" s="5" t="s">
        <v>5888</v>
      </c>
      <c r="D1244" s="5" t="s">
        <v>5889</v>
      </c>
      <c r="E1244" s="5" t="s">
        <v>36</v>
      </c>
      <c r="F1244" s="5" t="s">
        <v>37</v>
      </c>
      <c r="G1244" s="5" t="s">
        <v>38</v>
      </c>
      <c r="H1244" s="5"/>
      <c r="I1244" s="5"/>
      <c r="J1244" s="5" t="s">
        <v>39</v>
      </c>
      <c r="K1244" s="5" t="s">
        <v>434</v>
      </c>
      <c r="L1244" s="5" t="s">
        <v>435</v>
      </c>
      <c r="M1244" s="5" t="s">
        <v>436</v>
      </c>
      <c r="N1244" s="5" t="s">
        <v>36</v>
      </c>
      <c r="O1244" s="5">
        <v>1</v>
      </c>
      <c r="P1244" s="5" t="s">
        <v>43</v>
      </c>
      <c r="Q1244" s="5">
        <v>13.99</v>
      </c>
      <c r="R1244" s="5"/>
      <c r="S1244" s="5"/>
      <c r="T1244" s="5"/>
      <c r="U1244" s="5"/>
      <c r="V1244" s="5"/>
      <c r="W1244" s="5"/>
      <c r="X1244" s="5"/>
      <c r="Y1244" s="5" t="s">
        <v>5711</v>
      </c>
      <c r="Z1244" s="5" t="s">
        <v>218</v>
      </c>
      <c r="AA1244" s="5" t="s">
        <v>5890</v>
      </c>
      <c r="AB1244" s="5" t="s">
        <v>46</v>
      </c>
      <c r="AC1244" s="5"/>
      <c r="AD1244" s="5" t="b">
        <v>0</v>
      </c>
      <c r="AE1244" s="5"/>
      <c r="AF1244" s="5"/>
      <c r="AG1244" s="9">
        <f t="shared" si="19"/>
        <v>43288</v>
      </c>
    </row>
    <row r="1245" s="6" customFormat="1" spans="1:33">
      <c r="A1245" s="5" t="s">
        <v>5891</v>
      </c>
      <c r="B1245" s="5" t="s">
        <v>5891</v>
      </c>
      <c r="C1245" s="5" t="s">
        <v>5892</v>
      </c>
      <c r="D1245" s="5" t="s">
        <v>5893</v>
      </c>
      <c r="E1245" s="5" t="s">
        <v>36</v>
      </c>
      <c r="F1245" s="5" t="s">
        <v>37</v>
      </c>
      <c r="G1245" s="5" t="s">
        <v>38</v>
      </c>
      <c r="H1245" s="5"/>
      <c r="I1245" s="5"/>
      <c r="J1245" s="5" t="s">
        <v>39</v>
      </c>
      <c r="K1245" s="5" t="s">
        <v>4155</v>
      </c>
      <c r="L1245" s="5" t="s">
        <v>111</v>
      </c>
      <c r="M1245" s="5" t="s">
        <v>112</v>
      </c>
      <c r="N1245" s="5" t="s">
        <v>36</v>
      </c>
      <c r="O1245" s="5">
        <v>1</v>
      </c>
      <c r="P1245" s="5" t="s">
        <v>43</v>
      </c>
      <c r="Q1245" s="5">
        <v>13.99</v>
      </c>
      <c r="R1245" s="5"/>
      <c r="S1245" s="5"/>
      <c r="T1245" s="5"/>
      <c r="U1245" s="5"/>
      <c r="V1245" s="5"/>
      <c r="W1245" s="5"/>
      <c r="X1245" s="5"/>
      <c r="Y1245" s="5" t="s">
        <v>5894</v>
      </c>
      <c r="Z1245" s="5" t="s">
        <v>183</v>
      </c>
      <c r="AA1245" s="5" t="s">
        <v>5895</v>
      </c>
      <c r="AB1245" s="5" t="s">
        <v>46</v>
      </c>
      <c r="AC1245" s="5"/>
      <c r="AD1245" s="5" t="b">
        <v>0</v>
      </c>
      <c r="AE1245" s="5"/>
      <c r="AF1245" s="5"/>
      <c r="AG1245" s="9">
        <f t="shared" si="19"/>
        <v>43288</v>
      </c>
    </row>
    <row r="1246" s="6" customFormat="1" spans="1:33">
      <c r="A1246" s="5" t="s">
        <v>5896</v>
      </c>
      <c r="B1246" s="5" t="s">
        <v>5896</v>
      </c>
      <c r="C1246" s="5" t="s">
        <v>5897</v>
      </c>
      <c r="D1246" s="5" t="s">
        <v>5898</v>
      </c>
      <c r="E1246" s="5" t="s">
        <v>36</v>
      </c>
      <c r="F1246" s="5" t="s">
        <v>37</v>
      </c>
      <c r="G1246" s="5" t="s">
        <v>38</v>
      </c>
      <c r="H1246" s="5"/>
      <c r="I1246" s="5"/>
      <c r="J1246" s="5" t="s">
        <v>39</v>
      </c>
      <c r="K1246" s="5" t="s">
        <v>3703</v>
      </c>
      <c r="L1246" s="5" t="s">
        <v>388</v>
      </c>
      <c r="M1246" s="5" t="s">
        <v>389</v>
      </c>
      <c r="N1246" s="5" t="s">
        <v>36</v>
      </c>
      <c r="O1246" s="5">
        <v>1</v>
      </c>
      <c r="P1246" s="5" t="s">
        <v>43</v>
      </c>
      <c r="Q1246" s="5">
        <v>18.99</v>
      </c>
      <c r="R1246" s="5"/>
      <c r="S1246" s="5"/>
      <c r="T1246" s="5"/>
      <c r="U1246" s="5"/>
      <c r="V1246" s="5"/>
      <c r="W1246" s="5"/>
      <c r="X1246" s="5"/>
      <c r="Y1246" s="5" t="s">
        <v>946</v>
      </c>
      <c r="Z1246" s="5" t="s">
        <v>62</v>
      </c>
      <c r="AA1246" s="5" t="s">
        <v>5899</v>
      </c>
      <c r="AB1246" s="5" t="s">
        <v>46</v>
      </c>
      <c r="AC1246" s="5"/>
      <c r="AD1246" s="5" t="b">
        <v>0</v>
      </c>
      <c r="AE1246" s="5"/>
      <c r="AF1246" s="5"/>
      <c r="AG1246" s="9">
        <f t="shared" si="19"/>
        <v>43288</v>
      </c>
    </row>
    <row r="1247" s="6" customFormat="1" spans="1:33">
      <c r="A1247" s="5" t="s">
        <v>5896</v>
      </c>
      <c r="B1247" s="5" t="s">
        <v>5896</v>
      </c>
      <c r="C1247" s="5" t="s">
        <v>5897</v>
      </c>
      <c r="D1247" s="5" t="s">
        <v>5898</v>
      </c>
      <c r="E1247" s="5" t="s">
        <v>36</v>
      </c>
      <c r="F1247" s="5" t="s">
        <v>37</v>
      </c>
      <c r="G1247" s="5" t="s">
        <v>38</v>
      </c>
      <c r="H1247" s="5"/>
      <c r="I1247" s="5"/>
      <c r="J1247" s="5" t="s">
        <v>39</v>
      </c>
      <c r="K1247" s="5" t="s">
        <v>4155</v>
      </c>
      <c r="L1247" s="5" t="s">
        <v>111</v>
      </c>
      <c r="M1247" s="5" t="s">
        <v>112</v>
      </c>
      <c r="N1247" s="5" t="s">
        <v>36</v>
      </c>
      <c r="O1247" s="5">
        <v>1</v>
      </c>
      <c r="P1247" s="5" t="s">
        <v>43</v>
      </c>
      <c r="Q1247" s="5">
        <v>13.99</v>
      </c>
      <c r="R1247" s="5"/>
      <c r="S1247" s="5"/>
      <c r="T1247" s="5"/>
      <c r="U1247" s="5"/>
      <c r="V1247" s="5"/>
      <c r="W1247" s="5"/>
      <c r="X1247" s="5"/>
      <c r="Y1247" s="5" t="s">
        <v>946</v>
      </c>
      <c r="Z1247" s="5" t="s">
        <v>62</v>
      </c>
      <c r="AA1247" s="5" t="s">
        <v>5899</v>
      </c>
      <c r="AB1247" s="5" t="s">
        <v>46</v>
      </c>
      <c r="AC1247" s="5"/>
      <c r="AD1247" s="5" t="b">
        <v>0</v>
      </c>
      <c r="AE1247" s="5"/>
      <c r="AF1247" s="5"/>
      <c r="AG1247" s="9">
        <f t="shared" si="19"/>
        <v>43288</v>
      </c>
    </row>
    <row r="1248" s="6" customFormat="1" spans="1:33">
      <c r="A1248" s="5" t="s">
        <v>5900</v>
      </c>
      <c r="B1248" s="5" t="s">
        <v>5900</v>
      </c>
      <c r="C1248" s="5" t="s">
        <v>5901</v>
      </c>
      <c r="D1248" s="5" t="s">
        <v>5902</v>
      </c>
      <c r="E1248" s="5" t="s">
        <v>36</v>
      </c>
      <c r="F1248" s="5" t="s">
        <v>37</v>
      </c>
      <c r="G1248" s="5" t="s">
        <v>38</v>
      </c>
      <c r="H1248" s="5"/>
      <c r="I1248" s="5"/>
      <c r="J1248" s="5" t="s">
        <v>39</v>
      </c>
      <c r="K1248" s="5" t="s">
        <v>325</v>
      </c>
      <c r="L1248" s="5" t="s">
        <v>326</v>
      </c>
      <c r="M1248" s="5" t="s">
        <v>327</v>
      </c>
      <c r="N1248" s="5" t="s">
        <v>36</v>
      </c>
      <c r="O1248" s="5">
        <v>1</v>
      </c>
      <c r="P1248" s="5" t="s">
        <v>43</v>
      </c>
      <c r="Q1248" s="5">
        <v>10</v>
      </c>
      <c r="R1248" s="5"/>
      <c r="S1248" s="5"/>
      <c r="T1248" s="5"/>
      <c r="U1248" s="5"/>
      <c r="V1248" s="5"/>
      <c r="W1248" s="5"/>
      <c r="X1248" s="5"/>
      <c r="Y1248" s="5" t="s">
        <v>4462</v>
      </c>
      <c r="Z1248" s="5" t="s">
        <v>54</v>
      </c>
      <c r="AA1248" s="5" t="s">
        <v>5903</v>
      </c>
      <c r="AB1248" s="5" t="s">
        <v>46</v>
      </c>
      <c r="AC1248" s="5"/>
      <c r="AD1248" s="5" t="b">
        <v>0</v>
      </c>
      <c r="AE1248" s="5"/>
      <c r="AF1248" s="5"/>
      <c r="AG1248" s="9">
        <f t="shared" si="19"/>
        <v>43288</v>
      </c>
    </row>
    <row r="1249" s="6" customFormat="1" spans="1:33">
      <c r="A1249" s="5" t="s">
        <v>5904</v>
      </c>
      <c r="B1249" s="5" t="s">
        <v>5904</v>
      </c>
      <c r="C1249" s="5" t="s">
        <v>5905</v>
      </c>
      <c r="D1249" s="5" t="s">
        <v>5906</v>
      </c>
      <c r="E1249" s="5" t="s">
        <v>36</v>
      </c>
      <c r="F1249" s="5" t="s">
        <v>37</v>
      </c>
      <c r="G1249" s="5" t="s">
        <v>38</v>
      </c>
      <c r="H1249" s="5"/>
      <c r="I1249" s="5"/>
      <c r="J1249" s="5" t="s">
        <v>39</v>
      </c>
      <c r="K1249" s="5" t="s">
        <v>3645</v>
      </c>
      <c r="L1249" s="5" t="s">
        <v>51</v>
      </c>
      <c r="M1249" s="5" t="s">
        <v>52</v>
      </c>
      <c r="N1249" s="5" t="s">
        <v>36</v>
      </c>
      <c r="O1249" s="5">
        <v>1</v>
      </c>
      <c r="P1249" s="5" t="s">
        <v>43</v>
      </c>
      <c r="Q1249" s="5">
        <v>18.99</v>
      </c>
      <c r="R1249" s="5"/>
      <c r="S1249" s="5"/>
      <c r="T1249" s="5"/>
      <c r="U1249" s="5"/>
      <c r="V1249" s="5"/>
      <c r="W1249" s="5"/>
      <c r="X1249" s="5"/>
      <c r="Y1249" s="5" t="s">
        <v>5907</v>
      </c>
      <c r="Z1249" s="5" t="s">
        <v>1050</v>
      </c>
      <c r="AA1249" s="5" t="s">
        <v>5908</v>
      </c>
      <c r="AB1249" s="5" t="s">
        <v>46</v>
      </c>
      <c r="AC1249" s="5"/>
      <c r="AD1249" s="5" t="b">
        <v>0</v>
      </c>
      <c r="AE1249" s="5"/>
      <c r="AF1249" s="5"/>
      <c r="AG1249" s="9">
        <f t="shared" si="19"/>
        <v>43288</v>
      </c>
    </row>
    <row r="1250" s="6" customFormat="1" spans="1:33">
      <c r="A1250" s="5" t="s">
        <v>5909</v>
      </c>
      <c r="B1250" s="5" t="s">
        <v>5909</v>
      </c>
      <c r="C1250" s="5" t="s">
        <v>5910</v>
      </c>
      <c r="D1250" s="5" t="s">
        <v>5911</v>
      </c>
      <c r="E1250" s="5" t="s">
        <v>36</v>
      </c>
      <c r="F1250" s="5" t="s">
        <v>37</v>
      </c>
      <c r="G1250" s="5" t="s">
        <v>38</v>
      </c>
      <c r="H1250" s="5"/>
      <c r="I1250" s="5"/>
      <c r="J1250" s="5" t="s">
        <v>39</v>
      </c>
      <c r="K1250" s="5" t="s">
        <v>3752</v>
      </c>
      <c r="L1250" s="5" t="s">
        <v>244</v>
      </c>
      <c r="M1250" s="5" t="s">
        <v>245</v>
      </c>
      <c r="N1250" s="5" t="s">
        <v>36</v>
      </c>
      <c r="O1250" s="5">
        <v>1</v>
      </c>
      <c r="P1250" s="5" t="s">
        <v>43</v>
      </c>
      <c r="Q1250" s="5">
        <v>18.99</v>
      </c>
      <c r="R1250" s="5"/>
      <c r="S1250" s="5"/>
      <c r="T1250" s="5"/>
      <c r="U1250" s="5"/>
      <c r="V1250" s="5"/>
      <c r="W1250" s="5"/>
      <c r="X1250" s="5"/>
      <c r="Y1250" s="5" t="s">
        <v>5912</v>
      </c>
      <c r="Z1250" s="5" t="s">
        <v>151</v>
      </c>
      <c r="AA1250" s="5" t="s">
        <v>5913</v>
      </c>
      <c r="AB1250" s="5" t="s">
        <v>46</v>
      </c>
      <c r="AC1250" s="5"/>
      <c r="AD1250" s="5" t="b">
        <v>0</v>
      </c>
      <c r="AE1250" s="5"/>
      <c r="AF1250" s="5"/>
      <c r="AG1250" s="9">
        <f t="shared" si="19"/>
        <v>43288</v>
      </c>
    </row>
    <row r="1251" s="6" customFormat="1" spans="1:33">
      <c r="A1251" s="5" t="s">
        <v>5914</v>
      </c>
      <c r="B1251" s="5" t="s">
        <v>5914</v>
      </c>
      <c r="C1251" s="5" t="s">
        <v>5915</v>
      </c>
      <c r="D1251" s="5" t="s">
        <v>5916</v>
      </c>
      <c r="E1251" s="5" t="s">
        <v>36</v>
      </c>
      <c r="F1251" s="5" t="s">
        <v>37</v>
      </c>
      <c r="G1251" s="5" t="s">
        <v>38</v>
      </c>
      <c r="H1251" s="5"/>
      <c r="I1251" s="5"/>
      <c r="J1251" s="5" t="s">
        <v>128</v>
      </c>
      <c r="K1251" s="5" t="s">
        <v>1625</v>
      </c>
      <c r="L1251" s="5" t="s">
        <v>3602</v>
      </c>
      <c r="M1251" s="5" t="s">
        <v>3603</v>
      </c>
      <c r="N1251" s="5" t="s">
        <v>36</v>
      </c>
      <c r="O1251" s="5">
        <v>1</v>
      </c>
      <c r="P1251" s="5" t="s">
        <v>43</v>
      </c>
      <c r="Q1251" s="5">
        <v>17.9</v>
      </c>
      <c r="R1251" s="5"/>
      <c r="S1251" s="5"/>
      <c r="T1251" s="5"/>
      <c r="U1251" s="5"/>
      <c r="V1251" s="5"/>
      <c r="W1251" s="5"/>
      <c r="X1251" s="5"/>
      <c r="Y1251" s="5" t="s">
        <v>1217</v>
      </c>
      <c r="Z1251" s="5" t="s">
        <v>1218</v>
      </c>
      <c r="AA1251" s="5">
        <v>99709</v>
      </c>
      <c r="AB1251" s="5" t="s">
        <v>46</v>
      </c>
      <c r="AC1251" s="5"/>
      <c r="AD1251" s="5" t="b">
        <v>0</v>
      </c>
      <c r="AE1251" s="5"/>
      <c r="AF1251" s="5"/>
      <c r="AG1251" s="9">
        <f t="shared" si="19"/>
        <v>43288</v>
      </c>
    </row>
    <row r="1252" s="6" customFormat="1" spans="1:33">
      <c r="A1252" s="5" t="s">
        <v>5917</v>
      </c>
      <c r="B1252" s="5" t="s">
        <v>5917</v>
      </c>
      <c r="C1252" s="5" t="s">
        <v>5918</v>
      </c>
      <c r="D1252" s="5" t="s">
        <v>5919</v>
      </c>
      <c r="E1252" s="5" t="s">
        <v>5238</v>
      </c>
      <c r="F1252" s="5" t="s">
        <v>37</v>
      </c>
      <c r="G1252" s="5" t="s">
        <v>38</v>
      </c>
      <c r="H1252" s="5"/>
      <c r="I1252" s="5"/>
      <c r="J1252" s="5" t="s">
        <v>128</v>
      </c>
      <c r="K1252" s="5" t="s">
        <v>541</v>
      </c>
      <c r="L1252" s="5" t="s">
        <v>5920</v>
      </c>
      <c r="M1252" s="5" t="s">
        <v>5921</v>
      </c>
      <c r="N1252" s="5" t="s">
        <v>833</v>
      </c>
      <c r="O1252" s="5">
        <v>1</v>
      </c>
      <c r="P1252" s="5" t="s">
        <v>43</v>
      </c>
      <c r="Q1252" s="5">
        <v>10.98</v>
      </c>
      <c r="R1252" s="5"/>
      <c r="S1252" s="5"/>
      <c r="T1252" s="5"/>
      <c r="U1252" s="5"/>
      <c r="V1252" s="5"/>
      <c r="W1252" s="5"/>
      <c r="X1252" s="5"/>
      <c r="Y1252" s="5" t="s">
        <v>5922</v>
      </c>
      <c r="Z1252" s="5" t="s">
        <v>596</v>
      </c>
      <c r="AA1252" s="5" t="s">
        <v>5923</v>
      </c>
      <c r="AB1252" s="5" t="s">
        <v>46</v>
      </c>
      <c r="AC1252" s="5"/>
      <c r="AD1252" s="5" t="b">
        <v>0</v>
      </c>
      <c r="AE1252" s="5"/>
      <c r="AF1252" s="5"/>
      <c r="AG1252" s="9">
        <f t="shared" si="19"/>
        <v>43288</v>
      </c>
    </row>
    <row r="1253" s="6" customFormat="1" spans="1:33">
      <c r="A1253" s="5" t="s">
        <v>5924</v>
      </c>
      <c r="B1253" s="5" t="s">
        <v>5924</v>
      </c>
      <c r="C1253" s="5" t="s">
        <v>5925</v>
      </c>
      <c r="D1253" s="5" t="s">
        <v>5926</v>
      </c>
      <c r="E1253" s="5" t="s">
        <v>36</v>
      </c>
      <c r="F1253" s="5" t="s">
        <v>37</v>
      </c>
      <c r="G1253" s="5" t="s">
        <v>38</v>
      </c>
      <c r="H1253" s="5"/>
      <c r="I1253" s="5"/>
      <c r="J1253" s="5" t="s">
        <v>39</v>
      </c>
      <c r="K1253" s="5" t="s">
        <v>3703</v>
      </c>
      <c r="L1253" s="5" t="s">
        <v>388</v>
      </c>
      <c r="M1253" s="5" t="s">
        <v>389</v>
      </c>
      <c r="N1253" s="5" t="s">
        <v>36</v>
      </c>
      <c r="O1253" s="5">
        <v>1</v>
      </c>
      <c r="P1253" s="5" t="s">
        <v>43</v>
      </c>
      <c r="Q1253" s="5">
        <v>18.99</v>
      </c>
      <c r="R1253" s="5"/>
      <c r="S1253" s="5"/>
      <c r="T1253" s="5"/>
      <c r="U1253" s="5"/>
      <c r="V1253" s="5"/>
      <c r="W1253" s="5"/>
      <c r="X1253" s="5"/>
      <c r="Y1253" s="5" t="s">
        <v>5927</v>
      </c>
      <c r="Z1253" s="5" t="s">
        <v>391</v>
      </c>
      <c r="AA1253" s="5" t="s">
        <v>5928</v>
      </c>
      <c r="AB1253" s="5" t="s">
        <v>46</v>
      </c>
      <c r="AC1253" s="5"/>
      <c r="AD1253" s="5" t="b">
        <v>0</v>
      </c>
      <c r="AE1253" s="5"/>
      <c r="AF1253" s="5"/>
      <c r="AG1253" s="9">
        <f t="shared" si="19"/>
        <v>43288</v>
      </c>
    </row>
    <row r="1254" s="6" customFormat="1" spans="1:33">
      <c r="A1254" s="5" t="s">
        <v>5929</v>
      </c>
      <c r="B1254" s="5" t="s">
        <v>5929</v>
      </c>
      <c r="C1254" s="5" t="s">
        <v>5930</v>
      </c>
      <c r="D1254" s="5" t="s">
        <v>5931</v>
      </c>
      <c r="E1254" s="5" t="s">
        <v>36</v>
      </c>
      <c r="F1254" s="5" t="s">
        <v>37</v>
      </c>
      <c r="G1254" s="5" t="s">
        <v>38</v>
      </c>
      <c r="H1254" s="5"/>
      <c r="I1254" s="5"/>
      <c r="J1254" s="5" t="s">
        <v>39</v>
      </c>
      <c r="K1254" s="5" t="s">
        <v>4085</v>
      </c>
      <c r="L1254" s="5" t="s">
        <v>102</v>
      </c>
      <c r="M1254" s="5" t="s">
        <v>103</v>
      </c>
      <c r="N1254" s="5" t="s">
        <v>36</v>
      </c>
      <c r="O1254" s="5">
        <v>1</v>
      </c>
      <c r="P1254" s="5" t="s">
        <v>43</v>
      </c>
      <c r="Q1254" s="5">
        <v>13.99</v>
      </c>
      <c r="R1254" s="5"/>
      <c r="S1254" s="5"/>
      <c r="T1254" s="5"/>
      <c r="U1254" s="5"/>
      <c r="V1254" s="5"/>
      <c r="W1254" s="5"/>
      <c r="X1254" s="5"/>
      <c r="Y1254" s="5" t="s">
        <v>5317</v>
      </c>
      <c r="Z1254" s="5" t="s">
        <v>54</v>
      </c>
      <c r="AA1254" s="5" t="s">
        <v>5932</v>
      </c>
      <c r="AB1254" s="5" t="s">
        <v>46</v>
      </c>
      <c r="AC1254" s="5"/>
      <c r="AD1254" s="5" t="b">
        <v>0</v>
      </c>
      <c r="AE1254" s="5"/>
      <c r="AF1254" s="5"/>
      <c r="AG1254" s="9">
        <f t="shared" si="19"/>
        <v>43288</v>
      </c>
    </row>
    <row r="1255" s="6" customFormat="1" spans="1:33">
      <c r="A1255" s="5" t="s">
        <v>5933</v>
      </c>
      <c r="B1255" s="5" t="s">
        <v>5933</v>
      </c>
      <c r="C1255" s="5" t="s">
        <v>5934</v>
      </c>
      <c r="D1255" s="5" t="s">
        <v>5935</v>
      </c>
      <c r="E1255" s="5" t="s">
        <v>36</v>
      </c>
      <c r="F1255" s="5" t="s">
        <v>37</v>
      </c>
      <c r="G1255" s="5" t="s">
        <v>38</v>
      </c>
      <c r="H1255" s="5"/>
      <c r="I1255" s="5"/>
      <c r="J1255" s="5" t="s">
        <v>39</v>
      </c>
      <c r="K1255" s="5" t="s">
        <v>4038</v>
      </c>
      <c r="L1255" s="5" t="s">
        <v>76</v>
      </c>
      <c r="M1255" s="5" t="s">
        <v>77</v>
      </c>
      <c r="N1255" s="5" t="s">
        <v>36</v>
      </c>
      <c r="O1255" s="5">
        <v>1</v>
      </c>
      <c r="P1255" s="5" t="s">
        <v>43</v>
      </c>
      <c r="Q1255" s="5">
        <v>13.99</v>
      </c>
      <c r="R1255" s="5"/>
      <c r="S1255" s="5"/>
      <c r="T1255" s="5"/>
      <c r="U1255" s="5"/>
      <c r="V1255" s="5"/>
      <c r="W1255" s="5"/>
      <c r="X1255" s="5"/>
      <c r="Y1255" s="5" t="s">
        <v>5936</v>
      </c>
      <c r="Z1255" s="5" t="s">
        <v>596</v>
      </c>
      <c r="AA1255" s="5" t="s">
        <v>5937</v>
      </c>
      <c r="AB1255" s="5" t="s">
        <v>46</v>
      </c>
      <c r="AC1255" s="5"/>
      <c r="AD1255" s="5" t="b">
        <v>0</v>
      </c>
      <c r="AE1255" s="5"/>
      <c r="AF1255" s="5"/>
      <c r="AG1255" s="9">
        <f t="shared" si="19"/>
        <v>43288</v>
      </c>
    </row>
    <row r="1256" s="6" customFormat="1" spans="1:33">
      <c r="A1256" s="5" t="s">
        <v>5938</v>
      </c>
      <c r="B1256" s="5" t="s">
        <v>5938</v>
      </c>
      <c r="C1256" s="5" t="s">
        <v>5939</v>
      </c>
      <c r="D1256" s="5" t="s">
        <v>5940</v>
      </c>
      <c r="E1256" s="5" t="s">
        <v>36</v>
      </c>
      <c r="F1256" s="5" t="s">
        <v>37</v>
      </c>
      <c r="G1256" s="5" t="s">
        <v>38</v>
      </c>
      <c r="H1256" s="5"/>
      <c r="I1256" s="5"/>
      <c r="J1256" s="5" t="s">
        <v>39</v>
      </c>
      <c r="K1256" s="5" t="s">
        <v>4085</v>
      </c>
      <c r="L1256" s="5" t="s">
        <v>102</v>
      </c>
      <c r="M1256" s="5" t="s">
        <v>103</v>
      </c>
      <c r="N1256" s="5" t="s">
        <v>36</v>
      </c>
      <c r="O1256" s="5">
        <v>1</v>
      </c>
      <c r="P1256" s="5" t="s">
        <v>43</v>
      </c>
      <c r="Q1256" s="5">
        <v>13.99</v>
      </c>
      <c r="R1256" s="5"/>
      <c r="S1256" s="5"/>
      <c r="T1256" s="5"/>
      <c r="U1256" s="5"/>
      <c r="V1256" s="5"/>
      <c r="W1256" s="5"/>
      <c r="X1256" s="5"/>
      <c r="Y1256" s="5" t="s">
        <v>2494</v>
      </c>
      <c r="Z1256" s="5" t="s">
        <v>87</v>
      </c>
      <c r="AA1256" s="5" t="s">
        <v>5941</v>
      </c>
      <c r="AB1256" s="5" t="s">
        <v>46</v>
      </c>
      <c r="AC1256" s="5"/>
      <c r="AD1256" s="5" t="b">
        <v>0</v>
      </c>
      <c r="AE1256" s="5"/>
      <c r="AF1256" s="5"/>
      <c r="AG1256" s="9">
        <f t="shared" si="19"/>
        <v>43288</v>
      </c>
    </row>
    <row r="1257" s="6" customFormat="1" spans="1:33">
      <c r="A1257" s="5" t="s">
        <v>5942</v>
      </c>
      <c r="B1257" s="5" t="s">
        <v>5942</v>
      </c>
      <c r="C1257" s="5" t="s">
        <v>5943</v>
      </c>
      <c r="D1257" s="5" t="s">
        <v>5944</v>
      </c>
      <c r="E1257" s="5" t="s">
        <v>36</v>
      </c>
      <c r="F1257" s="5" t="s">
        <v>37</v>
      </c>
      <c r="G1257" s="5" t="s">
        <v>38</v>
      </c>
      <c r="H1257" s="5"/>
      <c r="I1257" s="5"/>
      <c r="J1257" s="5" t="s">
        <v>39</v>
      </c>
      <c r="K1257" s="5" t="s">
        <v>2197</v>
      </c>
      <c r="L1257" s="5" t="s">
        <v>2198</v>
      </c>
      <c r="M1257" s="5" t="s">
        <v>2199</v>
      </c>
      <c r="N1257" s="5" t="s">
        <v>36</v>
      </c>
      <c r="O1257" s="5">
        <v>1</v>
      </c>
      <c r="P1257" s="5" t="s">
        <v>43</v>
      </c>
      <c r="Q1257" s="5">
        <v>24.99</v>
      </c>
      <c r="R1257" s="5"/>
      <c r="S1257" s="5"/>
      <c r="T1257" s="5"/>
      <c r="U1257" s="5"/>
      <c r="V1257" s="5"/>
      <c r="W1257" s="5"/>
      <c r="X1257" s="5"/>
      <c r="Y1257" s="5" t="s">
        <v>763</v>
      </c>
      <c r="Z1257" s="5" t="s">
        <v>1050</v>
      </c>
      <c r="AA1257" s="5" t="s">
        <v>5945</v>
      </c>
      <c r="AB1257" s="5" t="s">
        <v>46</v>
      </c>
      <c r="AC1257" s="5"/>
      <c r="AD1257" s="5" t="b">
        <v>0</v>
      </c>
      <c r="AE1257" s="5"/>
      <c r="AF1257" s="5"/>
      <c r="AG1257" s="9">
        <f t="shared" si="19"/>
        <v>43288</v>
      </c>
    </row>
    <row r="1258" s="6" customFormat="1" spans="1:33">
      <c r="A1258" s="5" t="s">
        <v>5946</v>
      </c>
      <c r="B1258" s="5" t="s">
        <v>5946</v>
      </c>
      <c r="C1258" s="5" t="s">
        <v>5947</v>
      </c>
      <c r="D1258" s="5" t="s">
        <v>5948</v>
      </c>
      <c r="E1258" s="5" t="s">
        <v>36</v>
      </c>
      <c r="F1258" s="5" t="s">
        <v>37</v>
      </c>
      <c r="G1258" s="5" t="s">
        <v>38</v>
      </c>
      <c r="H1258" s="5"/>
      <c r="I1258" s="5"/>
      <c r="J1258" s="5" t="s">
        <v>39</v>
      </c>
      <c r="K1258" s="5" t="s">
        <v>4038</v>
      </c>
      <c r="L1258" s="5" t="s">
        <v>76</v>
      </c>
      <c r="M1258" s="5" t="s">
        <v>77</v>
      </c>
      <c r="N1258" s="5" t="s">
        <v>36</v>
      </c>
      <c r="O1258" s="5">
        <v>1</v>
      </c>
      <c r="P1258" s="5" t="s">
        <v>43</v>
      </c>
      <c r="Q1258" s="5">
        <v>13.99</v>
      </c>
      <c r="R1258" s="5"/>
      <c r="S1258" s="5"/>
      <c r="T1258" s="5"/>
      <c r="U1258" s="5"/>
      <c r="V1258" s="5"/>
      <c r="W1258" s="5"/>
      <c r="X1258" s="5"/>
      <c r="Y1258" s="5" t="s">
        <v>5949</v>
      </c>
      <c r="Z1258" s="5" t="s">
        <v>183</v>
      </c>
      <c r="AA1258" s="5" t="s">
        <v>5950</v>
      </c>
      <c r="AB1258" s="5" t="s">
        <v>46</v>
      </c>
      <c r="AC1258" s="5"/>
      <c r="AD1258" s="5" t="b">
        <v>0</v>
      </c>
      <c r="AE1258" s="5"/>
      <c r="AF1258" s="5"/>
      <c r="AG1258" s="9">
        <f t="shared" si="19"/>
        <v>43288</v>
      </c>
    </row>
    <row r="1259" s="6" customFormat="1" spans="1:33">
      <c r="A1259" s="5" t="s">
        <v>5951</v>
      </c>
      <c r="B1259" s="5" t="s">
        <v>5951</v>
      </c>
      <c r="C1259" s="5" t="s">
        <v>5952</v>
      </c>
      <c r="D1259" s="5" t="s">
        <v>5953</v>
      </c>
      <c r="E1259" s="5" t="s">
        <v>36</v>
      </c>
      <c r="F1259" s="5" t="s">
        <v>37</v>
      </c>
      <c r="G1259" s="5" t="s">
        <v>38</v>
      </c>
      <c r="H1259" s="5"/>
      <c r="I1259" s="5"/>
      <c r="J1259" s="5" t="s">
        <v>39</v>
      </c>
      <c r="K1259" s="5" t="s">
        <v>3714</v>
      </c>
      <c r="L1259" s="5" t="s">
        <v>148</v>
      </c>
      <c r="M1259" s="5" t="s">
        <v>149</v>
      </c>
      <c r="N1259" s="5" t="s">
        <v>36</v>
      </c>
      <c r="O1259" s="5">
        <v>1</v>
      </c>
      <c r="P1259" s="5" t="s">
        <v>43</v>
      </c>
      <c r="Q1259" s="5">
        <v>13.99</v>
      </c>
      <c r="R1259" s="5"/>
      <c r="S1259" s="5"/>
      <c r="T1259" s="5"/>
      <c r="U1259" s="5"/>
      <c r="V1259" s="5"/>
      <c r="W1259" s="5"/>
      <c r="X1259" s="5"/>
      <c r="Y1259" s="5" t="s">
        <v>4916</v>
      </c>
      <c r="Z1259" s="5" t="s">
        <v>5954</v>
      </c>
      <c r="AA1259" s="5" t="s">
        <v>5955</v>
      </c>
      <c r="AB1259" s="5" t="s">
        <v>46</v>
      </c>
      <c r="AC1259" s="5"/>
      <c r="AD1259" s="5" t="b">
        <v>0</v>
      </c>
      <c r="AE1259" s="5"/>
      <c r="AF1259" s="5"/>
      <c r="AG1259" s="9">
        <f t="shared" si="19"/>
        <v>43288</v>
      </c>
    </row>
    <row r="1260" s="6" customFormat="1" spans="1:33">
      <c r="A1260" s="5" t="s">
        <v>5956</v>
      </c>
      <c r="B1260" s="5" t="s">
        <v>5956</v>
      </c>
      <c r="C1260" s="5" t="s">
        <v>5957</v>
      </c>
      <c r="D1260" s="5" t="s">
        <v>5958</v>
      </c>
      <c r="E1260" s="5" t="s">
        <v>36</v>
      </c>
      <c r="F1260" s="5" t="s">
        <v>37</v>
      </c>
      <c r="G1260" s="5" t="s">
        <v>38</v>
      </c>
      <c r="H1260" s="5"/>
      <c r="I1260" s="5"/>
      <c r="J1260" s="5" t="s">
        <v>39</v>
      </c>
      <c r="K1260" s="5" t="s">
        <v>4155</v>
      </c>
      <c r="L1260" s="5" t="s">
        <v>111</v>
      </c>
      <c r="M1260" s="5" t="s">
        <v>112</v>
      </c>
      <c r="N1260" s="5" t="s">
        <v>36</v>
      </c>
      <c r="O1260" s="5">
        <v>1</v>
      </c>
      <c r="P1260" s="5" t="s">
        <v>43</v>
      </c>
      <c r="Q1260" s="5">
        <v>13.99</v>
      </c>
      <c r="R1260" s="5"/>
      <c r="S1260" s="5"/>
      <c r="T1260" s="5"/>
      <c r="U1260" s="5"/>
      <c r="V1260" s="5"/>
      <c r="W1260" s="5"/>
      <c r="X1260" s="5"/>
      <c r="Y1260" s="5" t="s">
        <v>5959</v>
      </c>
      <c r="Z1260" s="5" t="s">
        <v>437</v>
      </c>
      <c r="AA1260" s="5" t="s">
        <v>5960</v>
      </c>
      <c r="AB1260" s="5" t="s">
        <v>46</v>
      </c>
      <c r="AC1260" s="5"/>
      <c r="AD1260" s="5" t="b">
        <v>0</v>
      </c>
      <c r="AE1260" s="5"/>
      <c r="AF1260" s="5"/>
      <c r="AG1260" s="9">
        <f t="shared" si="19"/>
        <v>43288</v>
      </c>
    </row>
    <row r="1261" s="6" customFormat="1" spans="1:33">
      <c r="A1261" s="5" t="s">
        <v>5961</v>
      </c>
      <c r="B1261" s="5" t="s">
        <v>5961</v>
      </c>
      <c r="C1261" s="5" t="s">
        <v>5962</v>
      </c>
      <c r="D1261" s="5" t="s">
        <v>5963</v>
      </c>
      <c r="E1261" s="5" t="s">
        <v>36</v>
      </c>
      <c r="F1261" s="5" t="s">
        <v>37</v>
      </c>
      <c r="G1261" s="5" t="s">
        <v>38</v>
      </c>
      <c r="H1261" s="5"/>
      <c r="I1261" s="5"/>
      <c r="J1261" s="5" t="s">
        <v>39</v>
      </c>
      <c r="K1261" s="5" t="s">
        <v>3668</v>
      </c>
      <c r="L1261" s="5" t="s">
        <v>571</v>
      </c>
      <c r="M1261" s="5" t="s">
        <v>572</v>
      </c>
      <c r="N1261" s="5" t="s">
        <v>36</v>
      </c>
      <c r="O1261" s="5">
        <v>1</v>
      </c>
      <c r="P1261" s="5" t="s">
        <v>43</v>
      </c>
      <c r="Q1261" s="5">
        <v>23</v>
      </c>
      <c r="R1261" s="5"/>
      <c r="S1261" s="5"/>
      <c r="T1261" s="5"/>
      <c r="U1261" s="5"/>
      <c r="V1261" s="5"/>
      <c r="W1261" s="5"/>
      <c r="X1261" s="5"/>
      <c r="Y1261" s="5" t="s">
        <v>5964</v>
      </c>
      <c r="Z1261" s="5" t="s">
        <v>54</v>
      </c>
      <c r="AA1261" s="5" t="s">
        <v>5965</v>
      </c>
      <c r="AB1261" s="5" t="s">
        <v>46</v>
      </c>
      <c r="AC1261" s="5"/>
      <c r="AD1261" s="5" t="b">
        <v>1</v>
      </c>
      <c r="AE1261" s="5"/>
      <c r="AF1261" s="5" t="s">
        <v>3916</v>
      </c>
      <c r="AG1261" s="9">
        <f t="shared" si="19"/>
        <v>43288</v>
      </c>
    </row>
    <row r="1262" s="6" customFormat="1" spans="1:33">
      <c r="A1262" s="5" t="s">
        <v>5961</v>
      </c>
      <c r="B1262" s="5" t="s">
        <v>5961</v>
      </c>
      <c r="C1262" s="5" t="s">
        <v>5962</v>
      </c>
      <c r="D1262" s="5" t="s">
        <v>5963</v>
      </c>
      <c r="E1262" s="5" t="s">
        <v>36</v>
      </c>
      <c r="F1262" s="5" t="s">
        <v>37</v>
      </c>
      <c r="G1262" s="5" t="s">
        <v>38</v>
      </c>
      <c r="H1262" s="5"/>
      <c r="I1262" s="5"/>
      <c r="J1262" s="5" t="s">
        <v>39</v>
      </c>
      <c r="K1262" s="5" t="s">
        <v>434</v>
      </c>
      <c r="L1262" s="5" t="s">
        <v>435</v>
      </c>
      <c r="M1262" s="5" t="s">
        <v>436</v>
      </c>
      <c r="N1262" s="5" t="s">
        <v>36</v>
      </c>
      <c r="O1262" s="5">
        <v>1</v>
      </c>
      <c r="P1262" s="5" t="s">
        <v>43</v>
      </c>
      <c r="Q1262" s="5">
        <v>13</v>
      </c>
      <c r="R1262" s="5"/>
      <c r="S1262" s="5"/>
      <c r="T1262" s="5"/>
      <c r="U1262" s="5"/>
      <c r="V1262" s="5"/>
      <c r="W1262" s="5"/>
      <c r="X1262" s="5"/>
      <c r="Y1262" s="5" t="s">
        <v>5964</v>
      </c>
      <c r="Z1262" s="5" t="s">
        <v>54</v>
      </c>
      <c r="AA1262" s="5" t="s">
        <v>5965</v>
      </c>
      <c r="AB1262" s="5" t="s">
        <v>46</v>
      </c>
      <c r="AC1262" s="5"/>
      <c r="AD1262" s="5" t="b">
        <v>1</v>
      </c>
      <c r="AE1262" s="5"/>
      <c r="AF1262" s="5" t="s">
        <v>3916</v>
      </c>
      <c r="AG1262" s="9">
        <f t="shared" si="19"/>
        <v>43288</v>
      </c>
    </row>
    <row r="1263" s="6" customFormat="1" spans="1:33">
      <c r="A1263" s="5" t="s">
        <v>5961</v>
      </c>
      <c r="B1263" s="5" t="s">
        <v>5961</v>
      </c>
      <c r="C1263" s="5" t="s">
        <v>5962</v>
      </c>
      <c r="D1263" s="5" t="s">
        <v>5963</v>
      </c>
      <c r="E1263" s="5" t="s">
        <v>36</v>
      </c>
      <c r="F1263" s="5" t="s">
        <v>37</v>
      </c>
      <c r="G1263" s="5" t="s">
        <v>38</v>
      </c>
      <c r="H1263" s="5"/>
      <c r="I1263" s="5"/>
      <c r="J1263" s="5" t="s">
        <v>39</v>
      </c>
      <c r="K1263" s="5" t="s">
        <v>4173</v>
      </c>
      <c r="L1263" s="5" t="s">
        <v>1958</v>
      </c>
      <c r="M1263" s="5" t="s">
        <v>271</v>
      </c>
      <c r="N1263" s="5" t="s">
        <v>36</v>
      </c>
      <c r="O1263" s="5">
        <v>1</v>
      </c>
      <c r="P1263" s="5" t="s">
        <v>43</v>
      </c>
      <c r="Q1263" s="5">
        <v>24.99</v>
      </c>
      <c r="R1263" s="5"/>
      <c r="S1263" s="5"/>
      <c r="T1263" s="5"/>
      <c r="U1263" s="5"/>
      <c r="V1263" s="5"/>
      <c r="W1263" s="5"/>
      <c r="X1263" s="5"/>
      <c r="Y1263" s="5" t="s">
        <v>5964</v>
      </c>
      <c r="Z1263" s="5" t="s">
        <v>54</v>
      </c>
      <c r="AA1263" s="5" t="s">
        <v>5965</v>
      </c>
      <c r="AB1263" s="5" t="s">
        <v>46</v>
      </c>
      <c r="AC1263" s="5"/>
      <c r="AD1263" s="5" t="b">
        <v>1</v>
      </c>
      <c r="AE1263" s="5"/>
      <c r="AF1263" s="5"/>
      <c r="AG1263" s="9">
        <f t="shared" si="19"/>
        <v>43288</v>
      </c>
    </row>
    <row r="1264" s="6" customFormat="1" spans="1:33">
      <c r="A1264" s="5" t="s">
        <v>5966</v>
      </c>
      <c r="B1264" s="5" t="s">
        <v>5966</v>
      </c>
      <c r="C1264" s="5" t="s">
        <v>5967</v>
      </c>
      <c r="D1264" s="5" t="s">
        <v>5968</v>
      </c>
      <c r="E1264" s="5" t="s">
        <v>36</v>
      </c>
      <c r="F1264" s="5" t="s">
        <v>37</v>
      </c>
      <c r="G1264" s="5" t="s">
        <v>38</v>
      </c>
      <c r="H1264" s="5"/>
      <c r="I1264" s="5"/>
      <c r="J1264" s="5" t="s">
        <v>39</v>
      </c>
      <c r="K1264" s="5" t="s">
        <v>3798</v>
      </c>
      <c r="L1264" s="5" t="s">
        <v>1048</v>
      </c>
      <c r="M1264" s="5" t="s">
        <v>535</v>
      </c>
      <c r="N1264" s="5" t="s">
        <v>36</v>
      </c>
      <c r="O1264" s="5">
        <v>1</v>
      </c>
      <c r="P1264" s="5" t="s">
        <v>43</v>
      </c>
      <c r="Q1264" s="5">
        <v>24.99</v>
      </c>
      <c r="R1264" s="5"/>
      <c r="S1264" s="5"/>
      <c r="T1264" s="5"/>
      <c r="U1264" s="5"/>
      <c r="V1264" s="5"/>
      <c r="W1264" s="5"/>
      <c r="X1264" s="5"/>
      <c r="Y1264" s="5" t="s">
        <v>222</v>
      </c>
      <c r="Z1264" s="5" t="s">
        <v>223</v>
      </c>
      <c r="AA1264" s="5" t="s">
        <v>5969</v>
      </c>
      <c r="AB1264" s="5" t="s">
        <v>46</v>
      </c>
      <c r="AC1264" s="5"/>
      <c r="AD1264" s="5" t="b">
        <v>0</v>
      </c>
      <c r="AE1264" s="5"/>
      <c r="AF1264" s="5"/>
      <c r="AG1264" s="9">
        <f t="shared" si="19"/>
        <v>43288</v>
      </c>
    </row>
    <row r="1265" s="6" customFormat="1" spans="1:33">
      <c r="A1265" s="5" t="s">
        <v>5970</v>
      </c>
      <c r="B1265" s="5" t="s">
        <v>5970</v>
      </c>
      <c r="C1265" s="5" t="s">
        <v>5971</v>
      </c>
      <c r="D1265" s="5" t="s">
        <v>5972</v>
      </c>
      <c r="E1265" s="5" t="s">
        <v>36</v>
      </c>
      <c r="F1265" s="5" t="s">
        <v>37</v>
      </c>
      <c r="G1265" s="5" t="s">
        <v>38</v>
      </c>
      <c r="H1265" s="5"/>
      <c r="I1265" s="5"/>
      <c r="J1265" s="5" t="s">
        <v>287</v>
      </c>
      <c r="K1265" s="5" t="s">
        <v>3798</v>
      </c>
      <c r="L1265" s="5" t="s">
        <v>1048</v>
      </c>
      <c r="M1265" s="5" t="s">
        <v>535</v>
      </c>
      <c r="N1265" s="5" t="s">
        <v>36</v>
      </c>
      <c r="O1265" s="5">
        <v>1</v>
      </c>
      <c r="P1265" s="5" t="s">
        <v>43</v>
      </c>
      <c r="Q1265" s="5">
        <v>24.99</v>
      </c>
      <c r="R1265" s="5"/>
      <c r="S1265" s="5">
        <v>5.99</v>
      </c>
      <c r="T1265" s="5"/>
      <c r="U1265" s="5"/>
      <c r="V1265" s="5"/>
      <c r="W1265" s="5"/>
      <c r="X1265" s="5">
        <v>5.99</v>
      </c>
      <c r="Y1265" s="5" t="s">
        <v>5461</v>
      </c>
      <c r="Z1265" s="5" t="s">
        <v>142</v>
      </c>
      <c r="AA1265" s="5" t="s">
        <v>5462</v>
      </c>
      <c r="AB1265" s="5" t="s">
        <v>46</v>
      </c>
      <c r="AC1265" s="5"/>
      <c r="AD1265" s="5" t="b">
        <v>0</v>
      </c>
      <c r="AE1265" s="5"/>
      <c r="AF1265" s="5"/>
      <c r="AG1265" s="9">
        <f t="shared" si="19"/>
        <v>43288</v>
      </c>
    </row>
    <row r="1266" s="6" customFormat="1" spans="1:33">
      <c r="A1266" s="5" t="s">
        <v>5973</v>
      </c>
      <c r="B1266" s="5" t="s">
        <v>5973</v>
      </c>
      <c r="C1266" s="5" t="s">
        <v>5974</v>
      </c>
      <c r="D1266" s="5" t="s">
        <v>5975</v>
      </c>
      <c r="E1266" s="5" t="s">
        <v>36</v>
      </c>
      <c r="F1266" s="5" t="s">
        <v>37</v>
      </c>
      <c r="G1266" s="5" t="s">
        <v>38</v>
      </c>
      <c r="H1266" s="5"/>
      <c r="I1266" s="5"/>
      <c r="J1266" s="5" t="s">
        <v>39</v>
      </c>
      <c r="K1266" s="5" t="s">
        <v>5976</v>
      </c>
      <c r="L1266" s="5" t="s">
        <v>5977</v>
      </c>
      <c r="M1266" s="5" t="s">
        <v>5978</v>
      </c>
      <c r="N1266" s="5" t="s">
        <v>36</v>
      </c>
      <c r="O1266" s="5">
        <v>1</v>
      </c>
      <c r="P1266" s="5" t="s">
        <v>43</v>
      </c>
      <c r="Q1266" s="5">
        <v>8.99</v>
      </c>
      <c r="R1266" s="5"/>
      <c r="S1266" s="5"/>
      <c r="T1266" s="5"/>
      <c r="U1266" s="5"/>
      <c r="V1266" s="5"/>
      <c r="W1266" s="5"/>
      <c r="X1266" s="5"/>
      <c r="Y1266" s="5" t="s">
        <v>5979</v>
      </c>
      <c r="Z1266" s="5" t="s">
        <v>170</v>
      </c>
      <c r="AA1266" s="5" t="s">
        <v>5980</v>
      </c>
      <c r="AB1266" s="5" t="s">
        <v>46</v>
      </c>
      <c r="AC1266" s="5"/>
      <c r="AD1266" s="5" t="b">
        <v>0</v>
      </c>
      <c r="AE1266" s="5"/>
      <c r="AF1266" s="5"/>
      <c r="AG1266" s="9">
        <f t="shared" si="19"/>
        <v>43288</v>
      </c>
    </row>
    <row r="1267" s="6" customFormat="1" spans="1:33">
      <c r="A1267" s="5" t="s">
        <v>5981</v>
      </c>
      <c r="B1267" s="5" t="s">
        <v>5981</v>
      </c>
      <c r="C1267" s="5" t="s">
        <v>5982</v>
      </c>
      <c r="D1267" s="5" t="s">
        <v>5983</v>
      </c>
      <c r="E1267" s="5" t="s">
        <v>36</v>
      </c>
      <c r="F1267" s="5" t="s">
        <v>37</v>
      </c>
      <c r="G1267" s="5" t="s">
        <v>38</v>
      </c>
      <c r="H1267" s="5"/>
      <c r="I1267" s="5"/>
      <c r="J1267" s="5" t="s">
        <v>39</v>
      </c>
      <c r="K1267" s="5" t="s">
        <v>3645</v>
      </c>
      <c r="L1267" s="5" t="s">
        <v>51</v>
      </c>
      <c r="M1267" s="5" t="s">
        <v>52</v>
      </c>
      <c r="N1267" s="5" t="s">
        <v>36</v>
      </c>
      <c r="O1267" s="5">
        <v>1</v>
      </c>
      <c r="P1267" s="5" t="s">
        <v>43</v>
      </c>
      <c r="Q1267" s="5">
        <v>18.99</v>
      </c>
      <c r="R1267" s="5"/>
      <c r="S1267" s="5"/>
      <c r="T1267" s="5"/>
      <c r="U1267" s="5"/>
      <c r="V1267" s="5"/>
      <c r="W1267" s="5"/>
      <c r="X1267" s="5"/>
      <c r="Y1267" s="5" t="s">
        <v>2876</v>
      </c>
      <c r="Z1267" s="5" t="s">
        <v>151</v>
      </c>
      <c r="AA1267" s="5">
        <v>10013</v>
      </c>
      <c r="AB1267" s="5" t="s">
        <v>46</v>
      </c>
      <c r="AC1267" s="5"/>
      <c r="AD1267" s="5" t="b">
        <v>0</v>
      </c>
      <c r="AE1267" s="5"/>
      <c r="AF1267" s="5"/>
      <c r="AG1267" s="9">
        <f t="shared" si="19"/>
        <v>43288</v>
      </c>
    </row>
    <row r="1268" s="6" customFormat="1" spans="1:33">
      <c r="A1268" s="5" t="s">
        <v>5984</v>
      </c>
      <c r="B1268" s="5" t="s">
        <v>5984</v>
      </c>
      <c r="C1268" s="5" t="s">
        <v>5985</v>
      </c>
      <c r="D1268" s="5" t="s">
        <v>5986</v>
      </c>
      <c r="E1268" s="5" t="s">
        <v>36</v>
      </c>
      <c r="F1268" s="5" t="s">
        <v>37</v>
      </c>
      <c r="G1268" s="5" t="s">
        <v>38</v>
      </c>
      <c r="H1268" s="5"/>
      <c r="I1268" s="5"/>
      <c r="J1268" s="5" t="s">
        <v>39</v>
      </c>
      <c r="K1268" s="5" t="s">
        <v>3714</v>
      </c>
      <c r="L1268" s="5" t="s">
        <v>148</v>
      </c>
      <c r="M1268" s="5" t="s">
        <v>149</v>
      </c>
      <c r="N1268" s="5" t="s">
        <v>36</v>
      </c>
      <c r="O1268" s="5">
        <v>1</v>
      </c>
      <c r="P1268" s="5" t="s">
        <v>43</v>
      </c>
      <c r="Q1268" s="5">
        <v>13.99</v>
      </c>
      <c r="R1268" s="5"/>
      <c r="S1268" s="5"/>
      <c r="T1268" s="5"/>
      <c r="U1268" s="5"/>
      <c r="V1268" s="5"/>
      <c r="W1268" s="5"/>
      <c r="X1268" s="5"/>
      <c r="Y1268" s="5" t="s">
        <v>1684</v>
      </c>
      <c r="Z1268" s="5" t="s">
        <v>142</v>
      </c>
      <c r="AA1268" s="5" t="s">
        <v>5987</v>
      </c>
      <c r="AB1268" s="5" t="s">
        <v>46</v>
      </c>
      <c r="AC1268" s="5"/>
      <c r="AD1268" s="5" t="b">
        <v>0</v>
      </c>
      <c r="AE1268" s="5"/>
      <c r="AF1268" s="5"/>
      <c r="AG1268" s="9">
        <f t="shared" si="19"/>
        <v>43288</v>
      </c>
    </row>
    <row r="1269" s="6" customFormat="1" spans="1:33">
      <c r="A1269" s="5" t="s">
        <v>5988</v>
      </c>
      <c r="B1269" s="5" t="s">
        <v>5988</v>
      </c>
      <c r="C1269" s="5" t="s">
        <v>5989</v>
      </c>
      <c r="D1269" s="5" t="s">
        <v>5990</v>
      </c>
      <c r="E1269" s="5" t="s">
        <v>36</v>
      </c>
      <c r="F1269" s="5" t="s">
        <v>37</v>
      </c>
      <c r="G1269" s="5" t="s">
        <v>38</v>
      </c>
      <c r="H1269" s="5"/>
      <c r="I1269" s="5"/>
      <c r="J1269" s="5" t="s">
        <v>39</v>
      </c>
      <c r="K1269" s="5" t="s">
        <v>3679</v>
      </c>
      <c r="L1269" s="5" t="s">
        <v>4376</v>
      </c>
      <c r="M1269" s="5" t="s">
        <v>1293</v>
      </c>
      <c r="N1269" s="5" t="s">
        <v>36</v>
      </c>
      <c r="O1269" s="5">
        <v>1</v>
      </c>
      <c r="P1269" s="5" t="s">
        <v>43</v>
      </c>
      <c r="Q1269" s="5">
        <v>13.99</v>
      </c>
      <c r="R1269" s="5"/>
      <c r="S1269" s="5"/>
      <c r="T1269" s="5"/>
      <c r="U1269" s="5"/>
      <c r="V1269" s="5"/>
      <c r="W1269" s="5"/>
      <c r="X1269" s="5"/>
      <c r="Y1269" s="5" t="s">
        <v>1101</v>
      </c>
      <c r="Z1269" s="5" t="s">
        <v>377</v>
      </c>
      <c r="AA1269" s="5" t="s">
        <v>5991</v>
      </c>
      <c r="AB1269" s="5" t="s">
        <v>46</v>
      </c>
      <c r="AC1269" s="5"/>
      <c r="AD1269" s="5" t="b">
        <v>0</v>
      </c>
      <c r="AE1269" s="5"/>
      <c r="AF1269" s="5"/>
      <c r="AG1269" s="9">
        <f t="shared" si="19"/>
        <v>43288</v>
      </c>
    </row>
    <row r="1270" s="6" customFormat="1" spans="1:33">
      <c r="A1270" s="5" t="s">
        <v>5992</v>
      </c>
      <c r="B1270" s="5" t="s">
        <v>5992</v>
      </c>
      <c r="C1270" s="5" t="s">
        <v>5993</v>
      </c>
      <c r="D1270" s="5" t="s">
        <v>5994</v>
      </c>
      <c r="E1270" s="5" t="s">
        <v>36</v>
      </c>
      <c r="F1270" s="5" t="s">
        <v>37</v>
      </c>
      <c r="G1270" s="5" t="s">
        <v>38</v>
      </c>
      <c r="H1270" s="5"/>
      <c r="I1270" s="5"/>
      <c r="J1270" s="5" t="s">
        <v>39</v>
      </c>
      <c r="K1270" s="5" t="s">
        <v>1613</v>
      </c>
      <c r="L1270" s="5" t="s">
        <v>1614</v>
      </c>
      <c r="M1270" s="5" t="s">
        <v>1615</v>
      </c>
      <c r="N1270" s="5" t="s">
        <v>36</v>
      </c>
      <c r="O1270" s="5">
        <v>1</v>
      </c>
      <c r="P1270" s="5" t="s">
        <v>43</v>
      </c>
      <c r="Q1270" s="5">
        <v>10</v>
      </c>
      <c r="R1270" s="5"/>
      <c r="S1270" s="5"/>
      <c r="T1270" s="5"/>
      <c r="U1270" s="5"/>
      <c r="V1270" s="5"/>
      <c r="W1270" s="5"/>
      <c r="X1270" s="5"/>
      <c r="Y1270" s="5" t="s">
        <v>5995</v>
      </c>
      <c r="Z1270" s="5" t="s">
        <v>123</v>
      </c>
      <c r="AA1270" s="5" t="s">
        <v>5996</v>
      </c>
      <c r="AB1270" s="5" t="s">
        <v>46</v>
      </c>
      <c r="AC1270" s="5"/>
      <c r="AD1270" s="5" t="b">
        <v>0</v>
      </c>
      <c r="AE1270" s="5"/>
      <c r="AF1270" s="5"/>
      <c r="AG1270" s="9">
        <f t="shared" si="19"/>
        <v>43288</v>
      </c>
    </row>
    <row r="1271" s="6" customFormat="1" spans="1:33">
      <c r="A1271" s="5" t="s">
        <v>5997</v>
      </c>
      <c r="B1271" s="5" t="s">
        <v>5997</v>
      </c>
      <c r="C1271" s="5" t="s">
        <v>5998</v>
      </c>
      <c r="D1271" s="5" t="s">
        <v>5999</v>
      </c>
      <c r="E1271" s="5" t="s">
        <v>36</v>
      </c>
      <c r="F1271" s="5" t="s">
        <v>37</v>
      </c>
      <c r="G1271" s="5" t="s">
        <v>38</v>
      </c>
      <c r="H1271" s="5"/>
      <c r="I1271" s="5"/>
      <c r="J1271" s="5" t="s">
        <v>39</v>
      </c>
      <c r="K1271" s="5" t="s">
        <v>3752</v>
      </c>
      <c r="L1271" s="5" t="s">
        <v>244</v>
      </c>
      <c r="M1271" s="5" t="s">
        <v>245</v>
      </c>
      <c r="N1271" s="5" t="s">
        <v>36</v>
      </c>
      <c r="O1271" s="5">
        <v>1</v>
      </c>
      <c r="P1271" s="5" t="s">
        <v>43</v>
      </c>
      <c r="Q1271" s="5">
        <v>18.99</v>
      </c>
      <c r="R1271" s="5"/>
      <c r="S1271" s="5"/>
      <c r="T1271" s="5"/>
      <c r="U1271" s="5"/>
      <c r="V1271" s="5"/>
      <c r="W1271" s="5"/>
      <c r="X1271" s="5"/>
      <c r="Y1271" s="5" t="s">
        <v>6000</v>
      </c>
      <c r="Z1271" s="5" t="s">
        <v>1039</v>
      </c>
      <c r="AA1271" s="5" t="s">
        <v>6001</v>
      </c>
      <c r="AB1271" s="5" t="s">
        <v>46</v>
      </c>
      <c r="AC1271" s="5"/>
      <c r="AD1271" s="5" t="b">
        <v>0</v>
      </c>
      <c r="AE1271" s="5"/>
      <c r="AF1271" s="5"/>
      <c r="AG1271" s="9">
        <f t="shared" si="19"/>
        <v>43288</v>
      </c>
    </row>
    <row r="1272" s="6" customFormat="1" spans="1:33">
      <c r="A1272" s="5" t="s">
        <v>6002</v>
      </c>
      <c r="B1272" s="5" t="s">
        <v>6002</v>
      </c>
      <c r="C1272" s="5" t="s">
        <v>6003</v>
      </c>
      <c r="D1272" s="5" t="s">
        <v>6004</v>
      </c>
      <c r="E1272" s="5" t="s">
        <v>36</v>
      </c>
      <c r="F1272" s="5" t="s">
        <v>37</v>
      </c>
      <c r="G1272" s="5" t="s">
        <v>38</v>
      </c>
      <c r="H1272" s="5"/>
      <c r="I1272" s="5"/>
      <c r="J1272" s="5" t="s">
        <v>39</v>
      </c>
      <c r="K1272" s="5" t="s">
        <v>3752</v>
      </c>
      <c r="L1272" s="5" t="s">
        <v>244</v>
      </c>
      <c r="M1272" s="5" t="s">
        <v>245</v>
      </c>
      <c r="N1272" s="5" t="s">
        <v>36</v>
      </c>
      <c r="O1272" s="5">
        <v>1</v>
      </c>
      <c r="P1272" s="5" t="s">
        <v>43</v>
      </c>
      <c r="Q1272" s="5">
        <v>18.99</v>
      </c>
      <c r="R1272" s="5"/>
      <c r="S1272" s="5"/>
      <c r="T1272" s="5"/>
      <c r="U1272" s="5"/>
      <c r="V1272" s="5"/>
      <c r="W1272" s="5"/>
      <c r="X1272" s="5"/>
      <c r="Y1272" s="5" t="s">
        <v>6005</v>
      </c>
      <c r="Z1272" s="5" t="s">
        <v>54</v>
      </c>
      <c r="AA1272" s="5" t="s">
        <v>6006</v>
      </c>
      <c r="AB1272" s="5" t="s">
        <v>46</v>
      </c>
      <c r="AC1272" s="5"/>
      <c r="AD1272" s="5" t="b">
        <v>0</v>
      </c>
      <c r="AE1272" s="5"/>
      <c r="AF1272" s="5"/>
      <c r="AG1272" s="9">
        <f t="shared" si="19"/>
        <v>43288</v>
      </c>
    </row>
    <row r="1273" s="6" customFormat="1" spans="1:33">
      <c r="A1273" s="5" t="s">
        <v>6007</v>
      </c>
      <c r="B1273" s="5" t="s">
        <v>6007</v>
      </c>
      <c r="C1273" s="5" t="s">
        <v>6008</v>
      </c>
      <c r="D1273" s="5" t="s">
        <v>6009</v>
      </c>
      <c r="E1273" s="5" t="s">
        <v>36</v>
      </c>
      <c r="F1273" s="5" t="s">
        <v>37</v>
      </c>
      <c r="G1273" s="5" t="s">
        <v>38</v>
      </c>
      <c r="H1273" s="5"/>
      <c r="I1273" s="5"/>
      <c r="J1273" s="5" t="s">
        <v>39</v>
      </c>
      <c r="K1273" s="5" t="s">
        <v>3752</v>
      </c>
      <c r="L1273" s="5" t="s">
        <v>244</v>
      </c>
      <c r="M1273" s="5" t="s">
        <v>245</v>
      </c>
      <c r="N1273" s="5" t="s">
        <v>36</v>
      </c>
      <c r="O1273" s="5">
        <v>1</v>
      </c>
      <c r="P1273" s="5" t="s">
        <v>43</v>
      </c>
      <c r="Q1273" s="5">
        <v>18.99</v>
      </c>
      <c r="R1273" s="5"/>
      <c r="S1273" s="5"/>
      <c r="T1273" s="5"/>
      <c r="U1273" s="5"/>
      <c r="V1273" s="5"/>
      <c r="W1273" s="5"/>
      <c r="X1273" s="5"/>
      <c r="Y1273" s="5" t="s">
        <v>6010</v>
      </c>
      <c r="Z1273" s="5" t="s">
        <v>151</v>
      </c>
      <c r="AA1273" s="5" t="s">
        <v>6011</v>
      </c>
      <c r="AB1273" s="5" t="s">
        <v>46</v>
      </c>
      <c r="AC1273" s="5"/>
      <c r="AD1273" s="5" t="b">
        <v>0</v>
      </c>
      <c r="AE1273" s="5"/>
      <c r="AF1273" s="5"/>
      <c r="AG1273" s="9">
        <f t="shared" si="19"/>
        <v>43288</v>
      </c>
    </row>
    <row r="1274" s="6" customFormat="1" spans="1:33">
      <c r="A1274" s="5" t="s">
        <v>6012</v>
      </c>
      <c r="B1274" s="5" t="s">
        <v>6012</v>
      </c>
      <c r="C1274" s="5" t="s">
        <v>6013</v>
      </c>
      <c r="D1274" s="5" t="s">
        <v>6014</v>
      </c>
      <c r="E1274" s="5" t="s">
        <v>36</v>
      </c>
      <c r="F1274" s="5" t="s">
        <v>37</v>
      </c>
      <c r="G1274" s="5" t="s">
        <v>38</v>
      </c>
      <c r="H1274" s="5"/>
      <c r="I1274" s="5"/>
      <c r="J1274" s="5" t="s">
        <v>39</v>
      </c>
      <c r="K1274" s="5" t="s">
        <v>67</v>
      </c>
      <c r="L1274" s="5" t="s">
        <v>68</v>
      </c>
      <c r="M1274" s="5" t="s">
        <v>69</v>
      </c>
      <c r="N1274" s="5" t="s">
        <v>36</v>
      </c>
      <c r="O1274" s="5">
        <v>1</v>
      </c>
      <c r="P1274" s="5" t="s">
        <v>43</v>
      </c>
      <c r="Q1274" s="5">
        <v>24.99</v>
      </c>
      <c r="R1274" s="5"/>
      <c r="S1274" s="5"/>
      <c r="T1274" s="5"/>
      <c r="U1274" s="5"/>
      <c r="V1274" s="5"/>
      <c r="W1274" s="5"/>
      <c r="X1274" s="5"/>
      <c r="Y1274" s="5" t="s">
        <v>6015</v>
      </c>
      <c r="Z1274" s="5" t="s">
        <v>54</v>
      </c>
      <c r="AA1274" s="5" t="s">
        <v>6016</v>
      </c>
      <c r="AB1274" s="5" t="s">
        <v>46</v>
      </c>
      <c r="AC1274" s="5"/>
      <c r="AD1274" s="5" t="b">
        <v>0</v>
      </c>
      <c r="AE1274" s="5"/>
      <c r="AF1274" s="5"/>
      <c r="AG1274" s="9">
        <f t="shared" si="19"/>
        <v>43288</v>
      </c>
    </row>
    <row r="1275" s="6" customFormat="1" spans="1:33">
      <c r="A1275" s="5" t="s">
        <v>6017</v>
      </c>
      <c r="B1275" s="5" t="s">
        <v>6017</v>
      </c>
      <c r="C1275" s="5" t="s">
        <v>6018</v>
      </c>
      <c r="D1275" s="5" t="s">
        <v>6019</v>
      </c>
      <c r="E1275" s="5" t="s">
        <v>36</v>
      </c>
      <c r="F1275" s="5" t="s">
        <v>37</v>
      </c>
      <c r="G1275" s="5" t="s">
        <v>38</v>
      </c>
      <c r="H1275" s="5"/>
      <c r="I1275" s="5"/>
      <c r="J1275" s="5" t="s">
        <v>39</v>
      </c>
      <c r="K1275" s="5" t="s">
        <v>1999</v>
      </c>
      <c r="L1275" s="5" t="s">
        <v>2000</v>
      </c>
      <c r="M1275" s="5" t="s">
        <v>2001</v>
      </c>
      <c r="N1275" s="5" t="s">
        <v>36</v>
      </c>
      <c r="O1275" s="5">
        <v>1</v>
      </c>
      <c r="P1275" s="5" t="s">
        <v>43</v>
      </c>
      <c r="Q1275" s="5">
        <v>18.99</v>
      </c>
      <c r="R1275" s="5"/>
      <c r="S1275" s="5"/>
      <c r="T1275" s="5"/>
      <c r="U1275" s="5"/>
      <c r="V1275" s="5"/>
      <c r="W1275" s="5"/>
      <c r="X1275" s="5"/>
      <c r="Y1275" s="5" t="s">
        <v>6020</v>
      </c>
      <c r="Z1275" s="5" t="s">
        <v>54</v>
      </c>
      <c r="AA1275" s="5" t="s">
        <v>6021</v>
      </c>
      <c r="AB1275" s="5" t="s">
        <v>46</v>
      </c>
      <c r="AC1275" s="5"/>
      <c r="AD1275" s="5" t="b">
        <v>0</v>
      </c>
      <c r="AE1275" s="5"/>
      <c r="AF1275" s="5"/>
      <c r="AG1275" s="9">
        <f t="shared" si="19"/>
        <v>43288</v>
      </c>
    </row>
    <row r="1276" s="6" customFormat="1" spans="1:33">
      <c r="A1276" s="5" t="s">
        <v>6022</v>
      </c>
      <c r="B1276" s="5" t="s">
        <v>6022</v>
      </c>
      <c r="C1276" s="5" t="s">
        <v>6023</v>
      </c>
      <c r="D1276" s="5" t="s">
        <v>6024</v>
      </c>
      <c r="E1276" s="5" t="s">
        <v>36</v>
      </c>
      <c r="F1276" s="5" t="s">
        <v>37</v>
      </c>
      <c r="G1276" s="5" t="s">
        <v>38</v>
      </c>
      <c r="H1276" s="5"/>
      <c r="I1276" s="5"/>
      <c r="J1276" s="5" t="s">
        <v>39</v>
      </c>
      <c r="K1276" s="5" t="s">
        <v>541</v>
      </c>
      <c r="L1276" s="5" t="s">
        <v>1106</v>
      </c>
      <c r="M1276" s="5" t="s">
        <v>1107</v>
      </c>
      <c r="N1276" s="5" t="s">
        <v>36</v>
      </c>
      <c r="O1276" s="5">
        <v>1</v>
      </c>
      <c r="P1276" s="5" t="s">
        <v>43</v>
      </c>
      <c r="Q1276" s="5">
        <v>10.98</v>
      </c>
      <c r="R1276" s="5"/>
      <c r="S1276" s="5"/>
      <c r="T1276" s="5"/>
      <c r="U1276" s="5"/>
      <c r="V1276" s="5"/>
      <c r="W1276" s="5"/>
      <c r="X1276" s="5"/>
      <c r="Y1276" s="5" t="s">
        <v>6025</v>
      </c>
      <c r="Z1276" s="5" t="s">
        <v>282</v>
      </c>
      <c r="AA1276" s="5" t="s">
        <v>6026</v>
      </c>
      <c r="AB1276" s="5" t="s">
        <v>46</v>
      </c>
      <c r="AC1276" s="5"/>
      <c r="AD1276" s="5" t="b">
        <v>0</v>
      </c>
      <c r="AE1276" s="5"/>
      <c r="AF1276" s="5"/>
      <c r="AG1276" s="9">
        <f t="shared" si="19"/>
        <v>43288</v>
      </c>
    </row>
    <row r="1277" s="6" customFormat="1" spans="1:33">
      <c r="A1277" s="5" t="s">
        <v>6027</v>
      </c>
      <c r="B1277" s="5" t="s">
        <v>6027</v>
      </c>
      <c r="C1277" s="5" t="s">
        <v>6028</v>
      </c>
      <c r="D1277" s="5" t="s">
        <v>6029</v>
      </c>
      <c r="E1277" s="5" t="s">
        <v>5238</v>
      </c>
      <c r="F1277" s="5" t="s">
        <v>37</v>
      </c>
      <c r="G1277" s="5" t="s">
        <v>38</v>
      </c>
      <c r="H1277" s="5"/>
      <c r="I1277" s="5"/>
      <c r="J1277" s="5" t="s">
        <v>128</v>
      </c>
      <c r="K1277" s="5" t="s">
        <v>3679</v>
      </c>
      <c r="L1277" s="5" t="s">
        <v>4376</v>
      </c>
      <c r="M1277" s="5" t="s">
        <v>1293</v>
      </c>
      <c r="N1277" s="5" t="s">
        <v>833</v>
      </c>
      <c r="O1277" s="5">
        <v>1</v>
      </c>
      <c r="P1277" s="5" t="s">
        <v>43</v>
      </c>
      <c r="Q1277" s="5">
        <v>13.99</v>
      </c>
      <c r="R1277" s="5"/>
      <c r="S1277" s="5"/>
      <c r="T1277" s="5"/>
      <c r="U1277" s="5"/>
      <c r="V1277" s="5"/>
      <c r="W1277" s="5"/>
      <c r="X1277" s="5"/>
      <c r="Y1277" s="5" t="s">
        <v>861</v>
      </c>
      <c r="Z1277" s="5" t="s">
        <v>54</v>
      </c>
      <c r="AA1277" s="5" t="s">
        <v>6030</v>
      </c>
      <c r="AB1277" s="5" t="s">
        <v>46</v>
      </c>
      <c r="AC1277" s="5" t="s">
        <v>225</v>
      </c>
      <c r="AD1277" s="5" t="b">
        <v>0</v>
      </c>
      <c r="AE1277" s="5"/>
      <c r="AF1277" s="5"/>
      <c r="AG1277" s="9">
        <f t="shared" si="19"/>
        <v>43288</v>
      </c>
    </row>
    <row r="1278" s="6" customFormat="1" spans="1:33">
      <c r="A1278" s="5" t="s">
        <v>6031</v>
      </c>
      <c r="B1278" s="5" t="s">
        <v>6031</v>
      </c>
      <c r="C1278" s="5" t="s">
        <v>6032</v>
      </c>
      <c r="D1278" s="5" t="s">
        <v>6033</v>
      </c>
      <c r="E1278" s="5" t="s">
        <v>36</v>
      </c>
      <c r="F1278" s="5" t="s">
        <v>37</v>
      </c>
      <c r="G1278" s="5" t="s">
        <v>38</v>
      </c>
      <c r="H1278" s="5"/>
      <c r="I1278" s="5"/>
      <c r="J1278" s="5" t="s">
        <v>39</v>
      </c>
      <c r="K1278" s="5" t="s">
        <v>4155</v>
      </c>
      <c r="L1278" s="5" t="s">
        <v>111</v>
      </c>
      <c r="M1278" s="5" t="s">
        <v>112</v>
      </c>
      <c r="N1278" s="5" t="s">
        <v>36</v>
      </c>
      <c r="O1278" s="5">
        <v>1</v>
      </c>
      <c r="P1278" s="5" t="s">
        <v>43</v>
      </c>
      <c r="Q1278" s="5">
        <v>13.99</v>
      </c>
      <c r="R1278" s="5"/>
      <c r="S1278" s="5"/>
      <c r="T1278" s="5"/>
      <c r="U1278" s="5"/>
      <c r="V1278" s="5"/>
      <c r="W1278" s="5"/>
      <c r="X1278" s="5"/>
      <c r="Y1278" s="5" t="s">
        <v>489</v>
      </c>
      <c r="Z1278" s="5" t="s">
        <v>142</v>
      </c>
      <c r="AA1278" s="5" t="s">
        <v>6034</v>
      </c>
      <c r="AB1278" s="5" t="s">
        <v>46</v>
      </c>
      <c r="AC1278" s="5"/>
      <c r="AD1278" s="5" t="b">
        <v>0</v>
      </c>
      <c r="AE1278" s="5"/>
      <c r="AF1278" s="5"/>
      <c r="AG1278" s="9">
        <f t="shared" si="19"/>
        <v>43288</v>
      </c>
    </row>
    <row r="1279" s="6" customFormat="1" spans="1:33">
      <c r="A1279" s="5" t="s">
        <v>6035</v>
      </c>
      <c r="B1279" s="5" t="s">
        <v>6035</v>
      </c>
      <c r="C1279" s="5" t="s">
        <v>6036</v>
      </c>
      <c r="D1279" s="5" t="s">
        <v>6037</v>
      </c>
      <c r="E1279" s="5" t="s">
        <v>36</v>
      </c>
      <c r="F1279" s="5" t="s">
        <v>37</v>
      </c>
      <c r="G1279" s="5" t="s">
        <v>38</v>
      </c>
      <c r="H1279" s="5"/>
      <c r="I1279" s="5"/>
      <c r="J1279" s="5" t="s">
        <v>39</v>
      </c>
      <c r="K1279" s="5" t="s">
        <v>4085</v>
      </c>
      <c r="L1279" s="5" t="s">
        <v>102</v>
      </c>
      <c r="M1279" s="5" t="s">
        <v>103</v>
      </c>
      <c r="N1279" s="5" t="s">
        <v>36</v>
      </c>
      <c r="O1279" s="5">
        <v>1</v>
      </c>
      <c r="P1279" s="5" t="s">
        <v>43</v>
      </c>
      <c r="Q1279" s="5">
        <v>13.99</v>
      </c>
      <c r="R1279" s="5"/>
      <c r="S1279" s="5"/>
      <c r="T1279" s="5"/>
      <c r="U1279" s="5"/>
      <c r="V1279" s="5"/>
      <c r="W1279" s="5"/>
      <c r="X1279" s="5"/>
      <c r="Y1279" s="5" t="s">
        <v>489</v>
      </c>
      <c r="Z1279" s="5" t="s">
        <v>142</v>
      </c>
      <c r="AA1279" s="5" t="s">
        <v>6038</v>
      </c>
      <c r="AB1279" s="5" t="s">
        <v>46</v>
      </c>
      <c r="AC1279" s="5"/>
      <c r="AD1279" s="5" t="b">
        <v>0</v>
      </c>
      <c r="AE1279" s="5"/>
      <c r="AF1279" s="5"/>
      <c r="AG1279" s="9">
        <f t="shared" si="19"/>
        <v>43288</v>
      </c>
    </row>
    <row r="1280" s="6" customFormat="1" spans="1:33">
      <c r="A1280" s="5" t="s">
        <v>6039</v>
      </c>
      <c r="B1280" s="5" t="s">
        <v>6039</v>
      </c>
      <c r="C1280" s="5" t="s">
        <v>6040</v>
      </c>
      <c r="D1280" s="5" t="s">
        <v>6041</v>
      </c>
      <c r="E1280" s="5" t="s">
        <v>36</v>
      </c>
      <c r="F1280" s="5" t="s">
        <v>37</v>
      </c>
      <c r="G1280" s="5" t="s">
        <v>38</v>
      </c>
      <c r="H1280" s="5"/>
      <c r="I1280" s="5"/>
      <c r="J1280" s="5" t="s">
        <v>39</v>
      </c>
      <c r="K1280" s="5" t="s">
        <v>3483</v>
      </c>
      <c r="L1280" s="5" t="s">
        <v>3484</v>
      </c>
      <c r="M1280" s="5" t="s">
        <v>3485</v>
      </c>
      <c r="N1280" s="5" t="s">
        <v>36</v>
      </c>
      <c r="O1280" s="5">
        <v>1</v>
      </c>
      <c r="P1280" s="5" t="s">
        <v>43</v>
      </c>
      <c r="Q1280" s="5">
        <v>29.99</v>
      </c>
      <c r="R1280" s="5"/>
      <c r="S1280" s="5"/>
      <c r="T1280" s="5"/>
      <c r="U1280" s="5"/>
      <c r="V1280" s="5"/>
      <c r="W1280" s="5"/>
      <c r="X1280" s="5"/>
      <c r="Y1280" s="5" t="s">
        <v>6042</v>
      </c>
      <c r="Z1280" s="5" t="s">
        <v>247</v>
      </c>
      <c r="AA1280" s="5">
        <v>75115</v>
      </c>
      <c r="AB1280" s="5" t="s">
        <v>46</v>
      </c>
      <c r="AC1280" s="5"/>
      <c r="AD1280" s="5" t="b">
        <v>0</v>
      </c>
      <c r="AE1280" s="5"/>
      <c r="AF1280" s="5"/>
      <c r="AG1280" s="9">
        <f t="shared" si="19"/>
        <v>43288</v>
      </c>
    </row>
    <row r="1281" s="6" customFormat="1" spans="1:33">
      <c r="A1281" s="5" t="s">
        <v>6043</v>
      </c>
      <c r="B1281" s="5" t="s">
        <v>6043</v>
      </c>
      <c r="C1281" s="5" t="s">
        <v>6044</v>
      </c>
      <c r="D1281" s="5" t="s">
        <v>6045</v>
      </c>
      <c r="E1281" s="5" t="s">
        <v>36</v>
      </c>
      <c r="F1281" s="5" t="s">
        <v>37</v>
      </c>
      <c r="G1281" s="5" t="s">
        <v>38</v>
      </c>
      <c r="H1281" s="5"/>
      <c r="I1281" s="5"/>
      <c r="J1281" s="5" t="s">
        <v>39</v>
      </c>
      <c r="K1281" s="5" t="s">
        <v>3752</v>
      </c>
      <c r="L1281" s="5" t="s">
        <v>244</v>
      </c>
      <c r="M1281" s="5" t="s">
        <v>245</v>
      </c>
      <c r="N1281" s="5" t="s">
        <v>36</v>
      </c>
      <c r="O1281" s="5">
        <v>1</v>
      </c>
      <c r="P1281" s="5" t="s">
        <v>43</v>
      </c>
      <c r="Q1281" s="5">
        <v>18.99</v>
      </c>
      <c r="R1281" s="5"/>
      <c r="S1281" s="5"/>
      <c r="T1281" s="5"/>
      <c r="U1281" s="5"/>
      <c r="V1281" s="5"/>
      <c r="W1281" s="5"/>
      <c r="X1281" s="5"/>
      <c r="Y1281" s="5" t="s">
        <v>861</v>
      </c>
      <c r="Z1281" s="5" t="s">
        <v>54</v>
      </c>
      <c r="AA1281" s="5" t="s">
        <v>6046</v>
      </c>
      <c r="AB1281" s="5" t="s">
        <v>46</v>
      </c>
      <c r="AC1281" s="5"/>
      <c r="AD1281" s="5" t="b">
        <v>0</v>
      </c>
      <c r="AE1281" s="5"/>
      <c r="AF1281" s="5"/>
      <c r="AG1281" s="9">
        <f t="shared" si="19"/>
        <v>43288</v>
      </c>
    </row>
    <row r="1282" s="6" customFormat="1" spans="1:33">
      <c r="A1282" s="5" t="s">
        <v>6047</v>
      </c>
      <c r="B1282" s="5" t="s">
        <v>6047</v>
      </c>
      <c r="C1282" s="5" t="s">
        <v>6048</v>
      </c>
      <c r="D1282" s="5" t="s">
        <v>6049</v>
      </c>
      <c r="E1282" s="5" t="s">
        <v>36</v>
      </c>
      <c r="F1282" s="5" t="s">
        <v>37</v>
      </c>
      <c r="G1282" s="5" t="s">
        <v>38</v>
      </c>
      <c r="H1282" s="5"/>
      <c r="I1282" s="5"/>
      <c r="J1282" s="5" t="s">
        <v>39</v>
      </c>
      <c r="K1282" s="5" t="s">
        <v>409</v>
      </c>
      <c r="L1282" s="5" t="s">
        <v>5398</v>
      </c>
      <c r="M1282" s="5" t="s">
        <v>5399</v>
      </c>
      <c r="N1282" s="5" t="s">
        <v>36</v>
      </c>
      <c r="O1282" s="5">
        <v>1</v>
      </c>
      <c r="P1282" s="5" t="s">
        <v>43</v>
      </c>
      <c r="Q1282" s="5">
        <v>9.9</v>
      </c>
      <c r="R1282" s="5">
        <v>0.93</v>
      </c>
      <c r="S1282" s="5"/>
      <c r="T1282" s="5"/>
      <c r="U1282" s="5"/>
      <c r="V1282" s="5"/>
      <c r="W1282" s="5"/>
      <c r="X1282" s="5"/>
      <c r="Y1282" s="5" t="s">
        <v>6050</v>
      </c>
      <c r="Z1282" s="5" t="s">
        <v>843</v>
      </c>
      <c r="AA1282" s="5" t="s">
        <v>6051</v>
      </c>
      <c r="AB1282" s="5" t="s">
        <v>46</v>
      </c>
      <c r="AC1282" s="5"/>
      <c r="AD1282" s="5" t="b">
        <v>0</v>
      </c>
      <c r="AE1282" s="5"/>
      <c r="AF1282" s="5"/>
      <c r="AG1282" s="9">
        <f t="shared" ref="AG1282:AG1337" si="20">DATEVALUE(LEFT(C1282,10))</f>
        <v>43288</v>
      </c>
    </row>
    <row r="1283" s="6" customFormat="1" spans="1:33">
      <c r="A1283" s="5" t="s">
        <v>6052</v>
      </c>
      <c r="B1283" s="5" t="s">
        <v>6052</v>
      </c>
      <c r="C1283" s="5" t="s">
        <v>6053</v>
      </c>
      <c r="D1283" s="5" t="s">
        <v>6054</v>
      </c>
      <c r="E1283" s="5" t="s">
        <v>614</v>
      </c>
      <c r="F1283" s="5" t="s">
        <v>37</v>
      </c>
      <c r="G1283" s="5" t="s">
        <v>38</v>
      </c>
      <c r="H1283" s="5"/>
      <c r="I1283" s="5"/>
      <c r="J1283" s="5" t="s">
        <v>39</v>
      </c>
      <c r="K1283" s="5" t="s">
        <v>3645</v>
      </c>
      <c r="L1283" s="5" t="s">
        <v>51</v>
      </c>
      <c r="M1283" s="5" t="s">
        <v>52</v>
      </c>
      <c r="N1283" s="5" t="s">
        <v>614</v>
      </c>
      <c r="O1283" s="5">
        <v>0</v>
      </c>
      <c r="P1283" s="5"/>
      <c r="Q1283" s="5"/>
      <c r="R1283" s="5"/>
      <c r="S1283" s="5"/>
      <c r="T1283" s="5"/>
      <c r="U1283" s="5"/>
      <c r="V1283" s="5"/>
      <c r="W1283" s="5"/>
      <c r="X1283" s="5"/>
      <c r="Y1283" s="5" t="s">
        <v>6055</v>
      </c>
      <c r="Z1283" s="5" t="s">
        <v>183</v>
      </c>
      <c r="AA1283" s="5" t="s">
        <v>6056</v>
      </c>
      <c r="AB1283" s="5" t="s">
        <v>46</v>
      </c>
      <c r="AC1283" s="5"/>
      <c r="AD1283" s="5" t="b">
        <v>0</v>
      </c>
      <c r="AE1283" s="5"/>
      <c r="AF1283" s="5"/>
      <c r="AG1283" s="9">
        <f t="shared" si="20"/>
        <v>43288</v>
      </c>
    </row>
    <row r="1284" s="6" customFormat="1" spans="1:33">
      <c r="A1284" s="5" t="s">
        <v>6057</v>
      </c>
      <c r="B1284" s="5" t="s">
        <v>6057</v>
      </c>
      <c r="C1284" s="5" t="s">
        <v>6058</v>
      </c>
      <c r="D1284" s="5" t="s">
        <v>6059</v>
      </c>
      <c r="E1284" s="5" t="s">
        <v>36</v>
      </c>
      <c r="F1284" s="5" t="s">
        <v>37</v>
      </c>
      <c r="G1284" s="5" t="s">
        <v>38</v>
      </c>
      <c r="H1284" s="5"/>
      <c r="I1284" s="5"/>
      <c r="J1284" s="5" t="s">
        <v>39</v>
      </c>
      <c r="K1284" s="5" t="s">
        <v>587</v>
      </c>
      <c r="L1284" s="5" t="s">
        <v>588</v>
      </c>
      <c r="M1284" s="5" t="s">
        <v>589</v>
      </c>
      <c r="N1284" s="5" t="s">
        <v>36</v>
      </c>
      <c r="O1284" s="5">
        <v>1</v>
      </c>
      <c r="P1284" s="5" t="s">
        <v>43</v>
      </c>
      <c r="Q1284" s="5">
        <v>18.99</v>
      </c>
      <c r="R1284" s="5"/>
      <c r="S1284" s="5"/>
      <c r="T1284" s="5"/>
      <c r="U1284" s="5"/>
      <c r="V1284" s="5"/>
      <c r="W1284" s="5"/>
      <c r="X1284" s="5"/>
      <c r="Y1284" s="5" t="s">
        <v>6060</v>
      </c>
      <c r="Z1284" s="5" t="s">
        <v>105</v>
      </c>
      <c r="AA1284" s="5" t="s">
        <v>6061</v>
      </c>
      <c r="AB1284" s="5" t="s">
        <v>46</v>
      </c>
      <c r="AC1284" s="5"/>
      <c r="AD1284" s="5" t="b">
        <v>0</v>
      </c>
      <c r="AE1284" s="5"/>
      <c r="AF1284" s="5"/>
      <c r="AG1284" s="9">
        <f t="shared" si="20"/>
        <v>43288</v>
      </c>
    </row>
    <row r="1285" s="6" customFormat="1" spans="1:33">
      <c r="A1285" s="5" t="s">
        <v>6062</v>
      </c>
      <c r="B1285" s="5" t="s">
        <v>6062</v>
      </c>
      <c r="C1285" s="5" t="s">
        <v>6063</v>
      </c>
      <c r="D1285" s="5" t="s">
        <v>6064</v>
      </c>
      <c r="E1285" s="5" t="s">
        <v>36</v>
      </c>
      <c r="F1285" s="5" t="s">
        <v>37</v>
      </c>
      <c r="G1285" s="5" t="s">
        <v>38</v>
      </c>
      <c r="H1285" s="5"/>
      <c r="I1285" s="5"/>
      <c r="J1285" s="5" t="s">
        <v>39</v>
      </c>
      <c r="K1285" s="5" t="s">
        <v>3645</v>
      </c>
      <c r="L1285" s="5" t="s">
        <v>51</v>
      </c>
      <c r="M1285" s="5" t="s">
        <v>52</v>
      </c>
      <c r="N1285" s="5" t="s">
        <v>36</v>
      </c>
      <c r="O1285" s="5">
        <v>1</v>
      </c>
      <c r="P1285" s="5" t="s">
        <v>43</v>
      </c>
      <c r="Q1285" s="5">
        <v>18.99</v>
      </c>
      <c r="R1285" s="5"/>
      <c r="S1285" s="5"/>
      <c r="T1285" s="5"/>
      <c r="U1285" s="5"/>
      <c r="V1285" s="5"/>
      <c r="W1285" s="5"/>
      <c r="X1285" s="5"/>
      <c r="Y1285" s="5" t="s">
        <v>6065</v>
      </c>
      <c r="Z1285" s="5" t="s">
        <v>463</v>
      </c>
      <c r="AA1285" s="5" t="s">
        <v>6066</v>
      </c>
      <c r="AB1285" s="5" t="s">
        <v>46</v>
      </c>
      <c r="AC1285" s="5"/>
      <c r="AD1285" s="5" t="b">
        <v>0</v>
      </c>
      <c r="AE1285" s="5"/>
      <c r="AF1285" s="5"/>
      <c r="AG1285" s="9">
        <f t="shared" si="20"/>
        <v>43289</v>
      </c>
    </row>
    <row r="1286" s="6" customFormat="1" spans="1:33">
      <c r="A1286" s="5" t="s">
        <v>6067</v>
      </c>
      <c r="B1286" s="5" t="s">
        <v>6067</v>
      </c>
      <c r="C1286" s="5" t="s">
        <v>6068</v>
      </c>
      <c r="D1286" s="5" t="s">
        <v>6069</v>
      </c>
      <c r="E1286" s="5" t="s">
        <v>36</v>
      </c>
      <c r="F1286" s="5" t="s">
        <v>37</v>
      </c>
      <c r="G1286" s="5" t="s">
        <v>38</v>
      </c>
      <c r="H1286" s="5"/>
      <c r="I1286" s="5"/>
      <c r="J1286" s="5" t="s">
        <v>287</v>
      </c>
      <c r="K1286" s="5" t="s">
        <v>4038</v>
      </c>
      <c r="L1286" s="5" t="s">
        <v>76</v>
      </c>
      <c r="M1286" s="5" t="s">
        <v>77</v>
      </c>
      <c r="N1286" s="5" t="s">
        <v>36</v>
      </c>
      <c r="O1286" s="5">
        <v>1</v>
      </c>
      <c r="P1286" s="5" t="s">
        <v>43</v>
      </c>
      <c r="Q1286" s="5">
        <v>13.99</v>
      </c>
      <c r="R1286" s="5"/>
      <c r="S1286" s="5">
        <v>5.99</v>
      </c>
      <c r="T1286" s="5"/>
      <c r="U1286" s="5"/>
      <c r="V1286" s="5"/>
      <c r="W1286" s="5"/>
      <c r="X1286" s="5"/>
      <c r="Y1286" s="5" t="s">
        <v>6070</v>
      </c>
      <c r="Z1286" s="5" t="s">
        <v>3061</v>
      </c>
      <c r="AA1286" s="5">
        <v>92677</v>
      </c>
      <c r="AB1286" s="5" t="s">
        <v>46</v>
      </c>
      <c r="AC1286" s="5"/>
      <c r="AD1286" s="5" t="b">
        <v>0</v>
      </c>
      <c r="AE1286" s="5"/>
      <c r="AF1286" s="5"/>
      <c r="AG1286" s="9">
        <f t="shared" si="20"/>
        <v>43289</v>
      </c>
    </row>
    <row r="1287" s="6" customFormat="1" spans="1:33">
      <c r="A1287" s="5" t="s">
        <v>6071</v>
      </c>
      <c r="B1287" s="5" t="s">
        <v>6071</v>
      </c>
      <c r="C1287" s="5" t="s">
        <v>6072</v>
      </c>
      <c r="D1287" s="5" t="s">
        <v>6073</v>
      </c>
      <c r="E1287" s="5" t="s">
        <v>36</v>
      </c>
      <c r="F1287" s="5" t="s">
        <v>37</v>
      </c>
      <c r="G1287" s="5" t="s">
        <v>38</v>
      </c>
      <c r="H1287" s="5"/>
      <c r="I1287" s="5"/>
      <c r="J1287" s="5" t="s">
        <v>39</v>
      </c>
      <c r="K1287" s="5" t="s">
        <v>4155</v>
      </c>
      <c r="L1287" s="5" t="s">
        <v>111</v>
      </c>
      <c r="M1287" s="5" t="s">
        <v>112</v>
      </c>
      <c r="N1287" s="5" t="s">
        <v>36</v>
      </c>
      <c r="O1287" s="5">
        <v>1</v>
      </c>
      <c r="P1287" s="5" t="s">
        <v>43</v>
      </c>
      <c r="Q1287" s="5">
        <v>13.99</v>
      </c>
      <c r="R1287" s="5"/>
      <c r="S1287" s="5"/>
      <c r="T1287" s="5"/>
      <c r="U1287" s="5"/>
      <c r="V1287" s="5"/>
      <c r="W1287" s="5"/>
      <c r="X1287" s="5"/>
      <c r="Y1287" s="5" t="s">
        <v>6074</v>
      </c>
      <c r="Z1287" s="5" t="s">
        <v>807</v>
      </c>
      <c r="AA1287" s="5" t="s">
        <v>6075</v>
      </c>
      <c r="AB1287" s="5" t="s">
        <v>46</v>
      </c>
      <c r="AC1287" s="5"/>
      <c r="AD1287" s="5" t="b">
        <v>0</v>
      </c>
      <c r="AE1287" s="5"/>
      <c r="AF1287" s="5"/>
      <c r="AG1287" s="9">
        <f t="shared" si="20"/>
        <v>43289</v>
      </c>
    </row>
    <row r="1288" s="6" customFormat="1" spans="1:33">
      <c r="A1288" s="5" t="s">
        <v>6076</v>
      </c>
      <c r="B1288" s="5" t="s">
        <v>6076</v>
      </c>
      <c r="C1288" s="5" t="s">
        <v>6077</v>
      </c>
      <c r="D1288" s="5" t="s">
        <v>6078</v>
      </c>
      <c r="E1288" s="5" t="s">
        <v>36</v>
      </c>
      <c r="F1288" s="5" t="s">
        <v>37</v>
      </c>
      <c r="G1288" s="5" t="s">
        <v>38</v>
      </c>
      <c r="H1288" s="5"/>
      <c r="I1288" s="5"/>
      <c r="J1288" s="5" t="s">
        <v>39</v>
      </c>
      <c r="K1288" s="5" t="s">
        <v>4155</v>
      </c>
      <c r="L1288" s="5" t="s">
        <v>111</v>
      </c>
      <c r="M1288" s="5" t="s">
        <v>112</v>
      </c>
      <c r="N1288" s="5" t="s">
        <v>36</v>
      </c>
      <c r="O1288" s="5">
        <v>1</v>
      </c>
      <c r="P1288" s="5" t="s">
        <v>43</v>
      </c>
      <c r="Q1288" s="5">
        <v>13.99</v>
      </c>
      <c r="R1288" s="5"/>
      <c r="S1288" s="5"/>
      <c r="T1288" s="5"/>
      <c r="U1288" s="5"/>
      <c r="V1288" s="5"/>
      <c r="W1288" s="5"/>
      <c r="X1288" s="5"/>
      <c r="Y1288" s="5" t="s">
        <v>6079</v>
      </c>
      <c r="Z1288" s="5" t="s">
        <v>247</v>
      </c>
      <c r="AA1288" s="5" t="s">
        <v>6080</v>
      </c>
      <c r="AB1288" s="5" t="s">
        <v>46</v>
      </c>
      <c r="AC1288" s="5"/>
      <c r="AD1288" s="5" t="b">
        <v>0</v>
      </c>
      <c r="AE1288" s="5"/>
      <c r="AF1288" s="5"/>
      <c r="AG1288" s="9">
        <f t="shared" si="20"/>
        <v>43289</v>
      </c>
    </row>
    <row r="1289" s="6" customFormat="1" spans="1:33">
      <c r="A1289" s="5" t="s">
        <v>6081</v>
      </c>
      <c r="B1289" s="5" t="s">
        <v>6081</v>
      </c>
      <c r="C1289" s="5" t="s">
        <v>6082</v>
      </c>
      <c r="D1289" s="5" t="s">
        <v>6083</v>
      </c>
      <c r="E1289" s="5" t="s">
        <v>36</v>
      </c>
      <c r="F1289" s="5" t="s">
        <v>37</v>
      </c>
      <c r="G1289" s="5" t="s">
        <v>38</v>
      </c>
      <c r="H1289" s="5"/>
      <c r="I1289" s="5"/>
      <c r="J1289" s="5" t="s">
        <v>39</v>
      </c>
      <c r="K1289" s="5" t="s">
        <v>3752</v>
      </c>
      <c r="L1289" s="5" t="s">
        <v>244</v>
      </c>
      <c r="M1289" s="5" t="s">
        <v>245</v>
      </c>
      <c r="N1289" s="5" t="s">
        <v>36</v>
      </c>
      <c r="O1289" s="5">
        <v>1</v>
      </c>
      <c r="P1289" s="5" t="s">
        <v>43</v>
      </c>
      <c r="Q1289" s="5">
        <v>18.99</v>
      </c>
      <c r="R1289" s="5"/>
      <c r="S1289" s="5"/>
      <c r="T1289" s="5"/>
      <c r="U1289" s="5"/>
      <c r="V1289" s="5"/>
      <c r="W1289" s="5"/>
      <c r="X1289" s="5"/>
      <c r="Y1289" s="5" t="s">
        <v>6084</v>
      </c>
      <c r="Z1289" s="5" t="s">
        <v>307</v>
      </c>
      <c r="AA1289" s="5" t="s">
        <v>6085</v>
      </c>
      <c r="AB1289" s="5" t="s">
        <v>46</v>
      </c>
      <c r="AC1289" s="5"/>
      <c r="AD1289" s="5" t="b">
        <v>0</v>
      </c>
      <c r="AE1289" s="5"/>
      <c r="AF1289" s="5"/>
      <c r="AG1289" s="9">
        <f t="shared" si="20"/>
        <v>43289</v>
      </c>
    </row>
    <row r="1290" s="6" customFormat="1" spans="1:33">
      <c r="A1290" s="5" t="s">
        <v>6086</v>
      </c>
      <c r="B1290" s="5" t="s">
        <v>6086</v>
      </c>
      <c r="C1290" s="5" t="s">
        <v>6087</v>
      </c>
      <c r="D1290" s="5" t="s">
        <v>6088</v>
      </c>
      <c r="E1290" s="5" t="s">
        <v>36</v>
      </c>
      <c r="F1290" s="5" t="s">
        <v>37</v>
      </c>
      <c r="G1290" s="5" t="s">
        <v>38</v>
      </c>
      <c r="H1290" s="5"/>
      <c r="I1290" s="5"/>
      <c r="J1290" s="5" t="s">
        <v>39</v>
      </c>
      <c r="K1290" s="5" t="s">
        <v>3752</v>
      </c>
      <c r="L1290" s="5" t="s">
        <v>244</v>
      </c>
      <c r="M1290" s="5" t="s">
        <v>245</v>
      </c>
      <c r="N1290" s="5" t="s">
        <v>36</v>
      </c>
      <c r="O1290" s="5">
        <v>1</v>
      </c>
      <c r="P1290" s="5" t="s">
        <v>43</v>
      </c>
      <c r="Q1290" s="5">
        <v>18.99</v>
      </c>
      <c r="R1290" s="5"/>
      <c r="S1290" s="5"/>
      <c r="T1290" s="5"/>
      <c r="U1290" s="5"/>
      <c r="V1290" s="5"/>
      <c r="W1290" s="5"/>
      <c r="X1290" s="5"/>
      <c r="Y1290" s="5" t="s">
        <v>6089</v>
      </c>
      <c r="Z1290" s="5" t="s">
        <v>142</v>
      </c>
      <c r="AA1290" s="5" t="s">
        <v>6090</v>
      </c>
      <c r="AB1290" s="5" t="s">
        <v>46</v>
      </c>
      <c r="AC1290" s="5"/>
      <c r="AD1290" s="5" t="b">
        <v>0</v>
      </c>
      <c r="AE1290" s="5"/>
      <c r="AF1290" s="5"/>
      <c r="AG1290" s="9">
        <f t="shared" si="20"/>
        <v>43289</v>
      </c>
    </row>
    <row r="1291" s="6" customFormat="1" spans="1:33">
      <c r="A1291" s="5" t="s">
        <v>6091</v>
      </c>
      <c r="B1291" s="5" t="s">
        <v>6091</v>
      </c>
      <c r="C1291" s="5" t="s">
        <v>6092</v>
      </c>
      <c r="D1291" s="5" t="s">
        <v>6093</v>
      </c>
      <c r="E1291" s="5" t="s">
        <v>5238</v>
      </c>
      <c r="F1291" s="5" t="s">
        <v>37</v>
      </c>
      <c r="G1291" s="5" t="s">
        <v>38</v>
      </c>
      <c r="H1291" s="5"/>
      <c r="I1291" s="5"/>
      <c r="J1291" s="5" t="s">
        <v>128</v>
      </c>
      <c r="K1291" s="5" t="s">
        <v>3752</v>
      </c>
      <c r="L1291" s="5" t="s">
        <v>244</v>
      </c>
      <c r="M1291" s="5" t="s">
        <v>245</v>
      </c>
      <c r="N1291" s="5" t="s">
        <v>833</v>
      </c>
      <c r="O1291" s="5">
        <v>1</v>
      </c>
      <c r="P1291" s="5" t="s">
        <v>43</v>
      </c>
      <c r="Q1291" s="5">
        <v>18.99</v>
      </c>
      <c r="R1291" s="5"/>
      <c r="S1291" s="5"/>
      <c r="T1291" s="5"/>
      <c r="U1291" s="5"/>
      <c r="V1291" s="5"/>
      <c r="W1291" s="5"/>
      <c r="X1291" s="5"/>
      <c r="Y1291" s="5" t="s">
        <v>2039</v>
      </c>
      <c r="Z1291" s="5" t="s">
        <v>142</v>
      </c>
      <c r="AA1291" s="5" t="s">
        <v>6094</v>
      </c>
      <c r="AB1291" s="5" t="s">
        <v>46</v>
      </c>
      <c r="AC1291" s="5"/>
      <c r="AD1291" s="5" t="b">
        <v>0</v>
      </c>
      <c r="AE1291" s="5"/>
      <c r="AF1291" s="5"/>
      <c r="AG1291" s="9">
        <f t="shared" si="20"/>
        <v>43289</v>
      </c>
    </row>
    <row r="1292" s="6" customFormat="1" spans="1:33">
      <c r="A1292" s="5" t="s">
        <v>6095</v>
      </c>
      <c r="B1292" s="5" t="s">
        <v>6095</v>
      </c>
      <c r="C1292" s="5" t="s">
        <v>6096</v>
      </c>
      <c r="D1292" s="5" t="s">
        <v>6097</v>
      </c>
      <c r="E1292" s="5" t="s">
        <v>36</v>
      </c>
      <c r="F1292" s="5" t="s">
        <v>37</v>
      </c>
      <c r="G1292" s="5" t="s">
        <v>38</v>
      </c>
      <c r="H1292" s="5"/>
      <c r="I1292" s="5"/>
      <c r="J1292" s="5" t="s">
        <v>39</v>
      </c>
      <c r="K1292" s="5" t="s">
        <v>3745</v>
      </c>
      <c r="L1292" s="5" t="s">
        <v>202</v>
      </c>
      <c r="M1292" s="5" t="s">
        <v>203</v>
      </c>
      <c r="N1292" s="5" t="s">
        <v>36</v>
      </c>
      <c r="O1292" s="5">
        <v>1</v>
      </c>
      <c r="P1292" s="5" t="s">
        <v>43</v>
      </c>
      <c r="Q1292" s="5">
        <v>18.99</v>
      </c>
      <c r="R1292" s="5"/>
      <c r="S1292" s="5"/>
      <c r="T1292" s="5"/>
      <c r="U1292" s="5"/>
      <c r="V1292" s="5"/>
      <c r="W1292" s="5"/>
      <c r="X1292" s="5"/>
      <c r="Y1292" s="5" t="s">
        <v>6098</v>
      </c>
      <c r="Z1292" s="5" t="s">
        <v>54</v>
      </c>
      <c r="AA1292" s="5" t="s">
        <v>6099</v>
      </c>
      <c r="AB1292" s="5" t="s">
        <v>46</v>
      </c>
      <c r="AC1292" s="5"/>
      <c r="AD1292" s="5" t="b">
        <v>0</v>
      </c>
      <c r="AE1292" s="5"/>
      <c r="AF1292" s="5"/>
      <c r="AG1292" s="9">
        <f t="shared" si="20"/>
        <v>43289</v>
      </c>
    </row>
    <row r="1293" s="6" customFormat="1" spans="1:33">
      <c r="A1293" s="5" t="s">
        <v>6100</v>
      </c>
      <c r="B1293" s="5" t="s">
        <v>6100</v>
      </c>
      <c r="C1293" s="5" t="s">
        <v>6101</v>
      </c>
      <c r="D1293" s="5" t="s">
        <v>6102</v>
      </c>
      <c r="E1293" s="5" t="s">
        <v>36</v>
      </c>
      <c r="F1293" s="5" t="s">
        <v>37</v>
      </c>
      <c r="G1293" s="5" t="s">
        <v>38</v>
      </c>
      <c r="H1293" s="5"/>
      <c r="I1293" s="5"/>
      <c r="J1293" s="5" t="s">
        <v>39</v>
      </c>
      <c r="K1293" s="5" t="s">
        <v>4173</v>
      </c>
      <c r="L1293" s="5" t="s">
        <v>1958</v>
      </c>
      <c r="M1293" s="5" t="s">
        <v>271</v>
      </c>
      <c r="N1293" s="5" t="s">
        <v>36</v>
      </c>
      <c r="O1293" s="5">
        <v>1</v>
      </c>
      <c r="P1293" s="5" t="s">
        <v>43</v>
      </c>
      <c r="Q1293" s="5">
        <v>24.99</v>
      </c>
      <c r="R1293" s="5"/>
      <c r="S1293" s="5"/>
      <c r="T1293" s="5"/>
      <c r="U1293" s="5"/>
      <c r="V1293" s="5"/>
      <c r="W1293" s="5"/>
      <c r="X1293" s="5"/>
      <c r="Y1293" s="5" t="s">
        <v>4281</v>
      </c>
      <c r="Z1293" s="5" t="s">
        <v>183</v>
      </c>
      <c r="AA1293" s="5" t="s">
        <v>6103</v>
      </c>
      <c r="AB1293" s="5" t="s">
        <v>46</v>
      </c>
      <c r="AC1293" s="5"/>
      <c r="AD1293" s="5" t="b">
        <v>0</v>
      </c>
      <c r="AE1293" s="5"/>
      <c r="AF1293" s="5"/>
      <c r="AG1293" s="9">
        <f t="shared" si="20"/>
        <v>43289</v>
      </c>
    </row>
    <row r="1294" s="6" customFormat="1" spans="1:33">
      <c r="A1294" s="5" t="s">
        <v>6104</v>
      </c>
      <c r="B1294" s="5" t="s">
        <v>6104</v>
      </c>
      <c r="C1294" s="5" t="s">
        <v>6105</v>
      </c>
      <c r="D1294" s="5" t="s">
        <v>6106</v>
      </c>
      <c r="E1294" s="5" t="s">
        <v>36</v>
      </c>
      <c r="F1294" s="5" t="s">
        <v>37</v>
      </c>
      <c r="G1294" s="5" t="s">
        <v>38</v>
      </c>
      <c r="H1294" s="5"/>
      <c r="I1294" s="5"/>
      <c r="J1294" s="5" t="s">
        <v>39</v>
      </c>
      <c r="K1294" s="5" t="s">
        <v>3679</v>
      </c>
      <c r="L1294" s="5" t="s">
        <v>4376</v>
      </c>
      <c r="M1294" s="5" t="s">
        <v>1293</v>
      </c>
      <c r="N1294" s="5" t="s">
        <v>36</v>
      </c>
      <c r="O1294" s="5">
        <v>1</v>
      </c>
      <c r="P1294" s="5" t="s">
        <v>43</v>
      </c>
      <c r="Q1294" s="5">
        <v>13.99</v>
      </c>
      <c r="R1294" s="5"/>
      <c r="S1294" s="5"/>
      <c r="T1294" s="5"/>
      <c r="U1294" s="5"/>
      <c r="V1294" s="5"/>
      <c r="W1294" s="5"/>
      <c r="X1294" s="5"/>
      <c r="Y1294" s="5" t="s">
        <v>150</v>
      </c>
      <c r="Z1294" s="5" t="s">
        <v>151</v>
      </c>
      <c r="AA1294" s="5" t="s">
        <v>6107</v>
      </c>
      <c r="AB1294" s="5" t="s">
        <v>46</v>
      </c>
      <c r="AC1294" s="5"/>
      <c r="AD1294" s="5" t="b">
        <v>0</v>
      </c>
      <c r="AE1294" s="5"/>
      <c r="AF1294" s="5"/>
      <c r="AG1294" s="9">
        <f t="shared" si="20"/>
        <v>43289</v>
      </c>
    </row>
    <row r="1295" s="6" customFormat="1" spans="1:33">
      <c r="A1295" s="5" t="s">
        <v>6108</v>
      </c>
      <c r="B1295" s="5" t="s">
        <v>6108</v>
      </c>
      <c r="C1295" s="5" t="s">
        <v>6109</v>
      </c>
      <c r="D1295" s="5" t="s">
        <v>6110</v>
      </c>
      <c r="E1295" s="5" t="s">
        <v>36</v>
      </c>
      <c r="F1295" s="5" t="s">
        <v>37</v>
      </c>
      <c r="G1295" s="5" t="s">
        <v>38</v>
      </c>
      <c r="H1295" s="5"/>
      <c r="I1295" s="5"/>
      <c r="J1295" s="5" t="s">
        <v>39</v>
      </c>
      <c r="K1295" s="5" t="s">
        <v>1999</v>
      </c>
      <c r="L1295" s="5" t="s">
        <v>2000</v>
      </c>
      <c r="M1295" s="5" t="s">
        <v>2001</v>
      </c>
      <c r="N1295" s="5" t="s">
        <v>36</v>
      </c>
      <c r="O1295" s="5">
        <v>1</v>
      </c>
      <c r="P1295" s="5" t="s">
        <v>43</v>
      </c>
      <c r="Q1295" s="5">
        <v>18.99</v>
      </c>
      <c r="R1295" s="5"/>
      <c r="S1295" s="5"/>
      <c r="T1295" s="5"/>
      <c r="U1295" s="5"/>
      <c r="V1295" s="5"/>
      <c r="W1295" s="5"/>
      <c r="X1295" s="5"/>
      <c r="Y1295" s="5" t="s">
        <v>6111</v>
      </c>
      <c r="Z1295" s="5" t="s">
        <v>54</v>
      </c>
      <c r="AA1295" s="5" t="s">
        <v>6112</v>
      </c>
      <c r="AB1295" s="5" t="s">
        <v>46</v>
      </c>
      <c r="AC1295" s="5"/>
      <c r="AD1295" s="5" t="b">
        <v>0</v>
      </c>
      <c r="AE1295" s="5"/>
      <c r="AF1295" s="5"/>
      <c r="AG1295" s="9">
        <f t="shared" si="20"/>
        <v>43289</v>
      </c>
    </row>
    <row r="1296" s="6" customFormat="1" spans="1:33">
      <c r="A1296" s="5" t="s">
        <v>6113</v>
      </c>
      <c r="B1296" s="5" t="s">
        <v>6113</v>
      </c>
      <c r="C1296" s="5" t="s">
        <v>6114</v>
      </c>
      <c r="D1296" s="5" t="s">
        <v>6115</v>
      </c>
      <c r="E1296" s="5" t="s">
        <v>36</v>
      </c>
      <c r="F1296" s="5" t="s">
        <v>37</v>
      </c>
      <c r="G1296" s="5" t="s">
        <v>38</v>
      </c>
      <c r="H1296" s="5"/>
      <c r="I1296" s="5"/>
      <c r="J1296" s="5" t="s">
        <v>39</v>
      </c>
      <c r="K1296" s="5" t="s">
        <v>3752</v>
      </c>
      <c r="L1296" s="5" t="s">
        <v>244</v>
      </c>
      <c r="M1296" s="5" t="s">
        <v>245</v>
      </c>
      <c r="N1296" s="5" t="s">
        <v>36</v>
      </c>
      <c r="O1296" s="5">
        <v>1</v>
      </c>
      <c r="P1296" s="5" t="s">
        <v>43</v>
      </c>
      <c r="Q1296" s="5">
        <v>18.99</v>
      </c>
      <c r="R1296" s="5"/>
      <c r="S1296" s="5"/>
      <c r="T1296" s="5"/>
      <c r="U1296" s="5"/>
      <c r="V1296" s="5"/>
      <c r="W1296" s="5"/>
      <c r="X1296" s="5"/>
      <c r="Y1296" s="5" t="s">
        <v>6116</v>
      </c>
      <c r="Z1296" s="5" t="s">
        <v>218</v>
      </c>
      <c r="AA1296" s="5">
        <v>21044</v>
      </c>
      <c r="AB1296" s="5" t="s">
        <v>46</v>
      </c>
      <c r="AC1296" s="5"/>
      <c r="AD1296" s="5" t="b">
        <v>0</v>
      </c>
      <c r="AE1296" s="5"/>
      <c r="AF1296" s="5"/>
      <c r="AG1296" s="9">
        <f t="shared" si="20"/>
        <v>43289</v>
      </c>
    </row>
    <row r="1297" s="6" customFormat="1" spans="1:33">
      <c r="A1297" s="5" t="s">
        <v>6117</v>
      </c>
      <c r="B1297" s="5" t="s">
        <v>6117</v>
      </c>
      <c r="C1297" s="5" t="s">
        <v>6118</v>
      </c>
      <c r="D1297" s="5" t="s">
        <v>6119</v>
      </c>
      <c r="E1297" s="5" t="s">
        <v>36</v>
      </c>
      <c r="F1297" s="5" t="s">
        <v>37</v>
      </c>
      <c r="G1297" s="5" t="s">
        <v>38</v>
      </c>
      <c r="H1297" s="5"/>
      <c r="I1297" s="5"/>
      <c r="J1297" s="5" t="s">
        <v>39</v>
      </c>
      <c r="K1297" s="5" t="s">
        <v>293</v>
      </c>
      <c r="L1297" s="5" t="s">
        <v>294</v>
      </c>
      <c r="M1297" s="5" t="s">
        <v>295</v>
      </c>
      <c r="N1297" s="5" t="s">
        <v>36</v>
      </c>
      <c r="O1297" s="5">
        <v>1</v>
      </c>
      <c r="P1297" s="5" t="s">
        <v>43</v>
      </c>
      <c r="Q1297" s="5">
        <v>18.99</v>
      </c>
      <c r="R1297" s="5"/>
      <c r="S1297" s="5"/>
      <c r="T1297" s="5"/>
      <c r="U1297" s="5"/>
      <c r="V1297" s="5"/>
      <c r="W1297" s="5"/>
      <c r="X1297" s="5"/>
      <c r="Y1297" s="5" t="s">
        <v>6120</v>
      </c>
      <c r="Z1297" s="5" t="s">
        <v>151</v>
      </c>
      <c r="AA1297" s="5">
        <v>10980</v>
      </c>
      <c r="AB1297" s="5" t="s">
        <v>46</v>
      </c>
      <c r="AC1297" s="5"/>
      <c r="AD1297" s="5" t="b">
        <v>0</v>
      </c>
      <c r="AE1297" s="5"/>
      <c r="AF1297" s="5"/>
      <c r="AG1297" s="9">
        <f t="shared" si="20"/>
        <v>43289</v>
      </c>
    </row>
    <row r="1298" s="6" customFormat="1" spans="1:33">
      <c r="A1298" s="5" t="s">
        <v>6121</v>
      </c>
      <c r="B1298" s="5" t="s">
        <v>6121</v>
      </c>
      <c r="C1298" s="5" t="s">
        <v>6122</v>
      </c>
      <c r="D1298" s="5" t="s">
        <v>6123</v>
      </c>
      <c r="E1298" s="5" t="s">
        <v>36</v>
      </c>
      <c r="F1298" s="5" t="s">
        <v>37</v>
      </c>
      <c r="G1298" s="5" t="s">
        <v>38</v>
      </c>
      <c r="H1298" s="5"/>
      <c r="I1298" s="5"/>
      <c r="J1298" s="5" t="s">
        <v>39</v>
      </c>
      <c r="K1298" s="5" t="s">
        <v>3798</v>
      </c>
      <c r="L1298" s="5" t="s">
        <v>1048</v>
      </c>
      <c r="M1298" s="5" t="s">
        <v>535</v>
      </c>
      <c r="N1298" s="5" t="s">
        <v>36</v>
      </c>
      <c r="O1298" s="5">
        <v>1</v>
      </c>
      <c r="P1298" s="5" t="s">
        <v>43</v>
      </c>
      <c r="Q1298" s="5">
        <v>24.99</v>
      </c>
      <c r="R1298" s="5">
        <v>2.22</v>
      </c>
      <c r="S1298" s="5"/>
      <c r="T1298" s="5"/>
      <c r="U1298" s="5"/>
      <c r="V1298" s="5"/>
      <c r="W1298" s="5"/>
      <c r="X1298" s="5"/>
      <c r="Y1298" s="5" t="s">
        <v>6124</v>
      </c>
      <c r="Z1298" s="5" t="s">
        <v>474</v>
      </c>
      <c r="AA1298" s="5" t="s">
        <v>6125</v>
      </c>
      <c r="AB1298" s="5" t="s">
        <v>46</v>
      </c>
      <c r="AC1298" s="5"/>
      <c r="AD1298" s="5" t="b">
        <v>0</v>
      </c>
      <c r="AE1298" s="5"/>
      <c r="AF1298" s="5"/>
      <c r="AG1298" s="9">
        <f t="shared" si="20"/>
        <v>43289</v>
      </c>
    </row>
    <row r="1299" s="6" customFormat="1" spans="1:33">
      <c r="A1299" s="5" t="s">
        <v>6126</v>
      </c>
      <c r="B1299" s="5" t="s">
        <v>6126</v>
      </c>
      <c r="C1299" s="5" t="s">
        <v>6127</v>
      </c>
      <c r="D1299" s="5" t="s">
        <v>6128</v>
      </c>
      <c r="E1299" s="5" t="s">
        <v>5238</v>
      </c>
      <c r="F1299" s="5" t="s">
        <v>37</v>
      </c>
      <c r="G1299" s="5" t="s">
        <v>38</v>
      </c>
      <c r="H1299" s="5"/>
      <c r="I1299" s="5"/>
      <c r="J1299" s="5" t="s">
        <v>39</v>
      </c>
      <c r="K1299" s="5" t="s">
        <v>4085</v>
      </c>
      <c r="L1299" s="5" t="s">
        <v>102</v>
      </c>
      <c r="M1299" s="5" t="s">
        <v>103</v>
      </c>
      <c r="N1299" s="5" t="s">
        <v>833</v>
      </c>
      <c r="O1299" s="5">
        <v>2</v>
      </c>
      <c r="P1299" s="5" t="s">
        <v>43</v>
      </c>
      <c r="Q1299" s="5">
        <v>27.98</v>
      </c>
      <c r="R1299" s="5"/>
      <c r="S1299" s="5"/>
      <c r="T1299" s="5"/>
      <c r="U1299" s="5"/>
      <c r="V1299" s="5"/>
      <c r="W1299" s="5"/>
      <c r="X1299" s="5"/>
      <c r="Y1299" s="5" t="s">
        <v>6129</v>
      </c>
      <c r="Z1299" s="5" t="s">
        <v>54</v>
      </c>
      <c r="AA1299" s="5" t="s">
        <v>6130</v>
      </c>
      <c r="AB1299" s="5" t="s">
        <v>46</v>
      </c>
      <c r="AC1299" s="5"/>
      <c r="AD1299" s="5" t="b">
        <v>0</v>
      </c>
      <c r="AE1299" s="5"/>
      <c r="AF1299" s="5"/>
      <c r="AG1299" s="9">
        <f t="shared" si="20"/>
        <v>43289</v>
      </c>
    </row>
    <row r="1300" s="6" customFormat="1" spans="1:33">
      <c r="A1300" s="5" t="s">
        <v>6131</v>
      </c>
      <c r="B1300" s="5" t="s">
        <v>6131</v>
      </c>
      <c r="C1300" s="5" t="s">
        <v>6132</v>
      </c>
      <c r="D1300" s="5" t="s">
        <v>6133</v>
      </c>
      <c r="E1300" s="5" t="s">
        <v>36</v>
      </c>
      <c r="F1300" s="5" t="s">
        <v>37</v>
      </c>
      <c r="G1300" s="5" t="s">
        <v>38</v>
      </c>
      <c r="H1300" s="5"/>
      <c r="I1300" s="5"/>
      <c r="J1300" s="5" t="s">
        <v>39</v>
      </c>
      <c r="K1300" s="5" t="s">
        <v>3668</v>
      </c>
      <c r="L1300" s="5" t="s">
        <v>578</v>
      </c>
      <c r="M1300" s="5" t="s">
        <v>572</v>
      </c>
      <c r="N1300" s="5" t="s">
        <v>36</v>
      </c>
      <c r="O1300" s="5">
        <v>1</v>
      </c>
      <c r="P1300" s="5" t="s">
        <v>43</v>
      </c>
      <c r="Q1300" s="5">
        <v>24.99</v>
      </c>
      <c r="R1300" s="5"/>
      <c r="S1300" s="5"/>
      <c r="T1300" s="5"/>
      <c r="U1300" s="5"/>
      <c r="V1300" s="5"/>
      <c r="W1300" s="5"/>
      <c r="X1300" s="5"/>
      <c r="Y1300" s="5" t="s">
        <v>6134</v>
      </c>
      <c r="Z1300" s="5" t="s">
        <v>329</v>
      </c>
      <c r="AA1300" s="5">
        <v>84087</v>
      </c>
      <c r="AB1300" s="5" t="s">
        <v>46</v>
      </c>
      <c r="AC1300" s="5"/>
      <c r="AD1300" s="5" t="b">
        <v>0</v>
      </c>
      <c r="AE1300" s="5"/>
      <c r="AF1300" s="5"/>
      <c r="AG1300" s="9">
        <f t="shared" si="20"/>
        <v>43289</v>
      </c>
    </row>
    <row r="1301" s="6" customFormat="1" spans="1:33">
      <c r="A1301" s="5" t="s">
        <v>6135</v>
      </c>
      <c r="B1301" s="5" t="s">
        <v>6135</v>
      </c>
      <c r="C1301" s="5" t="s">
        <v>6136</v>
      </c>
      <c r="D1301" s="5" t="s">
        <v>6137</v>
      </c>
      <c r="E1301" s="5" t="s">
        <v>5238</v>
      </c>
      <c r="F1301" s="5" t="s">
        <v>37</v>
      </c>
      <c r="G1301" s="5" t="s">
        <v>38</v>
      </c>
      <c r="H1301" s="5"/>
      <c r="I1301" s="5"/>
      <c r="J1301" s="5" t="s">
        <v>39</v>
      </c>
      <c r="K1301" s="5" t="s">
        <v>1625</v>
      </c>
      <c r="L1301" s="5" t="s">
        <v>4667</v>
      </c>
      <c r="M1301" s="5" t="s">
        <v>4668</v>
      </c>
      <c r="N1301" s="5" t="s">
        <v>833</v>
      </c>
      <c r="O1301" s="5">
        <v>1</v>
      </c>
      <c r="P1301" s="5" t="s">
        <v>43</v>
      </c>
      <c r="Q1301" s="5">
        <v>17.9</v>
      </c>
      <c r="R1301" s="5"/>
      <c r="S1301" s="5"/>
      <c r="T1301" s="5"/>
      <c r="U1301" s="5"/>
      <c r="V1301" s="5"/>
      <c r="W1301" s="5"/>
      <c r="X1301" s="5"/>
      <c r="Y1301" s="5" t="s">
        <v>6138</v>
      </c>
      <c r="Z1301" s="5" t="s">
        <v>247</v>
      </c>
      <c r="AA1301" s="5" t="s">
        <v>6139</v>
      </c>
      <c r="AB1301" s="5" t="s">
        <v>46</v>
      </c>
      <c r="AC1301" s="5"/>
      <c r="AD1301" s="5" t="b">
        <v>0</v>
      </c>
      <c r="AE1301" s="5"/>
      <c r="AF1301" s="5"/>
      <c r="AG1301" s="9">
        <f t="shared" si="20"/>
        <v>43289</v>
      </c>
    </row>
    <row r="1302" s="6" customFormat="1" spans="1:33">
      <c r="A1302" s="5" t="s">
        <v>6140</v>
      </c>
      <c r="B1302" s="5" t="s">
        <v>6140</v>
      </c>
      <c r="C1302" s="5" t="s">
        <v>6141</v>
      </c>
      <c r="D1302" s="5" t="s">
        <v>6142</v>
      </c>
      <c r="E1302" s="5" t="s">
        <v>36</v>
      </c>
      <c r="F1302" s="5" t="s">
        <v>37</v>
      </c>
      <c r="G1302" s="5" t="s">
        <v>38</v>
      </c>
      <c r="H1302" s="5"/>
      <c r="I1302" s="5"/>
      <c r="J1302" s="5" t="s">
        <v>39</v>
      </c>
      <c r="K1302" s="5" t="s">
        <v>3714</v>
      </c>
      <c r="L1302" s="5" t="s">
        <v>148</v>
      </c>
      <c r="M1302" s="5" t="s">
        <v>149</v>
      </c>
      <c r="N1302" s="5" t="s">
        <v>36</v>
      </c>
      <c r="O1302" s="5">
        <v>1</v>
      </c>
      <c r="P1302" s="5" t="s">
        <v>43</v>
      </c>
      <c r="Q1302" s="5">
        <v>13.99</v>
      </c>
      <c r="R1302" s="5"/>
      <c r="S1302" s="5"/>
      <c r="T1302" s="5"/>
      <c r="U1302" s="5"/>
      <c r="V1302" s="5"/>
      <c r="W1302" s="5"/>
      <c r="X1302" s="5"/>
      <c r="Y1302" s="5" t="s">
        <v>3520</v>
      </c>
      <c r="Z1302" s="5" t="s">
        <v>437</v>
      </c>
      <c r="AA1302" s="5">
        <v>10309</v>
      </c>
      <c r="AB1302" s="5" t="s">
        <v>46</v>
      </c>
      <c r="AC1302" s="5"/>
      <c r="AD1302" s="5" t="b">
        <v>0</v>
      </c>
      <c r="AE1302" s="5"/>
      <c r="AF1302" s="5"/>
      <c r="AG1302" s="9">
        <f t="shared" si="20"/>
        <v>43289</v>
      </c>
    </row>
    <row r="1303" s="6" customFormat="1" spans="1:33">
      <c r="A1303" s="5" t="s">
        <v>6143</v>
      </c>
      <c r="B1303" s="5" t="s">
        <v>6143</v>
      </c>
      <c r="C1303" s="5" t="s">
        <v>6144</v>
      </c>
      <c r="D1303" s="5" t="s">
        <v>6145</v>
      </c>
      <c r="E1303" s="5" t="s">
        <v>5238</v>
      </c>
      <c r="F1303" s="5" t="s">
        <v>37</v>
      </c>
      <c r="G1303" s="5" t="s">
        <v>38</v>
      </c>
      <c r="H1303" s="5"/>
      <c r="I1303" s="5"/>
      <c r="J1303" s="5" t="s">
        <v>39</v>
      </c>
      <c r="K1303" s="5" t="s">
        <v>3703</v>
      </c>
      <c r="L1303" s="5" t="s">
        <v>388</v>
      </c>
      <c r="M1303" s="5" t="s">
        <v>389</v>
      </c>
      <c r="N1303" s="5" t="s">
        <v>833</v>
      </c>
      <c r="O1303" s="5">
        <v>1</v>
      </c>
      <c r="P1303" s="5" t="s">
        <v>43</v>
      </c>
      <c r="Q1303" s="5">
        <v>18.99</v>
      </c>
      <c r="R1303" s="5"/>
      <c r="S1303" s="5"/>
      <c r="T1303" s="5"/>
      <c r="U1303" s="5"/>
      <c r="V1303" s="5"/>
      <c r="W1303" s="5"/>
      <c r="X1303" s="5"/>
      <c r="Y1303" s="5" t="s">
        <v>2499</v>
      </c>
      <c r="Z1303" s="5" t="s">
        <v>62</v>
      </c>
      <c r="AA1303" s="5" t="s">
        <v>6146</v>
      </c>
      <c r="AB1303" s="5" t="s">
        <v>46</v>
      </c>
      <c r="AC1303" s="5"/>
      <c r="AD1303" s="5" t="b">
        <v>0</v>
      </c>
      <c r="AE1303" s="5"/>
      <c r="AF1303" s="5"/>
      <c r="AG1303" s="9">
        <f t="shared" si="20"/>
        <v>43289</v>
      </c>
    </row>
    <row r="1304" s="6" customFormat="1" spans="1:33">
      <c r="A1304" s="5" t="s">
        <v>6147</v>
      </c>
      <c r="B1304" s="5" t="s">
        <v>6147</v>
      </c>
      <c r="C1304" s="5" t="s">
        <v>6148</v>
      </c>
      <c r="D1304" s="5" t="s">
        <v>6149</v>
      </c>
      <c r="E1304" s="5" t="s">
        <v>5238</v>
      </c>
      <c r="F1304" s="5" t="s">
        <v>37</v>
      </c>
      <c r="G1304" s="5" t="s">
        <v>38</v>
      </c>
      <c r="H1304" s="5"/>
      <c r="I1304" s="5"/>
      <c r="J1304" s="5" t="s">
        <v>128</v>
      </c>
      <c r="K1304" s="5" t="s">
        <v>3668</v>
      </c>
      <c r="L1304" s="5" t="s">
        <v>578</v>
      </c>
      <c r="M1304" s="5" t="s">
        <v>572</v>
      </c>
      <c r="N1304" s="5" t="s">
        <v>833</v>
      </c>
      <c r="O1304" s="5">
        <v>1</v>
      </c>
      <c r="P1304" s="5" t="s">
        <v>43</v>
      </c>
      <c r="Q1304" s="5">
        <v>24.99</v>
      </c>
      <c r="R1304" s="5"/>
      <c r="S1304" s="5"/>
      <c r="T1304" s="5"/>
      <c r="U1304" s="5"/>
      <c r="V1304" s="5"/>
      <c r="W1304" s="5"/>
      <c r="X1304" s="5"/>
      <c r="Y1304" s="5" t="s">
        <v>6150</v>
      </c>
      <c r="Z1304" s="5" t="s">
        <v>247</v>
      </c>
      <c r="AA1304" s="5" t="s">
        <v>6151</v>
      </c>
      <c r="AB1304" s="5" t="s">
        <v>46</v>
      </c>
      <c r="AC1304" s="5"/>
      <c r="AD1304" s="5" t="b">
        <v>0</v>
      </c>
      <c r="AE1304" s="5"/>
      <c r="AF1304" s="5"/>
      <c r="AG1304" s="9">
        <f t="shared" si="20"/>
        <v>43289</v>
      </c>
    </row>
    <row r="1305" s="6" customFormat="1" spans="1:33">
      <c r="A1305" s="5" t="s">
        <v>6152</v>
      </c>
      <c r="B1305" s="5" t="s">
        <v>6152</v>
      </c>
      <c r="C1305" s="5" t="s">
        <v>6153</v>
      </c>
      <c r="D1305" s="5" t="s">
        <v>6154</v>
      </c>
      <c r="E1305" s="5" t="s">
        <v>36</v>
      </c>
      <c r="F1305" s="5" t="s">
        <v>37</v>
      </c>
      <c r="G1305" s="5" t="s">
        <v>38</v>
      </c>
      <c r="H1305" s="5"/>
      <c r="I1305" s="5"/>
      <c r="J1305" s="5" t="s">
        <v>39</v>
      </c>
      <c r="K1305" s="5" t="s">
        <v>4155</v>
      </c>
      <c r="L1305" s="5" t="s">
        <v>111</v>
      </c>
      <c r="M1305" s="5" t="s">
        <v>112</v>
      </c>
      <c r="N1305" s="5" t="s">
        <v>36</v>
      </c>
      <c r="O1305" s="5">
        <v>1</v>
      </c>
      <c r="P1305" s="5" t="s">
        <v>43</v>
      </c>
      <c r="Q1305" s="5">
        <v>13.99</v>
      </c>
      <c r="R1305" s="5"/>
      <c r="S1305" s="5"/>
      <c r="T1305" s="5"/>
      <c r="U1305" s="5"/>
      <c r="V1305" s="5"/>
      <c r="W1305" s="5"/>
      <c r="X1305" s="5"/>
      <c r="Y1305" s="5" t="s">
        <v>6155</v>
      </c>
      <c r="Z1305" s="5" t="s">
        <v>1698</v>
      </c>
      <c r="AA1305" s="5">
        <v>33545</v>
      </c>
      <c r="AB1305" s="5" t="s">
        <v>46</v>
      </c>
      <c r="AC1305" s="5"/>
      <c r="AD1305" s="5" t="b">
        <v>0</v>
      </c>
      <c r="AE1305" s="5"/>
      <c r="AF1305" s="5"/>
      <c r="AG1305" s="9">
        <f t="shared" si="20"/>
        <v>43289</v>
      </c>
    </row>
    <row r="1306" s="6" customFormat="1" spans="1:33">
      <c r="A1306" s="5" t="s">
        <v>6156</v>
      </c>
      <c r="B1306" s="5" t="s">
        <v>6156</v>
      </c>
      <c r="C1306" s="5" t="s">
        <v>6157</v>
      </c>
      <c r="D1306" s="5" t="s">
        <v>6158</v>
      </c>
      <c r="E1306" s="5" t="s">
        <v>5238</v>
      </c>
      <c r="F1306" s="5" t="s">
        <v>37</v>
      </c>
      <c r="G1306" s="5" t="s">
        <v>38</v>
      </c>
      <c r="H1306" s="5"/>
      <c r="I1306" s="5"/>
      <c r="J1306" s="5" t="s">
        <v>128</v>
      </c>
      <c r="K1306" s="5" t="s">
        <v>3798</v>
      </c>
      <c r="L1306" s="5" t="s">
        <v>1048</v>
      </c>
      <c r="M1306" s="5" t="s">
        <v>535</v>
      </c>
      <c r="N1306" s="5" t="s">
        <v>833</v>
      </c>
      <c r="O1306" s="5">
        <v>1</v>
      </c>
      <c r="P1306" s="5" t="s">
        <v>43</v>
      </c>
      <c r="Q1306" s="5">
        <v>24.99</v>
      </c>
      <c r="R1306" s="5"/>
      <c r="S1306" s="5"/>
      <c r="T1306" s="5"/>
      <c r="U1306" s="5"/>
      <c r="V1306" s="5"/>
      <c r="W1306" s="5"/>
      <c r="X1306" s="5"/>
      <c r="Y1306" s="5" t="s">
        <v>6124</v>
      </c>
      <c r="Z1306" s="5" t="s">
        <v>474</v>
      </c>
      <c r="AA1306" s="5" t="s">
        <v>6125</v>
      </c>
      <c r="AB1306" s="5" t="s">
        <v>46</v>
      </c>
      <c r="AC1306" s="5"/>
      <c r="AD1306" s="5" t="b">
        <v>0</v>
      </c>
      <c r="AE1306" s="5"/>
      <c r="AF1306" s="5"/>
      <c r="AG1306" s="9">
        <f t="shared" si="20"/>
        <v>43289</v>
      </c>
    </row>
    <row r="1307" s="6" customFormat="1" spans="1:33">
      <c r="A1307" s="5" t="s">
        <v>6159</v>
      </c>
      <c r="B1307" s="5" t="s">
        <v>6159</v>
      </c>
      <c r="C1307" s="5" t="s">
        <v>6160</v>
      </c>
      <c r="D1307" s="5" t="s">
        <v>6161</v>
      </c>
      <c r="E1307" s="5" t="s">
        <v>36</v>
      </c>
      <c r="F1307" s="5" t="s">
        <v>37</v>
      </c>
      <c r="G1307" s="5" t="s">
        <v>38</v>
      </c>
      <c r="H1307" s="5"/>
      <c r="I1307" s="5"/>
      <c r="J1307" s="5" t="s">
        <v>39</v>
      </c>
      <c r="K1307" s="5" t="s">
        <v>3752</v>
      </c>
      <c r="L1307" s="5" t="s">
        <v>244</v>
      </c>
      <c r="M1307" s="5" t="s">
        <v>245</v>
      </c>
      <c r="N1307" s="5" t="s">
        <v>36</v>
      </c>
      <c r="O1307" s="5">
        <v>1</v>
      </c>
      <c r="P1307" s="5" t="s">
        <v>43</v>
      </c>
      <c r="Q1307" s="5">
        <v>18.99</v>
      </c>
      <c r="R1307" s="5">
        <v>1.14</v>
      </c>
      <c r="S1307" s="5"/>
      <c r="T1307" s="5"/>
      <c r="U1307" s="5"/>
      <c r="V1307" s="5"/>
      <c r="W1307" s="5"/>
      <c r="X1307" s="5"/>
      <c r="Y1307" s="5" t="s">
        <v>6162</v>
      </c>
      <c r="Z1307" s="5" t="s">
        <v>255</v>
      </c>
      <c r="AA1307" s="5" t="s">
        <v>6163</v>
      </c>
      <c r="AB1307" s="5" t="s">
        <v>46</v>
      </c>
      <c r="AC1307" s="5"/>
      <c r="AD1307" s="5" t="b">
        <v>0</v>
      </c>
      <c r="AE1307" s="5"/>
      <c r="AF1307" s="5"/>
      <c r="AG1307" s="9">
        <f t="shared" si="20"/>
        <v>43289</v>
      </c>
    </row>
    <row r="1308" s="6" customFormat="1" spans="1:33">
      <c r="A1308" s="5" t="s">
        <v>6164</v>
      </c>
      <c r="B1308" s="5" t="s">
        <v>6164</v>
      </c>
      <c r="C1308" s="5" t="s">
        <v>6165</v>
      </c>
      <c r="D1308" s="5" t="s">
        <v>6166</v>
      </c>
      <c r="E1308" s="5" t="s">
        <v>36</v>
      </c>
      <c r="F1308" s="5" t="s">
        <v>37</v>
      </c>
      <c r="G1308" s="5" t="s">
        <v>38</v>
      </c>
      <c r="H1308" s="5"/>
      <c r="I1308" s="5"/>
      <c r="J1308" s="5" t="s">
        <v>39</v>
      </c>
      <c r="K1308" s="5" t="s">
        <v>3798</v>
      </c>
      <c r="L1308" s="5" t="s">
        <v>1048</v>
      </c>
      <c r="M1308" s="5" t="s">
        <v>535</v>
      </c>
      <c r="N1308" s="5" t="s">
        <v>36</v>
      </c>
      <c r="O1308" s="5">
        <v>1</v>
      </c>
      <c r="P1308" s="5" t="s">
        <v>43</v>
      </c>
      <c r="Q1308" s="5">
        <v>24.99</v>
      </c>
      <c r="R1308" s="5"/>
      <c r="S1308" s="5"/>
      <c r="T1308" s="5"/>
      <c r="U1308" s="5"/>
      <c r="V1308" s="5"/>
      <c r="W1308" s="5"/>
      <c r="X1308" s="5"/>
      <c r="Y1308" s="5" t="s">
        <v>6025</v>
      </c>
      <c r="Z1308" s="5" t="s">
        <v>247</v>
      </c>
      <c r="AA1308" s="5" t="s">
        <v>6167</v>
      </c>
      <c r="AB1308" s="5" t="s">
        <v>46</v>
      </c>
      <c r="AC1308" s="5"/>
      <c r="AD1308" s="5" t="b">
        <v>0</v>
      </c>
      <c r="AE1308" s="5"/>
      <c r="AF1308" s="5"/>
      <c r="AG1308" s="9">
        <f t="shared" si="20"/>
        <v>43289</v>
      </c>
    </row>
    <row r="1309" s="6" customFormat="1" spans="1:33">
      <c r="A1309" s="5" t="s">
        <v>6168</v>
      </c>
      <c r="B1309" s="5" t="s">
        <v>6168</v>
      </c>
      <c r="C1309" s="5" t="s">
        <v>6169</v>
      </c>
      <c r="D1309" s="5" t="s">
        <v>6170</v>
      </c>
      <c r="E1309" s="5" t="s">
        <v>5238</v>
      </c>
      <c r="F1309" s="5" t="s">
        <v>37</v>
      </c>
      <c r="G1309" s="5" t="s">
        <v>38</v>
      </c>
      <c r="H1309" s="5"/>
      <c r="I1309" s="5"/>
      <c r="J1309" s="5" t="s">
        <v>39</v>
      </c>
      <c r="K1309" s="5" t="s">
        <v>4446</v>
      </c>
      <c r="L1309" s="5" t="s">
        <v>4447</v>
      </c>
      <c r="M1309" s="5" t="s">
        <v>4448</v>
      </c>
      <c r="N1309" s="5" t="s">
        <v>833</v>
      </c>
      <c r="O1309" s="5">
        <v>1</v>
      </c>
      <c r="P1309" s="5" t="s">
        <v>43</v>
      </c>
      <c r="Q1309" s="5">
        <v>25.99</v>
      </c>
      <c r="R1309" s="5"/>
      <c r="S1309" s="5"/>
      <c r="T1309" s="5"/>
      <c r="U1309" s="5"/>
      <c r="V1309" s="5"/>
      <c r="W1309" s="5"/>
      <c r="X1309" s="5"/>
      <c r="Y1309" s="5" t="s">
        <v>763</v>
      </c>
      <c r="Z1309" s="5" t="s">
        <v>1050</v>
      </c>
      <c r="AA1309" s="5" t="s">
        <v>5945</v>
      </c>
      <c r="AB1309" s="5" t="s">
        <v>46</v>
      </c>
      <c r="AC1309" s="5"/>
      <c r="AD1309" s="5" t="b">
        <v>0</v>
      </c>
      <c r="AE1309" s="5"/>
      <c r="AF1309" s="5"/>
      <c r="AG1309" s="9">
        <f t="shared" si="20"/>
        <v>43289</v>
      </c>
    </row>
    <row r="1310" s="6" customFormat="1" spans="1:33">
      <c r="A1310" s="5" t="s">
        <v>6171</v>
      </c>
      <c r="B1310" s="5" t="s">
        <v>6171</v>
      </c>
      <c r="C1310" s="5" t="s">
        <v>6172</v>
      </c>
      <c r="D1310" s="5" t="s">
        <v>6173</v>
      </c>
      <c r="E1310" s="5" t="s">
        <v>5238</v>
      </c>
      <c r="F1310" s="5" t="s">
        <v>37</v>
      </c>
      <c r="G1310" s="5" t="s">
        <v>38</v>
      </c>
      <c r="H1310" s="5"/>
      <c r="I1310" s="5"/>
      <c r="J1310" s="5" t="s">
        <v>128</v>
      </c>
      <c r="K1310" s="5" t="s">
        <v>641</v>
      </c>
      <c r="L1310" s="5" t="s">
        <v>2067</v>
      </c>
      <c r="M1310" s="5" t="s">
        <v>2068</v>
      </c>
      <c r="N1310" s="5" t="s">
        <v>833</v>
      </c>
      <c r="O1310" s="5">
        <v>1</v>
      </c>
      <c r="P1310" s="5" t="s">
        <v>43</v>
      </c>
      <c r="Q1310" s="5">
        <v>20</v>
      </c>
      <c r="R1310" s="5"/>
      <c r="S1310" s="5"/>
      <c r="T1310" s="5"/>
      <c r="U1310" s="5"/>
      <c r="V1310" s="5"/>
      <c r="W1310" s="5"/>
      <c r="X1310" s="5"/>
      <c r="Y1310" s="5" t="s">
        <v>6174</v>
      </c>
      <c r="Z1310" s="5" t="s">
        <v>1799</v>
      </c>
      <c r="AA1310" s="5" t="s">
        <v>6175</v>
      </c>
      <c r="AB1310" s="5" t="s">
        <v>54</v>
      </c>
      <c r="AC1310" s="5"/>
      <c r="AD1310" s="5" t="b">
        <v>0</v>
      </c>
      <c r="AE1310" s="5"/>
      <c r="AF1310" s="5"/>
      <c r="AG1310" s="9">
        <f t="shared" si="20"/>
        <v>43289</v>
      </c>
    </row>
    <row r="1311" s="6" customFormat="1" spans="1:33">
      <c r="A1311" s="5" t="s">
        <v>6176</v>
      </c>
      <c r="B1311" s="5" t="s">
        <v>6176</v>
      </c>
      <c r="C1311" s="5" t="s">
        <v>6177</v>
      </c>
      <c r="D1311" s="5" t="s">
        <v>6178</v>
      </c>
      <c r="E1311" s="5" t="s">
        <v>36</v>
      </c>
      <c r="F1311" s="5" t="s">
        <v>37</v>
      </c>
      <c r="G1311" s="5" t="s">
        <v>38</v>
      </c>
      <c r="H1311" s="5"/>
      <c r="I1311" s="5"/>
      <c r="J1311" s="5" t="s">
        <v>39</v>
      </c>
      <c r="K1311" s="5" t="s">
        <v>3714</v>
      </c>
      <c r="L1311" s="5" t="s">
        <v>148</v>
      </c>
      <c r="M1311" s="5" t="s">
        <v>149</v>
      </c>
      <c r="N1311" s="5" t="s">
        <v>36</v>
      </c>
      <c r="O1311" s="5">
        <v>1</v>
      </c>
      <c r="P1311" s="5" t="s">
        <v>43</v>
      </c>
      <c r="Q1311" s="5">
        <v>13.99</v>
      </c>
      <c r="R1311" s="5"/>
      <c r="S1311" s="5"/>
      <c r="T1311" s="5"/>
      <c r="U1311" s="5"/>
      <c r="V1311" s="5"/>
      <c r="W1311" s="5"/>
      <c r="X1311" s="5"/>
      <c r="Y1311" s="5" t="s">
        <v>5142</v>
      </c>
      <c r="Z1311" s="5" t="s">
        <v>247</v>
      </c>
      <c r="AA1311" s="5" t="s">
        <v>6179</v>
      </c>
      <c r="AB1311" s="5" t="s">
        <v>46</v>
      </c>
      <c r="AC1311" s="5"/>
      <c r="AD1311" s="5" t="b">
        <v>0</v>
      </c>
      <c r="AE1311" s="5"/>
      <c r="AF1311" s="5"/>
      <c r="AG1311" s="9">
        <f t="shared" si="20"/>
        <v>43289</v>
      </c>
    </row>
    <row r="1312" s="6" customFormat="1" spans="1:33">
      <c r="A1312" s="5" t="s">
        <v>6180</v>
      </c>
      <c r="B1312" s="5" t="s">
        <v>6180</v>
      </c>
      <c r="C1312" s="5" t="s">
        <v>6181</v>
      </c>
      <c r="D1312" s="5" t="s">
        <v>6182</v>
      </c>
      <c r="E1312" s="5" t="s">
        <v>36</v>
      </c>
      <c r="F1312" s="5" t="s">
        <v>37</v>
      </c>
      <c r="G1312" s="5" t="s">
        <v>38</v>
      </c>
      <c r="H1312" s="5"/>
      <c r="I1312" s="5"/>
      <c r="J1312" s="5" t="s">
        <v>39</v>
      </c>
      <c r="K1312" s="5" t="s">
        <v>4038</v>
      </c>
      <c r="L1312" s="5" t="s">
        <v>76</v>
      </c>
      <c r="M1312" s="5" t="s">
        <v>77</v>
      </c>
      <c r="N1312" s="5" t="s">
        <v>36</v>
      </c>
      <c r="O1312" s="5">
        <v>1</v>
      </c>
      <c r="P1312" s="5" t="s">
        <v>43</v>
      </c>
      <c r="Q1312" s="5">
        <v>13.99</v>
      </c>
      <c r="R1312" s="5"/>
      <c r="S1312" s="5"/>
      <c r="T1312" s="5"/>
      <c r="U1312" s="5"/>
      <c r="V1312" s="5"/>
      <c r="W1312" s="5"/>
      <c r="X1312" s="5"/>
      <c r="Y1312" s="5" t="s">
        <v>6183</v>
      </c>
      <c r="Z1312" s="5" t="s">
        <v>377</v>
      </c>
      <c r="AA1312" s="5" t="s">
        <v>6184</v>
      </c>
      <c r="AB1312" s="5" t="s">
        <v>46</v>
      </c>
      <c r="AC1312" s="5"/>
      <c r="AD1312" s="5" t="b">
        <v>1</v>
      </c>
      <c r="AE1312" s="5"/>
      <c r="AF1312" s="5"/>
      <c r="AG1312" s="9">
        <f t="shared" si="20"/>
        <v>43289</v>
      </c>
    </row>
    <row r="1313" s="6" customFormat="1" spans="1:33">
      <c r="A1313" s="5" t="s">
        <v>6185</v>
      </c>
      <c r="B1313" s="5" t="s">
        <v>6185</v>
      </c>
      <c r="C1313" s="5" t="s">
        <v>6186</v>
      </c>
      <c r="D1313" s="5" t="s">
        <v>6187</v>
      </c>
      <c r="E1313" s="5" t="s">
        <v>36</v>
      </c>
      <c r="F1313" s="5" t="s">
        <v>37</v>
      </c>
      <c r="G1313" s="5" t="s">
        <v>38</v>
      </c>
      <c r="H1313" s="5"/>
      <c r="I1313" s="5"/>
      <c r="J1313" s="5" t="s">
        <v>39</v>
      </c>
      <c r="K1313" s="5" t="s">
        <v>4038</v>
      </c>
      <c r="L1313" s="5" t="s">
        <v>76</v>
      </c>
      <c r="M1313" s="5" t="s">
        <v>77</v>
      </c>
      <c r="N1313" s="5" t="s">
        <v>36</v>
      </c>
      <c r="O1313" s="5">
        <v>1</v>
      </c>
      <c r="P1313" s="5" t="s">
        <v>43</v>
      </c>
      <c r="Q1313" s="5">
        <v>13.99</v>
      </c>
      <c r="R1313" s="5"/>
      <c r="S1313" s="5"/>
      <c r="T1313" s="5"/>
      <c r="U1313" s="5"/>
      <c r="V1313" s="5"/>
      <c r="W1313" s="5"/>
      <c r="X1313" s="5"/>
      <c r="Y1313" s="5" t="s">
        <v>6188</v>
      </c>
      <c r="Z1313" s="5" t="s">
        <v>105</v>
      </c>
      <c r="AA1313" s="5" t="s">
        <v>6189</v>
      </c>
      <c r="AB1313" s="5" t="s">
        <v>46</v>
      </c>
      <c r="AC1313" s="5"/>
      <c r="AD1313" s="5" t="b">
        <v>0</v>
      </c>
      <c r="AE1313" s="5"/>
      <c r="AF1313" s="5"/>
      <c r="AG1313" s="9">
        <f t="shared" si="20"/>
        <v>43289</v>
      </c>
    </row>
    <row r="1314" s="6" customFormat="1" spans="1:33">
      <c r="A1314" s="5" t="s">
        <v>6190</v>
      </c>
      <c r="B1314" s="5" t="s">
        <v>6190</v>
      </c>
      <c r="C1314" s="5" t="s">
        <v>6191</v>
      </c>
      <c r="D1314" s="5" t="s">
        <v>6192</v>
      </c>
      <c r="E1314" s="5" t="s">
        <v>36</v>
      </c>
      <c r="F1314" s="5" t="s">
        <v>37</v>
      </c>
      <c r="G1314" s="5" t="s">
        <v>38</v>
      </c>
      <c r="H1314" s="5"/>
      <c r="I1314" s="5"/>
      <c r="J1314" s="5" t="s">
        <v>39</v>
      </c>
      <c r="K1314" s="5" t="s">
        <v>4085</v>
      </c>
      <c r="L1314" s="5" t="s">
        <v>102</v>
      </c>
      <c r="M1314" s="5" t="s">
        <v>103</v>
      </c>
      <c r="N1314" s="5" t="s">
        <v>36</v>
      </c>
      <c r="O1314" s="5">
        <v>1</v>
      </c>
      <c r="P1314" s="5" t="s">
        <v>43</v>
      </c>
      <c r="Q1314" s="5">
        <v>13.99</v>
      </c>
      <c r="R1314" s="5"/>
      <c r="S1314" s="5"/>
      <c r="T1314" s="5"/>
      <c r="U1314" s="5"/>
      <c r="V1314" s="5"/>
      <c r="W1314" s="5"/>
      <c r="X1314" s="5"/>
      <c r="Y1314" s="5" t="s">
        <v>3478</v>
      </c>
      <c r="Z1314" s="5" t="s">
        <v>6193</v>
      </c>
      <c r="AA1314" s="5" t="s">
        <v>6194</v>
      </c>
      <c r="AB1314" s="5" t="s">
        <v>46</v>
      </c>
      <c r="AC1314" s="5"/>
      <c r="AD1314" s="5" t="b">
        <v>0</v>
      </c>
      <c r="AE1314" s="5"/>
      <c r="AF1314" s="5"/>
      <c r="AG1314" s="9">
        <f t="shared" si="20"/>
        <v>43289</v>
      </c>
    </row>
    <row r="1315" s="6" customFormat="1" spans="1:33">
      <c r="A1315" s="5" t="s">
        <v>6195</v>
      </c>
      <c r="B1315" s="5" t="s">
        <v>6195</v>
      </c>
      <c r="C1315" s="5" t="s">
        <v>6196</v>
      </c>
      <c r="D1315" s="5" t="s">
        <v>6197</v>
      </c>
      <c r="E1315" s="5" t="s">
        <v>36</v>
      </c>
      <c r="F1315" s="5" t="s">
        <v>37</v>
      </c>
      <c r="G1315" s="5" t="s">
        <v>38</v>
      </c>
      <c r="H1315" s="5"/>
      <c r="I1315" s="5"/>
      <c r="J1315" s="5" t="s">
        <v>39</v>
      </c>
      <c r="K1315" s="5" t="s">
        <v>209</v>
      </c>
      <c r="L1315" s="5" t="s">
        <v>210</v>
      </c>
      <c r="M1315" s="5" t="s">
        <v>211</v>
      </c>
      <c r="N1315" s="5" t="s">
        <v>36</v>
      </c>
      <c r="O1315" s="5">
        <v>1</v>
      </c>
      <c r="P1315" s="5" t="s">
        <v>43</v>
      </c>
      <c r="Q1315" s="5">
        <v>13.99</v>
      </c>
      <c r="R1315" s="5"/>
      <c r="S1315" s="5"/>
      <c r="T1315" s="5"/>
      <c r="U1315" s="5"/>
      <c r="V1315" s="5"/>
      <c r="W1315" s="5"/>
      <c r="X1315" s="5"/>
      <c r="Y1315" s="5" t="s">
        <v>6198</v>
      </c>
      <c r="Z1315" s="5" t="s">
        <v>282</v>
      </c>
      <c r="AA1315" s="5" t="s">
        <v>6199</v>
      </c>
      <c r="AB1315" s="5" t="s">
        <v>46</v>
      </c>
      <c r="AC1315" s="5"/>
      <c r="AD1315" s="5" t="b">
        <v>0</v>
      </c>
      <c r="AE1315" s="5"/>
      <c r="AF1315" s="5"/>
      <c r="AG1315" s="9">
        <f t="shared" si="20"/>
        <v>43289</v>
      </c>
    </row>
    <row r="1316" s="6" customFormat="1" spans="1:33">
      <c r="A1316" s="5" t="s">
        <v>6200</v>
      </c>
      <c r="B1316" s="5" t="s">
        <v>6200</v>
      </c>
      <c r="C1316" s="5" t="s">
        <v>6201</v>
      </c>
      <c r="D1316" s="5" t="s">
        <v>6202</v>
      </c>
      <c r="E1316" s="5" t="s">
        <v>36</v>
      </c>
      <c r="F1316" s="5" t="s">
        <v>37</v>
      </c>
      <c r="G1316" s="5" t="s">
        <v>38</v>
      </c>
      <c r="H1316" s="5"/>
      <c r="I1316" s="5"/>
      <c r="J1316" s="5" t="s">
        <v>39</v>
      </c>
      <c r="K1316" s="5" t="s">
        <v>4085</v>
      </c>
      <c r="L1316" s="5" t="s">
        <v>102</v>
      </c>
      <c r="M1316" s="5" t="s">
        <v>103</v>
      </c>
      <c r="N1316" s="5" t="s">
        <v>36</v>
      </c>
      <c r="O1316" s="5">
        <v>1</v>
      </c>
      <c r="P1316" s="5" t="s">
        <v>43</v>
      </c>
      <c r="Q1316" s="5">
        <v>13.99</v>
      </c>
      <c r="R1316" s="5"/>
      <c r="S1316" s="5"/>
      <c r="T1316" s="5"/>
      <c r="U1316" s="5"/>
      <c r="V1316" s="5"/>
      <c r="W1316" s="5"/>
      <c r="X1316" s="5"/>
      <c r="Y1316" s="5" t="s">
        <v>5233</v>
      </c>
      <c r="Z1316" s="5" t="s">
        <v>142</v>
      </c>
      <c r="AA1316" s="5" t="s">
        <v>6203</v>
      </c>
      <c r="AB1316" s="5" t="s">
        <v>46</v>
      </c>
      <c r="AC1316" s="5"/>
      <c r="AD1316" s="5" t="b">
        <v>0</v>
      </c>
      <c r="AE1316" s="5"/>
      <c r="AF1316" s="5"/>
      <c r="AG1316" s="9">
        <f t="shared" si="20"/>
        <v>43289</v>
      </c>
    </row>
    <row r="1317" s="6" customFormat="1" spans="1:33">
      <c r="A1317" s="5" t="s">
        <v>6204</v>
      </c>
      <c r="B1317" s="5" t="s">
        <v>6204</v>
      </c>
      <c r="C1317" s="5" t="s">
        <v>6205</v>
      </c>
      <c r="D1317" s="5" t="s">
        <v>6206</v>
      </c>
      <c r="E1317" s="5" t="s">
        <v>36</v>
      </c>
      <c r="F1317" s="5" t="s">
        <v>37</v>
      </c>
      <c r="G1317" s="5" t="s">
        <v>38</v>
      </c>
      <c r="H1317" s="5"/>
      <c r="I1317" s="5"/>
      <c r="J1317" s="5" t="s">
        <v>39</v>
      </c>
      <c r="K1317" s="5" t="s">
        <v>4038</v>
      </c>
      <c r="L1317" s="5" t="s">
        <v>76</v>
      </c>
      <c r="M1317" s="5" t="s">
        <v>77</v>
      </c>
      <c r="N1317" s="5" t="s">
        <v>36</v>
      </c>
      <c r="O1317" s="5">
        <v>1</v>
      </c>
      <c r="P1317" s="5" t="s">
        <v>43</v>
      </c>
      <c r="Q1317" s="5">
        <v>13.99</v>
      </c>
      <c r="R1317" s="5"/>
      <c r="S1317" s="5"/>
      <c r="T1317" s="5"/>
      <c r="U1317" s="5"/>
      <c r="V1317" s="5"/>
      <c r="W1317" s="5"/>
      <c r="X1317" s="5"/>
      <c r="Y1317" s="5" t="s">
        <v>6207</v>
      </c>
      <c r="Z1317" s="5" t="s">
        <v>1050</v>
      </c>
      <c r="AA1317" s="5" t="s">
        <v>6208</v>
      </c>
      <c r="AB1317" s="5" t="s">
        <v>46</v>
      </c>
      <c r="AC1317" s="5"/>
      <c r="AD1317" s="5" t="b">
        <v>0</v>
      </c>
      <c r="AE1317" s="5"/>
      <c r="AF1317" s="5"/>
      <c r="AG1317" s="9">
        <f t="shared" si="20"/>
        <v>43289</v>
      </c>
    </row>
    <row r="1318" s="6" customFormat="1" spans="1:33">
      <c r="A1318" s="5" t="s">
        <v>6209</v>
      </c>
      <c r="B1318" s="5" t="s">
        <v>6209</v>
      </c>
      <c r="C1318" s="5" t="s">
        <v>6210</v>
      </c>
      <c r="D1318" s="5" t="s">
        <v>6211</v>
      </c>
      <c r="E1318" s="5" t="s">
        <v>36</v>
      </c>
      <c r="F1318" s="5" t="s">
        <v>37</v>
      </c>
      <c r="G1318" s="5" t="s">
        <v>38</v>
      </c>
      <c r="H1318" s="5"/>
      <c r="I1318" s="5"/>
      <c r="J1318" s="5" t="s">
        <v>39</v>
      </c>
      <c r="K1318" s="5" t="s">
        <v>2973</v>
      </c>
      <c r="L1318" s="5" t="s">
        <v>2974</v>
      </c>
      <c r="M1318" s="5" t="s">
        <v>2975</v>
      </c>
      <c r="N1318" s="5" t="s">
        <v>36</v>
      </c>
      <c r="O1318" s="5">
        <v>1</v>
      </c>
      <c r="P1318" s="5" t="s">
        <v>43</v>
      </c>
      <c r="Q1318" s="5">
        <v>18.99</v>
      </c>
      <c r="R1318" s="5"/>
      <c r="S1318" s="5"/>
      <c r="T1318" s="5"/>
      <c r="U1318" s="5"/>
      <c r="V1318" s="5"/>
      <c r="W1318" s="5"/>
      <c r="X1318" s="5"/>
      <c r="Y1318" s="5" t="s">
        <v>6212</v>
      </c>
      <c r="Z1318" s="5" t="s">
        <v>282</v>
      </c>
      <c r="AA1318" s="5" t="s">
        <v>6213</v>
      </c>
      <c r="AB1318" s="5" t="s">
        <v>46</v>
      </c>
      <c r="AC1318" s="5"/>
      <c r="AD1318" s="5" t="b">
        <v>0</v>
      </c>
      <c r="AE1318" s="5"/>
      <c r="AF1318" s="5"/>
      <c r="AG1318" s="9">
        <f t="shared" si="20"/>
        <v>43289</v>
      </c>
    </row>
    <row r="1319" s="6" customFormat="1" spans="1:33">
      <c r="A1319" s="5" t="s">
        <v>6214</v>
      </c>
      <c r="B1319" s="5" t="s">
        <v>6214</v>
      </c>
      <c r="C1319" s="5" t="s">
        <v>6215</v>
      </c>
      <c r="D1319" s="5" t="s">
        <v>6216</v>
      </c>
      <c r="E1319" s="5" t="s">
        <v>36</v>
      </c>
      <c r="F1319" s="5" t="s">
        <v>37</v>
      </c>
      <c r="G1319" s="5" t="s">
        <v>38</v>
      </c>
      <c r="H1319" s="5"/>
      <c r="I1319" s="5"/>
      <c r="J1319" s="5" t="s">
        <v>39</v>
      </c>
      <c r="K1319" s="5" t="s">
        <v>3668</v>
      </c>
      <c r="L1319" s="5" t="s">
        <v>578</v>
      </c>
      <c r="M1319" s="5" t="s">
        <v>572</v>
      </c>
      <c r="N1319" s="5" t="s">
        <v>36</v>
      </c>
      <c r="O1319" s="5">
        <v>1</v>
      </c>
      <c r="P1319" s="5" t="s">
        <v>43</v>
      </c>
      <c r="Q1319" s="5">
        <v>24.99</v>
      </c>
      <c r="R1319" s="5"/>
      <c r="S1319" s="5"/>
      <c r="T1319" s="5"/>
      <c r="U1319" s="5"/>
      <c r="V1319" s="5"/>
      <c r="W1319" s="5"/>
      <c r="X1319" s="5"/>
      <c r="Y1319" s="5" t="s">
        <v>6217</v>
      </c>
      <c r="Z1319" s="5" t="s">
        <v>247</v>
      </c>
      <c r="AA1319" s="5">
        <v>77384</v>
      </c>
      <c r="AB1319" s="5" t="s">
        <v>46</v>
      </c>
      <c r="AC1319" s="5"/>
      <c r="AD1319" s="5" t="b">
        <v>0</v>
      </c>
      <c r="AE1319" s="5"/>
      <c r="AF1319" s="5"/>
      <c r="AG1319" s="9">
        <f t="shared" si="20"/>
        <v>43289</v>
      </c>
    </row>
    <row r="1320" s="6" customFormat="1" spans="1:33">
      <c r="A1320" s="5" t="s">
        <v>6218</v>
      </c>
      <c r="B1320" s="5" t="s">
        <v>6218</v>
      </c>
      <c r="C1320" s="5" t="s">
        <v>6219</v>
      </c>
      <c r="D1320" s="5" t="s">
        <v>6220</v>
      </c>
      <c r="E1320" s="5" t="s">
        <v>36</v>
      </c>
      <c r="F1320" s="5" t="s">
        <v>37</v>
      </c>
      <c r="G1320" s="5" t="s">
        <v>38</v>
      </c>
      <c r="H1320" s="5"/>
      <c r="I1320" s="5"/>
      <c r="J1320" s="5" t="s">
        <v>39</v>
      </c>
      <c r="K1320" s="5" t="s">
        <v>4155</v>
      </c>
      <c r="L1320" s="5" t="s">
        <v>111</v>
      </c>
      <c r="M1320" s="5" t="s">
        <v>112</v>
      </c>
      <c r="N1320" s="5" t="s">
        <v>36</v>
      </c>
      <c r="O1320" s="5">
        <v>1</v>
      </c>
      <c r="P1320" s="5" t="s">
        <v>43</v>
      </c>
      <c r="Q1320" s="5">
        <v>13.99</v>
      </c>
      <c r="R1320" s="5"/>
      <c r="S1320" s="5"/>
      <c r="T1320" s="5"/>
      <c r="U1320" s="5"/>
      <c r="V1320" s="5"/>
      <c r="W1320" s="5"/>
      <c r="X1320" s="5"/>
      <c r="Y1320" s="5" t="s">
        <v>2779</v>
      </c>
      <c r="Z1320" s="5" t="s">
        <v>247</v>
      </c>
      <c r="AA1320" s="5" t="s">
        <v>6221</v>
      </c>
      <c r="AB1320" s="5" t="s">
        <v>46</v>
      </c>
      <c r="AC1320" s="5"/>
      <c r="AD1320" s="5" t="b">
        <v>0</v>
      </c>
      <c r="AE1320" s="5"/>
      <c r="AF1320" s="5"/>
      <c r="AG1320" s="9">
        <f t="shared" si="20"/>
        <v>43289</v>
      </c>
    </row>
    <row r="1321" s="6" customFormat="1" spans="1:33">
      <c r="A1321" s="5" t="s">
        <v>6222</v>
      </c>
      <c r="B1321" s="5" t="s">
        <v>6222</v>
      </c>
      <c r="C1321" s="5" t="s">
        <v>6223</v>
      </c>
      <c r="D1321" s="5" t="s">
        <v>6224</v>
      </c>
      <c r="E1321" s="5" t="s">
        <v>36</v>
      </c>
      <c r="F1321" s="5" t="s">
        <v>37</v>
      </c>
      <c r="G1321" s="5" t="s">
        <v>38</v>
      </c>
      <c r="H1321" s="5"/>
      <c r="I1321" s="5"/>
      <c r="J1321" s="5" t="s">
        <v>39</v>
      </c>
      <c r="K1321" s="5" t="s">
        <v>3798</v>
      </c>
      <c r="L1321" s="5" t="s">
        <v>1048</v>
      </c>
      <c r="M1321" s="5" t="s">
        <v>535</v>
      </c>
      <c r="N1321" s="5" t="s">
        <v>36</v>
      </c>
      <c r="O1321" s="5">
        <v>1</v>
      </c>
      <c r="P1321" s="5" t="s">
        <v>43</v>
      </c>
      <c r="Q1321" s="5">
        <v>24.99</v>
      </c>
      <c r="R1321" s="5"/>
      <c r="S1321" s="5"/>
      <c r="T1321" s="5"/>
      <c r="U1321" s="5"/>
      <c r="V1321" s="5"/>
      <c r="W1321" s="5"/>
      <c r="X1321" s="5"/>
      <c r="Y1321" s="5" t="s">
        <v>6225</v>
      </c>
      <c r="Z1321" s="5" t="s">
        <v>218</v>
      </c>
      <c r="AA1321" s="5" t="s">
        <v>6226</v>
      </c>
      <c r="AB1321" s="5" t="s">
        <v>46</v>
      </c>
      <c r="AC1321" s="5"/>
      <c r="AD1321" s="5" t="b">
        <v>0</v>
      </c>
      <c r="AE1321" s="5"/>
      <c r="AF1321" s="5"/>
      <c r="AG1321" s="9">
        <f t="shared" si="20"/>
        <v>43289</v>
      </c>
    </row>
    <row r="1322" s="6" customFormat="1" spans="1:33">
      <c r="A1322" s="5" t="s">
        <v>6227</v>
      </c>
      <c r="B1322" s="5" t="s">
        <v>6227</v>
      </c>
      <c r="C1322" s="5" t="s">
        <v>6228</v>
      </c>
      <c r="D1322" s="5" t="s">
        <v>6229</v>
      </c>
      <c r="E1322" s="5" t="s">
        <v>36</v>
      </c>
      <c r="F1322" s="5" t="s">
        <v>37</v>
      </c>
      <c r="G1322" s="5" t="s">
        <v>38</v>
      </c>
      <c r="H1322" s="5"/>
      <c r="I1322" s="5"/>
      <c r="J1322" s="5" t="s">
        <v>39</v>
      </c>
      <c r="K1322" s="5" t="s">
        <v>4038</v>
      </c>
      <c r="L1322" s="5" t="s">
        <v>76</v>
      </c>
      <c r="M1322" s="5" t="s">
        <v>77</v>
      </c>
      <c r="N1322" s="5" t="s">
        <v>36</v>
      </c>
      <c r="O1322" s="5">
        <v>1</v>
      </c>
      <c r="P1322" s="5" t="s">
        <v>43</v>
      </c>
      <c r="Q1322" s="5">
        <v>13.99</v>
      </c>
      <c r="R1322" s="5"/>
      <c r="S1322" s="5"/>
      <c r="T1322" s="5"/>
      <c r="U1322" s="5"/>
      <c r="V1322" s="5"/>
      <c r="W1322" s="5"/>
      <c r="X1322" s="5"/>
      <c r="Y1322" s="5" t="s">
        <v>917</v>
      </c>
      <c r="Z1322" s="5" t="s">
        <v>54</v>
      </c>
      <c r="AA1322" s="5">
        <v>92708</v>
      </c>
      <c r="AB1322" s="5" t="s">
        <v>46</v>
      </c>
      <c r="AC1322" s="5"/>
      <c r="AD1322" s="5" t="b">
        <v>0</v>
      </c>
      <c r="AE1322" s="5"/>
      <c r="AF1322" s="5"/>
      <c r="AG1322" s="9">
        <f t="shared" si="20"/>
        <v>43289</v>
      </c>
    </row>
    <row r="1323" s="6" customFormat="1" spans="1:33">
      <c r="A1323" s="5" t="s">
        <v>6230</v>
      </c>
      <c r="B1323" s="5" t="s">
        <v>6230</v>
      </c>
      <c r="C1323" s="5" t="s">
        <v>6231</v>
      </c>
      <c r="D1323" s="5" t="s">
        <v>6232</v>
      </c>
      <c r="E1323" s="5" t="s">
        <v>36</v>
      </c>
      <c r="F1323" s="5" t="s">
        <v>37</v>
      </c>
      <c r="G1323" s="5" t="s">
        <v>38</v>
      </c>
      <c r="H1323" s="5"/>
      <c r="I1323" s="5"/>
      <c r="J1323" s="5" t="s">
        <v>39</v>
      </c>
      <c r="K1323" s="5" t="s">
        <v>434</v>
      </c>
      <c r="L1323" s="5" t="s">
        <v>435</v>
      </c>
      <c r="M1323" s="5" t="s">
        <v>436</v>
      </c>
      <c r="N1323" s="5" t="s">
        <v>36</v>
      </c>
      <c r="O1323" s="5">
        <v>1</v>
      </c>
      <c r="P1323" s="5" t="s">
        <v>43</v>
      </c>
      <c r="Q1323" s="5">
        <v>13.99</v>
      </c>
      <c r="R1323" s="5"/>
      <c r="S1323" s="5"/>
      <c r="T1323" s="5"/>
      <c r="U1323" s="5"/>
      <c r="V1323" s="5"/>
      <c r="W1323" s="5"/>
      <c r="X1323" s="5"/>
      <c r="Y1323" s="5" t="s">
        <v>5520</v>
      </c>
      <c r="Z1323" s="5" t="s">
        <v>329</v>
      </c>
      <c r="AA1323" s="5" t="s">
        <v>6233</v>
      </c>
      <c r="AB1323" s="5" t="s">
        <v>46</v>
      </c>
      <c r="AC1323" s="5"/>
      <c r="AD1323" s="5" t="b">
        <v>0</v>
      </c>
      <c r="AE1323" s="5"/>
      <c r="AF1323" s="5"/>
      <c r="AG1323" s="9">
        <f t="shared" si="20"/>
        <v>43289</v>
      </c>
    </row>
    <row r="1324" s="6" customFormat="1" spans="1:33">
      <c r="A1324" s="5" t="s">
        <v>6234</v>
      </c>
      <c r="B1324" s="5" t="s">
        <v>6234</v>
      </c>
      <c r="C1324" s="5" t="s">
        <v>6235</v>
      </c>
      <c r="D1324" s="5" t="s">
        <v>6236</v>
      </c>
      <c r="E1324" s="5" t="s">
        <v>36</v>
      </c>
      <c r="F1324" s="5" t="s">
        <v>37</v>
      </c>
      <c r="G1324" s="5" t="s">
        <v>38</v>
      </c>
      <c r="H1324" s="5"/>
      <c r="I1324" s="5"/>
      <c r="J1324" s="5" t="s">
        <v>39</v>
      </c>
      <c r="K1324" s="5" t="s">
        <v>3940</v>
      </c>
      <c r="L1324" s="5" t="s">
        <v>2099</v>
      </c>
      <c r="M1324" s="5" t="s">
        <v>121</v>
      </c>
      <c r="N1324" s="5" t="s">
        <v>36</v>
      </c>
      <c r="O1324" s="5">
        <v>1</v>
      </c>
      <c r="P1324" s="5" t="s">
        <v>43</v>
      </c>
      <c r="Q1324" s="5">
        <v>24.99</v>
      </c>
      <c r="R1324" s="5"/>
      <c r="S1324" s="5"/>
      <c r="T1324" s="5"/>
      <c r="U1324" s="5"/>
      <c r="V1324" s="5"/>
      <c r="W1324" s="5"/>
      <c r="X1324" s="5"/>
      <c r="Y1324" s="5" t="s">
        <v>6237</v>
      </c>
      <c r="Z1324" s="5" t="s">
        <v>54</v>
      </c>
      <c r="AA1324" s="5" t="s">
        <v>6238</v>
      </c>
      <c r="AB1324" s="5" t="s">
        <v>46</v>
      </c>
      <c r="AC1324" s="5"/>
      <c r="AD1324" s="5" t="b">
        <v>0</v>
      </c>
      <c r="AE1324" s="5"/>
      <c r="AF1324" s="5"/>
      <c r="AG1324" s="9">
        <f t="shared" si="20"/>
        <v>43289</v>
      </c>
    </row>
    <row r="1325" s="6" customFormat="1" spans="1:33">
      <c r="A1325" s="5" t="s">
        <v>6239</v>
      </c>
      <c r="B1325" s="5" t="s">
        <v>6239</v>
      </c>
      <c r="C1325" s="5" t="s">
        <v>6240</v>
      </c>
      <c r="D1325" s="5" t="s">
        <v>6241</v>
      </c>
      <c r="E1325" s="5" t="s">
        <v>36</v>
      </c>
      <c r="F1325" s="5" t="s">
        <v>37</v>
      </c>
      <c r="G1325" s="5" t="s">
        <v>38</v>
      </c>
      <c r="H1325" s="5"/>
      <c r="I1325" s="5"/>
      <c r="J1325" s="5" t="s">
        <v>39</v>
      </c>
      <c r="K1325" s="5" t="s">
        <v>6242</v>
      </c>
      <c r="L1325" s="5" t="s">
        <v>6243</v>
      </c>
      <c r="M1325" s="5" t="s">
        <v>6244</v>
      </c>
      <c r="N1325" s="5" t="s">
        <v>36</v>
      </c>
      <c r="O1325" s="5">
        <v>1</v>
      </c>
      <c r="P1325" s="5" t="s">
        <v>43</v>
      </c>
      <c r="Q1325" s="5">
        <v>14.98</v>
      </c>
      <c r="R1325" s="5"/>
      <c r="S1325" s="5"/>
      <c r="T1325" s="5"/>
      <c r="U1325" s="5"/>
      <c r="V1325" s="5"/>
      <c r="W1325" s="5"/>
      <c r="X1325" s="5"/>
      <c r="Y1325" s="5" t="s">
        <v>315</v>
      </c>
      <c r="Z1325" s="5" t="s">
        <v>2743</v>
      </c>
      <c r="AA1325" s="5" t="s">
        <v>6245</v>
      </c>
      <c r="AB1325" s="5" t="s">
        <v>46</v>
      </c>
      <c r="AC1325" s="5"/>
      <c r="AD1325" s="5" t="b">
        <v>0</v>
      </c>
      <c r="AE1325" s="5"/>
      <c r="AF1325" s="5"/>
      <c r="AG1325" s="9">
        <f t="shared" si="20"/>
        <v>43289</v>
      </c>
    </row>
    <row r="1326" s="6" customFormat="1" spans="1:33">
      <c r="A1326" s="5" t="s">
        <v>6239</v>
      </c>
      <c r="B1326" s="5" t="s">
        <v>6239</v>
      </c>
      <c r="C1326" s="5" t="s">
        <v>6240</v>
      </c>
      <c r="D1326" s="5" t="s">
        <v>6241</v>
      </c>
      <c r="E1326" s="5" t="s">
        <v>36</v>
      </c>
      <c r="F1326" s="5" t="s">
        <v>37</v>
      </c>
      <c r="G1326" s="5" t="s">
        <v>38</v>
      </c>
      <c r="H1326" s="5"/>
      <c r="I1326" s="5"/>
      <c r="J1326" s="5" t="s">
        <v>39</v>
      </c>
      <c r="K1326" s="5" t="s">
        <v>6246</v>
      </c>
      <c r="L1326" s="5" t="s">
        <v>6247</v>
      </c>
      <c r="M1326" s="5" t="s">
        <v>6248</v>
      </c>
      <c r="N1326" s="5" t="s">
        <v>36</v>
      </c>
      <c r="O1326" s="5">
        <v>1</v>
      </c>
      <c r="P1326" s="5" t="s">
        <v>43</v>
      </c>
      <c r="Q1326" s="5">
        <v>15.98</v>
      </c>
      <c r="R1326" s="5"/>
      <c r="S1326" s="5"/>
      <c r="T1326" s="5"/>
      <c r="U1326" s="5"/>
      <c r="V1326" s="5"/>
      <c r="W1326" s="5"/>
      <c r="X1326" s="5"/>
      <c r="Y1326" s="5" t="s">
        <v>315</v>
      </c>
      <c r="Z1326" s="5" t="s">
        <v>2743</v>
      </c>
      <c r="AA1326" s="5" t="s">
        <v>6245</v>
      </c>
      <c r="AB1326" s="5" t="s">
        <v>46</v>
      </c>
      <c r="AC1326" s="5"/>
      <c r="AD1326" s="5" t="b">
        <v>0</v>
      </c>
      <c r="AE1326" s="5"/>
      <c r="AF1326" s="5"/>
      <c r="AG1326" s="9">
        <f t="shared" si="20"/>
        <v>43289</v>
      </c>
    </row>
    <row r="1327" s="6" customFormat="1" spans="1:33">
      <c r="A1327" s="5" t="s">
        <v>6249</v>
      </c>
      <c r="B1327" s="5" t="s">
        <v>6249</v>
      </c>
      <c r="C1327" s="5" t="s">
        <v>6250</v>
      </c>
      <c r="D1327" s="5" t="s">
        <v>6251</v>
      </c>
      <c r="E1327" s="5" t="s">
        <v>36</v>
      </c>
      <c r="F1327" s="5" t="s">
        <v>37</v>
      </c>
      <c r="G1327" s="5" t="s">
        <v>38</v>
      </c>
      <c r="H1327" s="5"/>
      <c r="I1327" s="5"/>
      <c r="J1327" s="5" t="s">
        <v>39</v>
      </c>
      <c r="K1327" s="5" t="s">
        <v>3769</v>
      </c>
      <c r="L1327" s="5" t="s">
        <v>3770</v>
      </c>
      <c r="M1327" s="5" t="s">
        <v>3771</v>
      </c>
      <c r="N1327" s="5" t="s">
        <v>36</v>
      </c>
      <c r="O1327" s="5">
        <v>1</v>
      </c>
      <c r="P1327" s="5" t="s">
        <v>43</v>
      </c>
      <c r="Q1327" s="5">
        <v>8.99</v>
      </c>
      <c r="R1327" s="5"/>
      <c r="S1327" s="5"/>
      <c r="T1327" s="5"/>
      <c r="U1327" s="5"/>
      <c r="V1327" s="5"/>
      <c r="W1327" s="5"/>
      <c r="X1327" s="5"/>
      <c r="Y1327" s="5" t="s">
        <v>157</v>
      </c>
      <c r="Z1327" s="5" t="s">
        <v>6252</v>
      </c>
      <c r="AA1327" s="5" t="s">
        <v>6253</v>
      </c>
      <c r="AB1327" s="5" t="s">
        <v>46</v>
      </c>
      <c r="AC1327" s="5"/>
      <c r="AD1327" s="5" t="b">
        <v>0</v>
      </c>
      <c r="AE1327" s="5"/>
      <c r="AF1327" s="5"/>
      <c r="AG1327" s="9">
        <f t="shared" si="20"/>
        <v>43289</v>
      </c>
    </row>
    <row r="1328" s="6" customFormat="1" spans="1:33">
      <c r="A1328" s="5" t="s">
        <v>6254</v>
      </c>
      <c r="B1328" s="5" t="s">
        <v>6254</v>
      </c>
      <c r="C1328" s="5" t="s">
        <v>6255</v>
      </c>
      <c r="D1328" s="5" t="s">
        <v>6256</v>
      </c>
      <c r="E1328" s="5" t="s">
        <v>5238</v>
      </c>
      <c r="F1328" s="5" t="s">
        <v>37</v>
      </c>
      <c r="G1328" s="5" t="s">
        <v>38</v>
      </c>
      <c r="H1328" s="5"/>
      <c r="I1328" s="5"/>
      <c r="J1328" s="5" t="s">
        <v>39</v>
      </c>
      <c r="K1328" s="5" t="s">
        <v>3645</v>
      </c>
      <c r="L1328" s="5" t="s">
        <v>51</v>
      </c>
      <c r="M1328" s="5" t="s">
        <v>52</v>
      </c>
      <c r="N1328" s="5" t="s">
        <v>833</v>
      </c>
      <c r="O1328" s="5">
        <v>1</v>
      </c>
      <c r="P1328" s="5" t="s">
        <v>43</v>
      </c>
      <c r="Q1328" s="5">
        <v>18.99</v>
      </c>
      <c r="R1328" s="5"/>
      <c r="S1328" s="5"/>
      <c r="T1328" s="5"/>
      <c r="U1328" s="5"/>
      <c r="V1328" s="5"/>
      <c r="W1328" s="5"/>
      <c r="X1328" s="5"/>
      <c r="Y1328" s="5" t="s">
        <v>6257</v>
      </c>
      <c r="Z1328" s="5" t="s">
        <v>474</v>
      </c>
      <c r="AA1328" s="5" t="s">
        <v>6258</v>
      </c>
      <c r="AB1328" s="5" t="s">
        <v>46</v>
      </c>
      <c r="AC1328" s="5"/>
      <c r="AD1328" s="5" t="b">
        <v>0</v>
      </c>
      <c r="AE1328" s="5"/>
      <c r="AF1328" s="5"/>
      <c r="AG1328" s="9">
        <f t="shared" si="20"/>
        <v>43289</v>
      </c>
    </row>
    <row r="1329" s="6" customFormat="1" spans="1:33">
      <c r="A1329" s="5" t="s">
        <v>6254</v>
      </c>
      <c r="B1329" s="5" t="s">
        <v>6254</v>
      </c>
      <c r="C1329" s="5" t="s">
        <v>6255</v>
      </c>
      <c r="D1329" s="5" t="s">
        <v>6256</v>
      </c>
      <c r="E1329" s="5" t="s">
        <v>5238</v>
      </c>
      <c r="F1329" s="5" t="s">
        <v>37</v>
      </c>
      <c r="G1329" s="5" t="s">
        <v>38</v>
      </c>
      <c r="H1329" s="5"/>
      <c r="I1329" s="5"/>
      <c r="J1329" s="5" t="s">
        <v>39</v>
      </c>
      <c r="K1329" s="5" t="s">
        <v>3714</v>
      </c>
      <c r="L1329" s="5" t="s">
        <v>148</v>
      </c>
      <c r="M1329" s="5" t="s">
        <v>149</v>
      </c>
      <c r="N1329" s="5" t="s">
        <v>833</v>
      </c>
      <c r="O1329" s="5">
        <v>1</v>
      </c>
      <c r="P1329" s="5" t="s">
        <v>43</v>
      </c>
      <c r="Q1329" s="5">
        <v>13.99</v>
      </c>
      <c r="R1329" s="5"/>
      <c r="S1329" s="5"/>
      <c r="T1329" s="5"/>
      <c r="U1329" s="5"/>
      <c r="V1329" s="5"/>
      <c r="W1329" s="5"/>
      <c r="X1329" s="5"/>
      <c r="Y1329" s="5" t="s">
        <v>6257</v>
      </c>
      <c r="Z1329" s="5" t="s">
        <v>474</v>
      </c>
      <c r="AA1329" s="5" t="s">
        <v>6258</v>
      </c>
      <c r="AB1329" s="5" t="s">
        <v>46</v>
      </c>
      <c r="AC1329" s="5"/>
      <c r="AD1329" s="5" t="b">
        <v>0</v>
      </c>
      <c r="AE1329" s="5"/>
      <c r="AF1329" s="5"/>
      <c r="AG1329" s="9">
        <f t="shared" si="20"/>
        <v>43289</v>
      </c>
    </row>
    <row r="1330" s="6" customFormat="1" spans="1:33">
      <c r="A1330" s="5" t="s">
        <v>6259</v>
      </c>
      <c r="B1330" s="5" t="s">
        <v>6259</v>
      </c>
      <c r="C1330" s="5" t="s">
        <v>6260</v>
      </c>
      <c r="D1330" s="5" t="s">
        <v>6261</v>
      </c>
      <c r="E1330" s="5" t="s">
        <v>36</v>
      </c>
      <c r="F1330" s="5" t="s">
        <v>37</v>
      </c>
      <c r="G1330" s="5" t="s">
        <v>38</v>
      </c>
      <c r="H1330" s="5"/>
      <c r="I1330" s="5"/>
      <c r="J1330" s="5" t="s">
        <v>39</v>
      </c>
      <c r="K1330" s="5" t="s">
        <v>434</v>
      </c>
      <c r="L1330" s="5" t="s">
        <v>435</v>
      </c>
      <c r="M1330" s="5" t="s">
        <v>436</v>
      </c>
      <c r="N1330" s="5" t="s">
        <v>36</v>
      </c>
      <c r="O1330" s="5">
        <v>1</v>
      </c>
      <c r="P1330" s="5" t="s">
        <v>43</v>
      </c>
      <c r="Q1330" s="5">
        <v>13.99</v>
      </c>
      <c r="R1330" s="5"/>
      <c r="S1330" s="5"/>
      <c r="T1330" s="5"/>
      <c r="U1330" s="5"/>
      <c r="V1330" s="5"/>
      <c r="W1330" s="5"/>
      <c r="X1330" s="5"/>
      <c r="Y1330" s="5" t="s">
        <v>6262</v>
      </c>
      <c r="Z1330" s="5" t="s">
        <v>218</v>
      </c>
      <c r="AA1330" s="5" t="s">
        <v>6263</v>
      </c>
      <c r="AB1330" s="5" t="s">
        <v>46</v>
      </c>
      <c r="AC1330" s="5"/>
      <c r="AD1330" s="5" t="b">
        <v>0</v>
      </c>
      <c r="AE1330" s="5"/>
      <c r="AF1330" s="5"/>
      <c r="AG1330" s="9">
        <f t="shared" si="20"/>
        <v>43289</v>
      </c>
    </row>
    <row r="1331" s="6" customFormat="1" spans="1:33">
      <c r="A1331" s="5" t="s">
        <v>6264</v>
      </c>
      <c r="B1331" s="5" t="s">
        <v>6264</v>
      </c>
      <c r="C1331" s="5" t="s">
        <v>6265</v>
      </c>
      <c r="D1331" s="5" t="s">
        <v>6266</v>
      </c>
      <c r="E1331" s="5" t="s">
        <v>5238</v>
      </c>
      <c r="F1331" s="5" t="s">
        <v>37</v>
      </c>
      <c r="G1331" s="5" t="s">
        <v>38</v>
      </c>
      <c r="H1331" s="5"/>
      <c r="I1331" s="5"/>
      <c r="J1331" s="5" t="s">
        <v>39</v>
      </c>
      <c r="K1331" s="5" t="s">
        <v>3745</v>
      </c>
      <c r="L1331" s="5" t="s">
        <v>202</v>
      </c>
      <c r="M1331" s="5" t="s">
        <v>203</v>
      </c>
      <c r="N1331" s="5" t="s">
        <v>833</v>
      </c>
      <c r="O1331" s="5">
        <v>1</v>
      </c>
      <c r="P1331" s="5" t="s">
        <v>43</v>
      </c>
      <c r="Q1331" s="5">
        <v>18.99</v>
      </c>
      <c r="R1331" s="5"/>
      <c r="S1331" s="5"/>
      <c r="T1331" s="5"/>
      <c r="U1331" s="5"/>
      <c r="V1331" s="5"/>
      <c r="W1331" s="5"/>
      <c r="X1331" s="5"/>
      <c r="Y1331" s="5" t="s">
        <v>4223</v>
      </c>
      <c r="Z1331" s="5" t="s">
        <v>463</v>
      </c>
      <c r="AA1331" s="5" t="s">
        <v>6267</v>
      </c>
      <c r="AB1331" s="5" t="s">
        <v>46</v>
      </c>
      <c r="AC1331" s="5"/>
      <c r="AD1331" s="5" t="b">
        <v>0</v>
      </c>
      <c r="AE1331" s="5"/>
      <c r="AF1331" s="5"/>
      <c r="AG1331" s="9">
        <f t="shared" si="20"/>
        <v>43289</v>
      </c>
    </row>
    <row r="1332" s="6" customFormat="1" spans="1:33">
      <c r="A1332" s="5" t="s">
        <v>6268</v>
      </c>
      <c r="B1332" s="5" t="s">
        <v>6268</v>
      </c>
      <c r="C1332" s="5" t="s">
        <v>6269</v>
      </c>
      <c r="D1332" s="5" t="s">
        <v>6270</v>
      </c>
      <c r="E1332" s="5" t="s">
        <v>36</v>
      </c>
      <c r="F1332" s="5" t="s">
        <v>37</v>
      </c>
      <c r="G1332" s="5" t="s">
        <v>38</v>
      </c>
      <c r="H1332" s="5"/>
      <c r="I1332" s="5"/>
      <c r="J1332" s="5" t="s">
        <v>39</v>
      </c>
      <c r="K1332" s="5" t="s">
        <v>3719</v>
      </c>
      <c r="L1332" s="5" t="s">
        <v>84</v>
      </c>
      <c r="M1332" s="5" t="s">
        <v>85</v>
      </c>
      <c r="N1332" s="5" t="s">
        <v>36</v>
      </c>
      <c r="O1332" s="5">
        <v>1</v>
      </c>
      <c r="P1332" s="5" t="s">
        <v>43</v>
      </c>
      <c r="Q1332" s="5">
        <v>12.99</v>
      </c>
      <c r="R1332" s="5"/>
      <c r="S1332" s="5"/>
      <c r="T1332" s="5"/>
      <c r="U1332" s="5"/>
      <c r="V1332" s="5"/>
      <c r="W1332" s="5"/>
      <c r="X1332" s="5"/>
      <c r="Y1332" s="5" t="s">
        <v>5280</v>
      </c>
      <c r="Z1332" s="5" t="s">
        <v>329</v>
      </c>
      <c r="AA1332" s="5">
        <v>84401</v>
      </c>
      <c r="AB1332" s="5" t="s">
        <v>46</v>
      </c>
      <c r="AC1332" s="5"/>
      <c r="AD1332" s="5" t="b">
        <v>0</v>
      </c>
      <c r="AE1332" s="5"/>
      <c r="AF1332" s="5"/>
      <c r="AG1332" s="9">
        <f t="shared" si="20"/>
        <v>43289</v>
      </c>
    </row>
    <row r="1333" s="6" customFormat="1" spans="1:33">
      <c r="A1333" s="5" t="s">
        <v>6271</v>
      </c>
      <c r="B1333" s="5" t="s">
        <v>6271</v>
      </c>
      <c r="C1333" s="5" t="s">
        <v>6272</v>
      </c>
      <c r="D1333" s="5" t="s">
        <v>6273</v>
      </c>
      <c r="E1333" s="5" t="s">
        <v>36</v>
      </c>
      <c r="F1333" s="5" t="s">
        <v>37</v>
      </c>
      <c r="G1333" s="5" t="s">
        <v>38</v>
      </c>
      <c r="H1333" s="5"/>
      <c r="I1333" s="5"/>
      <c r="J1333" s="5" t="s">
        <v>39</v>
      </c>
      <c r="K1333" s="5" t="s">
        <v>3745</v>
      </c>
      <c r="L1333" s="5" t="s">
        <v>202</v>
      </c>
      <c r="M1333" s="5" t="s">
        <v>203</v>
      </c>
      <c r="N1333" s="5" t="s">
        <v>36</v>
      </c>
      <c r="O1333" s="5">
        <v>1</v>
      </c>
      <c r="P1333" s="5" t="s">
        <v>43</v>
      </c>
      <c r="Q1333" s="5">
        <v>18.99</v>
      </c>
      <c r="R1333" s="5"/>
      <c r="S1333" s="5"/>
      <c r="T1333" s="5"/>
      <c r="U1333" s="5"/>
      <c r="V1333" s="5"/>
      <c r="W1333" s="5"/>
      <c r="X1333" s="5"/>
      <c r="Y1333" s="5" t="s">
        <v>6274</v>
      </c>
      <c r="Z1333" s="5" t="s">
        <v>282</v>
      </c>
      <c r="AA1333" s="5" t="s">
        <v>6275</v>
      </c>
      <c r="AB1333" s="5" t="s">
        <v>46</v>
      </c>
      <c r="AC1333" s="5"/>
      <c r="AD1333" s="5" t="b">
        <v>0</v>
      </c>
      <c r="AE1333" s="5"/>
      <c r="AF1333" s="5"/>
      <c r="AG1333" s="9">
        <f t="shared" si="20"/>
        <v>43289</v>
      </c>
    </row>
    <row r="1334" s="6" customFormat="1" spans="1:33">
      <c r="A1334" s="5" t="s">
        <v>6276</v>
      </c>
      <c r="B1334" s="5" t="s">
        <v>6276</v>
      </c>
      <c r="C1334" s="5" t="s">
        <v>6277</v>
      </c>
      <c r="D1334" s="5" t="s">
        <v>6278</v>
      </c>
      <c r="E1334" s="5" t="s">
        <v>36</v>
      </c>
      <c r="F1334" s="5" t="s">
        <v>37</v>
      </c>
      <c r="G1334" s="5" t="s">
        <v>38</v>
      </c>
      <c r="H1334" s="5"/>
      <c r="I1334" s="5"/>
      <c r="J1334" s="5" t="s">
        <v>39</v>
      </c>
      <c r="K1334" s="5" t="s">
        <v>3679</v>
      </c>
      <c r="L1334" s="5" t="s">
        <v>4376</v>
      </c>
      <c r="M1334" s="5" t="s">
        <v>1293</v>
      </c>
      <c r="N1334" s="5" t="s">
        <v>36</v>
      </c>
      <c r="O1334" s="5">
        <v>1</v>
      </c>
      <c r="P1334" s="5" t="s">
        <v>43</v>
      </c>
      <c r="Q1334" s="5">
        <v>13.99</v>
      </c>
      <c r="R1334" s="5"/>
      <c r="S1334" s="5"/>
      <c r="T1334" s="5"/>
      <c r="U1334" s="5"/>
      <c r="V1334" s="5"/>
      <c r="W1334" s="5"/>
      <c r="X1334" s="5"/>
      <c r="Y1334" s="5" t="s">
        <v>3892</v>
      </c>
      <c r="Z1334" s="5" t="s">
        <v>6279</v>
      </c>
      <c r="AA1334" s="5">
        <v>40299</v>
      </c>
      <c r="AB1334" s="5" t="s">
        <v>46</v>
      </c>
      <c r="AC1334" s="5"/>
      <c r="AD1334" s="5" t="b">
        <v>0</v>
      </c>
      <c r="AE1334" s="5"/>
      <c r="AF1334" s="5"/>
      <c r="AG1334" s="9">
        <f t="shared" si="20"/>
        <v>43289</v>
      </c>
    </row>
    <row r="1335" s="6" customFormat="1" spans="1:33">
      <c r="A1335" s="5" t="s">
        <v>6280</v>
      </c>
      <c r="B1335" s="5" t="s">
        <v>6280</v>
      </c>
      <c r="C1335" s="5" t="s">
        <v>6281</v>
      </c>
      <c r="D1335" s="5" t="s">
        <v>6282</v>
      </c>
      <c r="E1335" s="5" t="s">
        <v>5238</v>
      </c>
      <c r="F1335" s="5" t="s">
        <v>37</v>
      </c>
      <c r="G1335" s="5" t="s">
        <v>38</v>
      </c>
      <c r="H1335" s="5"/>
      <c r="I1335" s="5"/>
      <c r="J1335" s="5" t="s">
        <v>39</v>
      </c>
      <c r="K1335" s="5" t="s">
        <v>434</v>
      </c>
      <c r="L1335" s="5" t="s">
        <v>435</v>
      </c>
      <c r="M1335" s="5" t="s">
        <v>436</v>
      </c>
      <c r="N1335" s="5" t="s">
        <v>833</v>
      </c>
      <c r="O1335" s="5">
        <v>1</v>
      </c>
      <c r="P1335" s="5" t="s">
        <v>43</v>
      </c>
      <c r="Q1335" s="5">
        <v>13.99</v>
      </c>
      <c r="R1335" s="5"/>
      <c r="S1335" s="5"/>
      <c r="T1335" s="5"/>
      <c r="U1335" s="5"/>
      <c r="V1335" s="5"/>
      <c r="W1335" s="5"/>
      <c r="X1335" s="5"/>
      <c r="Y1335" s="5" t="s">
        <v>6283</v>
      </c>
      <c r="Z1335" s="5" t="s">
        <v>264</v>
      </c>
      <c r="AA1335" s="5">
        <v>35242</v>
      </c>
      <c r="AB1335" s="5" t="s">
        <v>46</v>
      </c>
      <c r="AC1335" s="5"/>
      <c r="AD1335" s="5" t="b">
        <v>0</v>
      </c>
      <c r="AE1335" s="5"/>
      <c r="AF1335" s="5"/>
      <c r="AG1335" s="9">
        <f t="shared" si="20"/>
        <v>43289</v>
      </c>
    </row>
    <row r="1336" s="6" customFormat="1" spans="1:33">
      <c r="A1336" s="5" t="s">
        <v>6284</v>
      </c>
      <c r="B1336" s="5" t="s">
        <v>6284</v>
      </c>
      <c r="C1336" s="5" t="s">
        <v>6285</v>
      </c>
      <c r="D1336" s="5" t="s">
        <v>6286</v>
      </c>
      <c r="E1336" s="5" t="s">
        <v>36</v>
      </c>
      <c r="F1336" s="5" t="s">
        <v>37</v>
      </c>
      <c r="G1336" s="5" t="s">
        <v>38</v>
      </c>
      <c r="H1336" s="5"/>
      <c r="I1336" s="5"/>
      <c r="J1336" s="5" t="s">
        <v>39</v>
      </c>
      <c r="K1336" s="5" t="s">
        <v>3651</v>
      </c>
      <c r="L1336" s="5" t="s">
        <v>3652</v>
      </c>
      <c r="M1336" s="5" t="s">
        <v>3653</v>
      </c>
      <c r="N1336" s="5" t="s">
        <v>36</v>
      </c>
      <c r="O1336" s="5">
        <v>1</v>
      </c>
      <c r="P1336" s="5" t="s">
        <v>43</v>
      </c>
      <c r="Q1336" s="5">
        <v>35.99</v>
      </c>
      <c r="R1336" s="5"/>
      <c r="S1336" s="5"/>
      <c r="T1336" s="5"/>
      <c r="U1336" s="5"/>
      <c r="V1336" s="5"/>
      <c r="W1336" s="5"/>
      <c r="X1336" s="5"/>
      <c r="Y1336" s="5" t="s">
        <v>6287</v>
      </c>
      <c r="Z1336" s="5" t="s">
        <v>596</v>
      </c>
      <c r="AA1336" s="5" t="s">
        <v>6288</v>
      </c>
      <c r="AB1336" s="5" t="s">
        <v>46</v>
      </c>
      <c r="AC1336" s="5"/>
      <c r="AD1336" s="5" t="b">
        <v>0</v>
      </c>
      <c r="AE1336" s="5"/>
      <c r="AF1336" s="5"/>
      <c r="AG1336" s="9">
        <f t="shared" si="20"/>
        <v>43289</v>
      </c>
    </row>
    <row r="1337" s="6" customFormat="1" spans="1:33">
      <c r="A1337" s="5" t="s">
        <v>6289</v>
      </c>
      <c r="B1337" s="5" t="s">
        <v>6289</v>
      </c>
      <c r="C1337" s="5" t="s">
        <v>6290</v>
      </c>
      <c r="D1337" s="5" t="s">
        <v>6291</v>
      </c>
      <c r="E1337" s="5" t="s">
        <v>36</v>
      </c>
      <c r="F1337" s="5" t="s">
        <v>37</v>
      </c>
      <c r="G1337" s="5" t="s">
        <v>38</v>
      </c>
      <c r="H1337" s="5"/>
      <c r="I1337" s="5"/>
      <c r="J1337" s="5" t="s">
        <v>39</v>
      </c>
      <c r="K1337" s="5" t="s">
        <v>4085</v>
      </c>
      <c r="L1337" s="5" t="s">
        <v>102</v>
      </c>
      <c r="M1337" s="5" t="s">
        <v>103</v>
      </c>
      <c r="N1337" s="5" t="s">
        <v>36</v>
      </c>
      <c r="O1337" s="5">
        <v>1</v>
      </c>
      <c r="P1337" s="5" t="s">
        <v>43</v>
      </c>
      <c r="Q1337" s="5">
        <v>13.99</v>
      </c>
      <c r="R1337" s="5"/>
      <c r="S1337" s="5"/>
      <c r="T1337" s="5"/>
      <c r="U1337" s="5"/>
      <c r="V1337" s="5"/>
      <c r="W1337" s="5"/>
      <c r="X1337" s="5"/>
      <c r="Y1337" s="5" t="s">
        <v>6292</v>
      </c>
      <c r="Z1337" s="5" t="s">
        <v>238</v>
      </c>
      <c r="AA1337" s="5" t="s">
        <v>6293</v>
      </c>
      <c r="AB1337" s="5" t="s">
        <v>46</v>
      </c>
      <c r="AC1337" s="5"/>
      <c r="AD1337" s="5" t="b">
        <v>0</v>
      </c>
      <c r="AE1337" s="5"/>
      <c r="AF1337" s="5"/>
      <c r="AG1337" s="9">
        <f t="shared" si="20"/>
        <v>43289</v>
      </c>
    </row>
    <row r="1338" s="6" customFormat="1" spans="33:33">
      <c r="AG1338" s="10"/>
    </row>
    <row r="1339" s="6" customFormat="1" spans="33:33">
      <c r="AG1339" s="10"/>
    </row>
    <row r="1340" s="6" customFormat="1" spans="33:33">
      <c r="AG1340" s="10"/>
    </row>
    <row r="1341" s="6" customFormat="1" spans="33:33">
      <c r="AG1341" s="10"/>
    </row>
    <row r="1342" s="6" customFormat="1" spans="33:33">
      <c r="AG1342" s="10"/>
    </row>
    <row r="1343" s="6" customFormat="1" spans="33:33">
      <c r="AG1343" s="10"/>
    </row>
    <row r="1344" s="6" customFormat="1" spans="33:33">
      <c r="AG1344" s="10"/>
    </row>
    <row r="1345" s="6" customFormat="1" spans="33:33">
      <c r="AG1345" s="10"/>
    </row>
    <row r="1346" s="6" customFormat="1" spans="33:33">
      <c r="AG1346" s="10"/>
    </row>
    <row r="1347" s="6" customFormat="1" spans="33:33">
      <c r="AG1347" s="10"/>
    </row>
    <row r="1348" s="6" customFormat="1" spans="33:33">
      <c r="AG1348" s="10"/>
    </row>
    <row r="1349" s="6" customFormat="1" spans="33:33">
      <c r="AG1349" s="10"/>
    </row>
    <row r="1350" s="6" customFormat="1" spans="33:33">
      <c r="AG1350" s="10"/>
    </row>
    <row r="1351" s="6" customFormat="1" spans="33:33">
      <c r="AG1351" s="10"/>
    </row>
    <row r="1352" s="6" customFormat="1" spans="33:33">
      <c r="AG1352" s="10"/>
    </row>
    <row r="1353" s="6" customFormat="1" spans="33:33">
      <c r="AG1353" s="10"/>
    </row>
    <row r="1354" s="6" customFormat="1" spans="33:33">
      <c r="AG1354" s="10"/>
    </row>
    <row r="1355" s="6" customFormat="1" spans="33:33">
      <c r="AG1355" s="10"/>
    </row>
    <row r="1356" s="6" customFormat="1" spans="33:33">
      <c r="AG1356" s="10"/>
    </row>
    <row r="1357" s="6" customFormat="1" spans="33:33">
      <c r="AG1357" s="10"/>
    </row>
    <row r="1358" s="6" customFormat="1" spans="33:33">
      <c r="AG1358" s="10"/>
    </row>
    <row r="1359" s="6" customFormat="1" spans="33:33">
      <c r="AG1359" s="10"/>
    </row>
    <row r="1360" s="6" customFormat="1" spans="33:33">
      <c r="AG1360" s="10"/>
    </row>
    <row r="1361" s="6" customFormat="1" spans="33:33">
      <c r="AG1361" s="10"/>
    </row>
    <row r="1362" s="6" customFormat="1" spans="33:33">
      <c r="AG1362" s="10"/>
    </row>
    <row r="1363" s="6" customFormat="1" spans="33:33">
      <c r="AG1363" s="10"/>
    </row>
    <row r="1364" s="6" customFormat="1" spans="33:33">
      <c r="AG1364" s="10"/>
    </row>
    <row r="1365" s="6" customFormat="1" spans="33:33">
      <c r="AG1365" s="10"/>
    </row>
    <row r="1366" s="6" customFormat="1" spans="33:33">
      <c r="AG1366" s="10"/>
    </row>
    <row r="1367" s="6" customFormat="1" spans="33:33">
      <c r="AG1367" s="10"/>
    </row>
    <row r="1368" s="6" customFormat="1" spans="33:33">
      <c r="AG1368" s="10"/>
    </row>
    <row r="1369" s="6" customFormat="1" spans="33:33">
      <c r="AG1369" s="10"/>
    </row>
    <row r="1370" s="6" customFormat="1" spans="33:33">
      <c r="AG1370" s="10"/>
    </row>
    <row r="1371" s="6" customFormat="1" spans="33:33">
      <c r="AG1371" s="10"/>
    </row>
    <row r="1372" s="6" customFormat="1" spans="33:33">
      <c r="AG1372" s="10"/>
    </row>
    <row r="1373" s="6" customFormat="1" spans="33:33">
      <c r="AG1373" s="10"/>
    </row>
    <row r="1374" s="6" customFormat="1" spans="33:33">
      <c r="AG1374" s="10"/>
    </row>
    <row r="1375" s="6" customFormat="1" spans="33:33">
      <c r="AG1375" s="10"/>
    </row>
    <row r="1376" s="6" customFormat="1" spans="33:33">
      <c r="AG1376" s="10"/>
    </row>
    <row r="1377" s="6" customFormat="1" spans="33:33">
      <c r="AG1377" s="10"/>
    </row>
    <row r="1378" s="6" customFormat="1" spans="33:33">
      <c r="AG1378" s="10"/>
    </row>
    <row r="1379" s="6" customFormat="1" spans="33:33">
      <c r="AG1379" s="10"/>
    </row>
    <row r="1380" s="6" customFormat="1" spans="33:33">
      <c r="AG1380" s="10"/>
    </row>
    <row r="1381" s="6" customFormat="1" spans="33:33">
      <c r="AG1381" s="10"/>
    </row>
    <row r="1382" s="6" customFormat="1" spans="33:33">
      <c r="AG1382" s="10"/>
    </row>
    <row r="1383" spans="33:33">
      <c r="AG1383" s="10"/>
    </row>
    <row r="1384" spans="33:33">
      <c r="AG1384" s="10"/>
    </row>
    <row r="1385" spans="33:33">
      <c r="AG1385" s="10"/>
    </row>
    <row r="1386" spans="33:33">
      <c r="AG1386" s="10"/>
    </row>
    <row r="1387" spans="33:33">
      <c r="AG1387" s="10"/>
    </row>
    <row r="1388" spans="33:33">
      <c r="AG1388" s="10"/>
    </row>
    <row r="1389" spans="33:33">
      <c r="AG1389" s="10"/>
    </row>
    <row r="1390" spans="33:33">
      <c r="AG1390" s="10"/>
    </row>
    <row r="1391" spans="33:33">
      <c r="AG1391" s="10"/>
    </row>
    <row r="1392" spans="33:33">
      <c r="AG1392" s="10"/>
    </row>
    <row r="1393" spans="33:33">
      <c r="AG1393" s="10"/>
    </row>
    <row r="1394" spans="33:33">
      <c r="AG1394" s="10"/>
    </row>
    <row r="1395" spans="33:33">
      <c r="AG1395" s="10"/>
    </row>
    <row r="1396" spans="33:33">
      <c r="AG1396" s="10"/>
    </row>
    <row r="1397" spans="33:33">
      <c r="AG1397" s="10"/>
    </row>
    <row r="1398" spans="33:33">
      <c r="AG1398" s="10"/>
    </row>
    <row r="1399" spans="33:33">
      <c r="AG1399" s="10"/>
    </row>
    <row r="1400" spans="33:33">
      <c r="AG1400" s="10"/>
    </row>
    <row r="1401" spans="33:33">
      <c r="AG1401" s="10"/>
    </row>
    <row r="1402" spans="33:33">
      <c r="AG1402" s="10"/>
    </row>
    <row r="1403" spans="33:33">
      <c r="AG1403" s="10"/>
    </row>
    <row r="1404" spans="33:33">
      <c r="AG1404" s="10"/>
    </row>
    <row r="1405" spans="33:33">
      <c r="AG1405" s="10"/>
    </row>
    <row r="1406" spans="33:33">
      <c r="AG1406" s="10"/>
    </row>
    <row r="1407" spans="33:33">
      <c r="AG1407" s="10"/>
    </row>
    <row r="1408" spans="33:33">
      <c r="AG1408" s="10"/>
    </row>
    <row r="1409" spans="33:33">
      <c r="AG1409" s="10"/>
    </row>
    <row r="1410" spans="33:33">
      <c r="AG1410" s="10"/>
    </row>
    <row r="1411" spans="33:33">
      <c r="AG1411" s="10"/>
    </row>
    <row r="1412" spans="33:33">
      <c r="AG1412" s="10"/>
    </row>
    <row r="1413" spans="33:33">
      <c r="AG1413" s="10"/>
    </row>
    <row r="1414" spans="33:33">
      <c r="AG1414" s="10"/>
    </row>
    <row r="1415" spans="33:33">
      <c r="AG1415" s="10"/>
    </row>
    <row r="1416" spans="33:33">
      <c r="AG1416" s="10"/>
    </row>
    <row r="1417" spans="33:33">
      <c r="AG1417" s="10"/>
    </row>
    <row r="1418" spans="33:33">
      <c r="AG1418" s="10"/>
    </row>
    <row r="1419" spans="33:33">
      <c r="AG1419" s="10"/>
    </row>
    <row r="1420" spans="33:33">
      <c r="AG1420" s="10"/>
    </row>
    <row r="1421" spans="33:33">
      <c r="AG1421" s="10"/>
    </row>
    <row r="1422" spans="33:33">
      <c r="AG1422" s="10"/>
    </row>
    <row r="1423" spans="33:33">
      <c r="AG1423" s="10"/>
    </row>
    <row r="1424" spans="33:33">
      <c r="AG1424" s="10"/>
    </row>
    <row r="1425" spans="33:33">
      <c r="AG1425" s="10"/>
    </row>
    <row r="1426" spans="33:33">
      <c r="AG1426" s="10"/>
    </row>
    <row r="1427" spans="33:33">
      <c r="AG1427" s="10"/>
    </row>
    <row r="1428" spans="33:33">
      <c r="AG1428" s="10"/>
    </row>
    <row r="1429" spans="33:33">
      <c r="AG1429" s="10"/>
    </row>
    <row r="1430" spans="33:33">
      <c r="AG1430" s="10"/>
    </row>
    <row r="1431" spans="33:33">
      <c r="AG1431" s="10"/>
    </row>
    <row r="1432" spans="33:33">
      <c r="AG1432" s="10"/>
    </row>
    <row r="1433" spans="33:33">
      <c r="AG1433" s="10"/>
    </row>
    <row r="1434" spans="33:33">
      <c r="AG1434" s="10"/>
    </row>
    <row r="1435" spans="33:33">
      <c r="AG1435" s="10"/>
    </row>
    <row r="1436" spans="33:33">
      <c r="AG1436" s="10"/>
    </row>
    <row r="1437" spans="33:33">
      <c r="AG1437" s="10"/>
    </row>
    <row r="1438" spans="33:33">
      <c r="AG1438" s="10"/>
    </row>
    <row r="1439" spans="33:33">
      <c r="AG1439" s="10"/>
    </row>
    <row r="1440" spans="33:33">
      <c r="AG1440" s="10"/>
    </row>
    <row r="1441" spans="33:33">
      <c r="AG1441" s="10"/>
    </row>
    <row r="1442" spans="33:33">
      <c r="AG1442" s="10"/>
    </row>
    <row r="1443" spans="33:33">
      <c r="AG1443" s="10"/>
    </row>
    <row r="1444" spans="33:33">
      <c r="AG1444" s="10"/>
    </row>
    <row r="1445" spans="33:33">
      <c r="AG1445" s="10"/>
    </row>
    <row r="1446" spans="33:33">
      <c r="AG1446" s="10"/>
    </row>
    <row r="1447" spans="33:33">
      <c r="AG1447" s="10"/>
    </row>
    <row r="1448" spans="33:33">
      <c r="AG1448" s="10"/>
    </row>
    <row r="1449" spans="33:33">
      <c r="AG1449" s="10"/>
    </row>
    <row r="1450" spans="33:33">
      <c r="AG1450" s="10"/>
    </row>
    <row r="1451" spans="33:33">
      <c r="AG1451" s="10"/>
    </row>
    <row r="1452" spans="33:33">
      <c r="AG1452" s="10"/>
    </row>
    <row r="1453" spans="33:33">
      <c r="AG1453" s="10"/>
    </row>
    <row r="1454" spans="33:33">
      <c r="AG1454" s="10"/>
    </row>
    <row r="1455" spans="33:33">
      <c r="AG1455" s="10"/>
    </row>
    <row r="1456" spans="33:33">
      <c r="AG1456" s="10"/>
    </row>
    <row r="1457" spans="33:33">
      <c r="AG1457" s="10"/>
    </row>
    <row r="1458" spans="33:33">
      <c r="AG1458" s="10"/>
    </row>
    <row r="1459" spans="33:33">
      <c r="AG1459" s="10"/>
    </row>
    <row r="1460" spans="33:33">
      <c r="AG1460" s="10"/>
    </row>
    <row r="1461" spans="33:33">
      <c r="AG1461" s="10"/>
    </row>
    <row r="1462" spans="33:33">
      <c r="AG1462" s="10"/>
    </row>
    <row r="1463" spans="33:33">
      <c r="AG1463" s="10"/>
    </row>
    <row r="1464" spans="33:33">
      <c r="AG1464" s="10"/>
    </row>
    <row r="1465" spans="33:33">
      <c r="AG1465" s="10"/>
    </row>
    <row r="1466" spans="33:33">
      <c r="AG1466" s="10"/>
    </row>
    <row r="1467" spans="33:33">
      <c r="AG1467" s="10"/>
    </row>
    <row r="1468" spans="33:33">
      <c r="AG1468" s="10"/>
    </row>
    <row r="1469" spans="33:33">
      <c r="AG1469" s="10"/>
    </row>
    <row r="1470" spans="33:33">
      <c r="AG1470" s="10"/>
    </row>
    <row r="1471" spans="33:33">
      <c r="AG1471" s="10"/>
    </row>
    <row r="1472" spans="33:33">
      <c r="AG1472" s="10"/>
    </row>
    <row r="1473" spans="33:33">
      <c r="AG1473" s="10"/>
    </row>
    <row r="1474" spans="33:33">
      <c r="AG1474" s="10"/>
    </row>
    <row r="1475" spans="33:33">
      <c r="AG1475" s="10"/>
    </row>
    <row r="1476" spans="33:33">
      <c r="AG1476" s="10"/>
    </row>
    <row r="1477" spans="33:33">
      <c r="AG1477" s="10"/>
    </row>
    <row r="1478" spans="33:33">
      <c r="AG1478" s="10"/>
    </row>
    <row r="1479" spans="33:33">
      <c r="AG1479" s="10"/>
    </row>
    <row r="1480" spans="33:33">
      <c r="AG1480" s="10"/>
    </row>
    <row r="1481" spans="33:33">
      <c r="AG1481" s="10"/>
    </row>
    <row r="1482" spans="33:33">
      <c r="AG1482" s="10"/>
    </row>
    <row r="1483" spans="33:33">
      <c r="AG1483" s="10"/>
    </row>
    <row r="1484" spans="33:33">
      <c r="AG1484" s="10"/>
    </row>
    <row r="1485" spans="33:33">
      <c r="AG1485" s="10"/>
    </row>
    <row r="1486" spans="33:33">
      <c r="AG1486" s="10"/>
    </row>
    <row r="1487" spans="33:33">
      <c r="AG1487" s="10"/>
    </row>
    <row r="1488" spans="33:33">
      <c r="AG1488" s="10"/>
    </row>
    <row r="1489" spans="33:33">
      <c r="AG1489" s="10"/>
    </row>
    <row r="1490" spans="33:33">
      <c r="AG1490" s="10"/>
    </row>
    <row r="1491" spans="33:33">
      <c r="AG1491" s="10"/>
    </row>
    <row r="1492" spans="33:33">
      <c r="AG1492" s="10"/>
    </row>
    <row r="1493" spans="33:33">
      <c r="AG1493" s="10"/>
    </row>
    <row r="1494" spans="33:33">
      <c r="AG1494" s="10"/>
    </row>
    <row r="1495" spans="33:33">
      <c r="AG1495" s="10"/>
    </row>
    <row r="1496" spans="33:33">
      <c r="AG1496" s="10"/>
    </row>
    <row r="1497" spans="33:33">
      <c r="AG1497" s="10"/>
    </row>
    <row r="1498" spans="33:33">
      <c r="AG1498" s="10"/>
    </row>
    <row r="1499" spans="33:33">
      <c r="AG1499" s="10"/>
    </row>
    <row r="1500" spans="33:33">
      <c r="AG1500" s="10"/>
    </row>
    <row r="1501" spans="33:33">
      <c r="AG1501" s="10"/>
    </row>
    <row r="1502" spans="33:33">
      <c r="AG1502" s="10"/>
    </row>
    <row r="1503" spans="33:33">
      <c r="AG1503" s="10"/>
    </row>
    <row r="1504" spans="33:33">
      <c r="AG1504" s="10"/>
    </row>
    <row r="1505" spans="33:33">
      <c r="AG1505" s="10"/>
    </row>
    <row r="1506" spans="33:33">
      <c r="AG1506" s="10"/>
    </row>
    <row r="1507" spans="33:33">
      <c r="AG1507" s="10"/>
    </row>
    <row r="1508" spans="33:33">
      <c r="AG1508" s="10"/>
    </row>
    <row r="1509" spans="33:33">
      <c r="AG1509" s="10"/>
    </row>
    <row r="1510" spans="33:33">
      <c r="AG1510" s="10"/>
    </row>
    <row r="1511" spans="33:33">
      <c r="AG1511" s="10"/>
    </row>
    <row r="1512" spans="33:33">
      <c r="AG1512" s="10"/>
    </row>
    <row r="1513" spans="33:33">
      <c r="AG1513" s="10"/>
    </row>
    <row r="1514" spans="33:33">
      <c r="AG1514" s="10"/>
    </row>
    <row r="1515" spans="33:33">
      <c r="AG1515" s="10"/>
    </row>
    <row r="1516" spans="33:33">
      <c r="AG1516" s="10"/>
    </row>
    <row r="1517" spans="33:33">
      <c r="AG1517" s="10"/>
    </row>
    <row r="1518" spans="33:33">
      <c r="AG1518" s="10"/>
    </row>
    <row r="1519" spans="33:33">
      <c r="AG1519" s="10"/>
    </row>
    <row r="1520" spans="33:33">
      <c r="AG1520" s="10"/>
    </row>
    <row r="1521" spans="33:33">
      <c r="AG1521" s="10"/>
    </row>
    <row r="1522" spans="33:33">
      <c r="AG1522" s="10"/>
    </row>
    <row r="1523" spans="33:33">
      <c r="AG1523" s="10"/>
    </row>
    <row r="1524" spans="33:33">
      <c r="AG1524" s="10"/>
    </row>
    <row r="1525" spans="33:33">
      <c r="AG1525" s="10"/>
    </row>
    <row r="1526" spans="33:33">
      <c r="AG1526" s="10"/>
    </row>
    <row r="1527" spans="33:33">
      <c r="AG1527" s="10"/>
    </row>
    <row r="1528" spans="33:33">
      <c r="AG1528" s="10"/>
    </row>
    <row r="1529" spans="33:33">
      <c r="AG1529" s="10"/>
    </row>
    <row r="1530" spans="33:33">
      <c r="AG1530" s="10"/>
    </row>
    <row r="1531" spans="33:33">
      <c r="AG1531" s="10"/>
    </row>
    <row r="1532" spans="33:33">
      <c r="AG1532" s="10"/>
    </row>
    <row r="1533" spans="33:33">
      <c r="AG1533" s="10"/>
    </row>
    <row r="1534" spans="33:33">
      <c r="AG1534" s="10"/>
    </row>
    <row r="1535" spans="33:33">
      <c r="AG1535" s="10"/>
    </row>
    <row r="1536" spans="33:33">
      <c r="AG1536" s="10"/>
    </row>
    <row r="1537" spans="33:33">
      <c r="AG1537" s="10"/>
    </row>
    <row r="1538" spans="33:33">
      <c r="AG1538" s="10"/>
    </row>
    <row r="1539" spans="33:33">
      <c r="AG1539" s="10"/>
    </row>
    <row r="1540" spans="33:33">
      <c r="AG1540" s="10"/>
    </row>
    <row r="1541" spans="33:33">
      <c r="AG1541" s="10"/>
    </row>
    <row r="1542" spans="33:33">
      <c r="AG1542" s="10"/>
    </row>
    <row r="1543" spans="33:33">
      <c r="AG1543" s="10"/>
    </row>
    <row r="1544" spans="33:33">
      <c r="AG1544" s="10"/>
    </row>
    <row r="1545" spans="33:33">
      <c r="AG1545" s="10"/>
    </row>
    <row r="1546" spans="33:33">
      <c r="AG1546" s="10"/>
    </row>
    <row r="1547" spans="33:33">
      <c r="AG1547" s="10"/>
    </row>
    <row r="1548" spans="33:33">
      <c r="AG1548" s="10"/>
    </row>
    <row r="1549" spans="33:33">
      <c r="AG1549" s="10"/>
    </row>
    <row r="1550" spans="33:33">
      <c r="AG1550" s="10"/>
    </row>
    <row r="1551" spans="33:33">
      <c r="AG1551" s="10"/>
    </row>
    <row r="1552" spans="33:33">
      <c r="AG1552" s="10"/>
    </row>
    <row r="1553" spans="33:33">
      <c r="AG1553" s="10"/>
    </row>
    <row r="1554" spans="33:33">
      <c r="AG1554" s="10"/>
    </row>
    <row r="1555" spans="33:33">
      <c r="AG1555" s="10"/>
    </row>
    <row r="1556" spans="33:33">
      <c r="AG1556" s="10"/>
    </row>
    <row r="1557" spans="33:33">
      <c r="AG1557" s="10"/>
    </row>
    <row r="1558" spans="33:33">
      <c r="AG1558" s="10"/>
    </row>
    <row r="1559" spans="33:33">
      <c r="AG1559" s="10"/>
    </row>
    <row r="1560" spans="33:33">
      <c r="AG1560" s="10"/>
    </row>
    <row r="1561" spans="33:33">
      <c r="AG1561" s="10"/>
    </row>
    <row r="1562" spans="33:33">
      <c r="AG1562" s="10"/>
    </row>
    <row r="1563" spans="33:33">
      <c r="AG1563" s="10"/>
    </row>
    <row r="1564" spans="33:33">
      <c r="AG1564" s="10"/>
    </row>
    <row r="1565" spans="33:33">
      <c r="AG1565" s="10"/>
    </row>
    <row r="1566" spans="33:33">
      <c r="AG1566" s="10"/>
    </row>
    <row r="1567" spans="33:33">
      <c r="AG1567" s="10"/>
    </row>
    <row r="1568" spans="33:33">
      <c r="AG1568" s="10"/>
    </row>
    <row r="1569" spans="33:33">
      <c r="AG1569" s="10"/>
    </row>
    <row r="1570" spans="33:33">
      <c r="AG1570" s="10"/>
    </row>
    <row r="1571" spans="33:33">
      <c r="AG1571" s="10"/>
    </row>
    <row r="1572" spans="33:33">
      <c r="AG1572" s="10"/>
    </row>
    <row r="1573" spans="33:33">
      <c r="AG1573" s="10"/>
    </row>
    <row r="1574" spans="33:33">
      <c r="AG1574" s="10"/>
    </row>
    <row r="1575" spans="33:33">
      <c r="AG1575" s="10"/>
    </row>
    <row r="1576" spans="33:33">
      <c r="AG1576" s="10"/>
    </row>
    <row r="1577" spans="33:33">
      <c r="AG1577" s="10"/>
    </row>
    <row r="1578" spans="33:33">
      <c r="AG1578" s="10"/>
    </row>
    <row r="1579" spans="33:33">
      <c r="AG1579" s="10"/>
    </row>
    <row r="1580" spans="33:33">
      <c r="AG1580" s="10"/>
    </row>
    <row r="1581" spans="33:33">
      <c r="AG1581" s="10"/>
    </row>
    <row r="1582" spans="33:33">
      <c r="AG1582" s="10"/>
    </row>
    <row r="1583" spans="33:33">
      <c r="AG1583" s="10"/>
    </row>
    <row r="1584" spans="33:33">
      <c r="AG1584" s="10"/>
    </row>
    <row r="1585" spans="33:33">
      <c r="AG1585" s="10"/>
    </row>
    <row r="1586" spans="33:33">
      <c r="AG1586" s="10"/>
    </row>
    <row r="1587" spans="33:33">
      <c r="AG1587" s="10"/>
    </row>
    <row r="1588" spans="33:33">
      <c r="AG1588" s="10"/>
    </row>
    <row r="1589" spans="33:33">
      <c r="AG1589" s="10"/>
    </row>
    <row r="1590" spans="33:33">
      <c r="AG1590" s="10"/>
    </row>
    <row r="1591" spans="33:33">
      <c r="AG1591" s="10"/>
    </row>
    <row r="1592" spans="33:33">
      <c r="AG1592" s="10"/>
    </row>
    <row r="1593" spans="33:33">
      <c r="AG1593" s="10"/>
    </row>
    <row r="1594" spans="33:33">
      <c r="AG1594" s="10"/>
    </row>
    <row r="1595" spans="33:33">
      <c r="AG1595" s="10"/>
    </row>
    <row r="1596" spans="33:33">
      <c r="AG1596" s="10"/>
    </row>
    <row r="1597" spans="33:33">
      <c r="AG1597" s="10"/>
    </row>
    <row r="1598" spans="33:33">
      <c r="AG1598" s="10"/>
    </row>
    <row r="1599" spans="33:33">
      <c r="AG1599" s="10"/>
    </row>
    <row r="1600" spans="33:33">
      <c r="AG1600" s="10"/>
    </row>
    <row r="1601" spans="33:33">
      <c r="AG1601" s="10"/>
    </row>
    <row r="1602" spans="33:33">
      <c r="AG1602" s="10"/>
    </row>
    <row r="1603" spans="33:33">
      <c r="AG1603" s="10"/>
    </row>
    <row r="1604" spans="33:33">
      <c r="AG1604" s="10"/>
    </row>
    <row r="1605" spans="33:33">
      <c r="AG1605" s="10"/>
    </row>
    <row r="1606" spans="33:33">
      <c r="AG1606" s="10"/>
    </row>
    <row r="1607" spans="33:33">
      <c r="AG1607" s="10"/>
    </row>
    <row r="1608" spans="33:33">
      <c r="AG1608" s="10"/>
    </row>
    <row r="1609" spans="33:33">
      <c r="AG1609" s="10"/>
    </row>
    <row r="1610" spans="33:33">
      <c r="AG1610" s="10"/>
    </row>
    <row r="1611" spans="33:33">
      <c r="AG1611" s="10"/>
    </row>
    <row r="1612" spans="33:33">
      <c r="AG1612" s="10"/>
    </row>
    <row r="1613" spans="33:33">
      <c r="AG1613" s="10"/>
    </row>
    <row r="1614" spans="33:33">
      <c r="AG1614" s="10"/>
    </row>
    <row r="1615" spans="33:33">
      <c r="AG1615" s="10"/>
    </row>
    <row r="1616" spans="33:33">
      <c r="AG1616" s="10"/>
    </row>
    <row r="1617" spans="33:33">
      <c r="AG1617" s="10"/>
    </row>
    <row r="1618" spans="33:33">
      <c r="AG1618" s="10"/>
    </row>
    <row r="1619" spans="33:33">
      <c r="AG1619" s="10"/>
    </row>
    <row r="1620" spans="33:33">
      <c r="AG1620" s="10"/>
    </row>
    <row r="1621" spans="33:33">
      <c r="AG1621" s="10"/>
    </row>
    <row r="1622" spans="33:33">
      <c r="AG1622" s="10"/>
    </row>
    <row r="1623" spans="33:33">
      <c r="AG1623" s="10"/>
    </row>
    <row r="1624" s="7" customFormat="1" spans="33:33">
      <c r="AG1624" s="10"/>
    </row>
    <row r="1625" s="7" customFormat="1" spans="33:33">
      <c r="AG1625" s="10"/>
    </row>
    <row r="1626" s="7" customFormat="1" spans="33:33">
      <c r="AG1626" s="10"/>
    </row>
    <row r="1627" s="7" customFormat="1" spans="33:33">
      <c r="AG1627" s="10"/>
    </row>
    <row r="1628" s="7" customFormat="1" spans="33:33">
      <c r="AG1628" s="10"/>
    </row>
    <row r="1629" s="7" customFormat="1" spans="33:33">
      <c r="AG1629" s="10"/>
    </row>
    <row r="1630" s="7" customFormat="1" spans="33:33">
      <c r="AG1630" s="10"/>
    </row>
    <row r="1631" s="7" customFormat="1" spans="33:33">
      <c r="AG1631" s="10"/>
    </row>
    <row r="1632" s="7" customFormat="1" spans="33:33">
      <c r="AG1632" s="10"/>
    </row>
    <row r="1633" s="7" customFormat="1" spans="33:33">
      <c r="AG1633" s="10"/>
    </row>
    <row r="1634" s="7" customFormat="1" spans="33:33">
      <c r="AG1634" s="10"/>
    </row>
    <row r="1635" s="7" customFormat="1" spans="33:33">
      <c r="AG1635" s="10"/>
    </row>
    <row r="1636" s="7" customFormat="1" spans="33:33">
      <c r="AG1636" s="10"/>
    </row>
    <row r="1637" s="7" customFormat="1" spans="33:33">
      <c r="AG1637" s="10"/>
    </row>
    <row r="1638" s="7" customFormat="1" spans="33:33">
      <c r="AG1638" s="10"/>
    </row>
    <row r="1639" s="7" customFormat="1" spans="33:33">
      <c r="AG1639" s="10"/>
    </row>
    <row r="1640" s="7" customFormat="1" spans="33:33">
      <c r="AG1640" s="10"/>
    </row>
    <row r="1641" s="7" customFormat="1" spans="33:33">
      <c r="AG1641" s="10"/>
    </row>
    <row r="1642" s="7" customFormat="1" spans="33:33">
      <c r="AG1642" s="10"/>
    </row>
    <row r="1643" s="7" customFormat="1" spans="33:33">
      <c r="AG1643" s="10"/>
    </row>
    <row r="1644" s="7" customFormat="1" spans="33:33">
      <c r="AG1644" s="10"/>
    </row>
    <row r="1645" s="7" customFormat="1" spans="33:33">
      <c r="AG1645" s="10"/>
    </row>
    <row r="1646" s="7" customFormat="1" spans="33:33">
      <c r="AG1646" s="10"/>
    </row>
    <row r="1647" s="7" customFormat="1" spans="33:33">
      <c r="AG1647" s="10"/>
    </row>
    <row r="1648" s="7" customFormat="1" spans="33:33">
      <c r="AG1648" s="10"/>
    </row>
    <row r="1649" s="7" customFormat="1" spans="33:33">
      <c r="AG1649" s="10"/>
    </row>
    <row r="1650" s="7" customFormat="1" spans="33:33">
      <c r="AG1650" s="10"/>
    </row>
    <row r="1651" s="7" customFormat="1" spans="33:33">
      <c r="AG1651" s="10"/>
    </row>
    <row r="1652" s="7" customFormat="1" spans="33:33">
      <c r="AG1652" s="10"/>
    </row>
    <row r="1653" s="7" customFormat="1" spans="33:33">
      <c r="AG1653" s="10"/>
    </row>
    <row r="1654" s="7" customFormat="1" spans="33:33">
      <c r="AG1654" s="10"/>
    </row>
    <row r="1655" s="7" customFormat="1" spans="33:33">
      <c r="AG1655" s="10"/>
    </row>
    <row r="1656" s="7" customFormat="1" spans="33:33">
      <c r="AG1656" s="10"/>
    </row>
    <row r="1657" s="7" customFormat="1" spans="33:33">
      <c r="AG1657" s="10"/>
    </row>
    <row r="1658" s="7" customFormat="1" spans="33:33">
      <c r="AG1658" s="10"/>
    </row>
    <row r="1659" s="7" customFormat="1" spans="33:33">
      <c r="AG1659" s="10"/>
    </row>
    <row r="1660" s="7" customFormat="1" spans="33:33">
      <c r="AG1660" s="10"/>
    </row>
    <row r="1661" s="7" customFormat="1" spans="33:33">
      <c r="AG1661" s="10"/>
    </row>
    <row r="1662" s="7" customFormat="1" spans="33:33">
      <c r="AG1662" s="10"/>
    </row>
    <row r="1663" s="7" customFormat="1" spans="33:33">
      <c r="AG1663" s="10"/>
    </row>
    <row r="1664" s="7" customFormat="1" spans="33:33">
      <c r="AG1664" s="10"/>
    </row>
    <row r="1665" s="7" customFormat="1" spans="33:33">
      <c r="AG1665" s="10"/>
    </row>
    <row r="1666" s="7" customFormat="1" spans="33:33">
      <c r="AG1666" s="10"/>
    </row>
    <row r="1667" s="7" customFormat="1" spans="33:33">
      <c r="AG1667" s="10"/>
    </row>
    <row r="1668" s="7" customFormat="1" spans="33:33">
      <c r="AG1668" s="10"/>
    </row>
    <row r="1669" s="7" customFormat="1" spans="33:33">
      <c r="AG1669" s="10"/>
    </row>
    <row r="1670" s="7" customFormat="1" spans="33:33">
      <c r="AG1670" s="10"/>
    </row>
    <row r="1671" s="7" customFormat="1" spans="33:33">
      <c r="AG1671" s="10"/>
    </row>
    <row r="1672" s="7" customFormat="1" spans="33:33">
      <c r="AG1672" s="10"/>
    </row>
    <row r="1673" s="7" customFormat="1" spans="33:33">
      <c r="AG1673" s="10"/>
    </row>
    <row r="1674" s="7" customFormat="1" spans="33:33">
      <c r="AG1674" s="10"/>
    </row>
    <row r="1675" s="7" customFormat="1" spans="33:33">
      <c r="AG1675" s="10"/>
    </row>
    <row r="1676" s="7" customFormat="1" spans="33:33">
      <c r="AG1676" s="10"/>
    </row>
    <row r="1677" s="7" customFormat="1" spans="33:33">
      <c r="AG1677" s="10"/>
    </row>
    <row r="1678" s="7" customFormat="1" spans="33:33">
      <c r="AG1678" s="10"/>
    </row>
    <row r="1679" s="7" customFormat="1" spans="33:33">
      <c r="AG1679" s="10"/>
    </row>
    <row r="1680" s="7" customFormat="1" spans="33:33">
      <c r="AG1680" s="10"/>
    </row>
    <row r="1681" s="7" customFormat="1" spans="33:33">
      <c r="AG1681" s="10"/>
    </row>
    <row r="1682" s="7" customFormat="1" spans="33:33">
      <c r="AG1682" s="10"/>
    </row>
    <row r="1683" s="7" customFormat="1" spans="33:33">
      <c r="AG1683" s="10"/>
    </row>
    <row r="1684" s="7" customFormat="1" spans="33:33">
      <c r="AG1684" s="10"/>
    </row>
    <row r="1685" s="7" customFormat="1" spans="33:33">
      <c r="AG1685" s="10"/>
    </row>
    <row r="1686" s="7" customFormat="1" spans="33:33">
      <c r="AG1686" s="10"/>
    </row>
    <row r="1687" s="7" customFormat="1" spans="33:33">
      <c r="AG1687" s="10"/>
    </row>
    <row r="1688" s="7" customFormat="1" spans="33:33">
      <c r="AG1688" s="10"/>
    </row>
    <row r="1689" s="7" customFormat="1" spans="33:33">
      <c r="AG1689" s="10"/>
    </row>
    <row r="1690" s="7" customFormat="1" spans="33:33">
      <c r="AG1690" s="10"/>
    </row>
    <row r="1691" s="7" customFormat="1" spans="33:33">
      <c r="AG1691" s="10"/>
    </row>
    <row r="1692" s="7" customFormat="1" spans="33:33">
      <c r="AG1692" s="10"/>
    </row>
    <row r="1693" s="7" customFormat="1" spans="33:33">
      <c r="AG1693" s="10"/>
    </row>
    <row r="1694" s="7" customFormat="1" spans="33:33">
      <c r="AG1694" s="10"/>
    </row>
    <row r="1695" s="7" customFormat="1" spans="33:33">
      <c r="AG1695" s="10"/>
    </row>
    <row r="1696" s="7" customFormat="1" spans="33:33">
      <c r="AG1696" s="10"/>
    </row>
    <row r="1697" s="7" customFormat="1" spans="33:33">
      <c r="AG1697" s="10"/>
    </row>
    <row r="1698" s="7" customFormat="1" spans="33:33">
      <c r="AG1698" s="10"/>
    </row>
    <row r="1699" s="7" customFormat="1" spans="33:33">
      <c r="AG1699" s="10"/>
    </row>
    <row r="1700" s="7" customFormat="1" spans="33:33">
      <c r="AG1700" s="10"/>
    </row>
    <row r="1701" s="7" customFormat="1" spans="33:33">
      <c r="AG1701" s="10"/>
    </row>
    <row r="1702" s="7" customFormat="1" spans="33:33">
      <c r="AG1702" s="10"/>
    </row>
    <row r="1703" s="7" customFormat="1" spans="33:33">
      <c r="AG1703" s="10"/>
    </row>
    <row r="1704" s="7" customFormat="1" spans="33:33">
      <c r="AG1704" s="10"/>
    </row>
    <row r="1705" s="7" customFormat="1" spans="33:33">
      <c r="AG1705" s="10"/>
    </row>
    <row r="1706" s="7" customFormat="1" spans="33:33">
      <c r="AG1706" s="10"/>
    </row>
    <row r="1707" s="7" customFormat="1" spans="33:33">
      <c r="AG1707" s="10"/>
    </row>
    <row r="1708" s="7" customFormat="1" spans="33:33">
      <c r="AG1708" s="10"/>
    </row>
    <row r="1709" s="7" customFormat="1" spans="33:33">
      <c r="AG1709" s="10"/>
    </row>
    <row r="1710" s="7" customFormat="1" spans="33:33">
      <c r="AG1710" s="10"/>
    </row>
    <row r="1711" s="7" customFormat="1" spans="33:33">
      <c r="AG1711" s="10"/>
    </row>
    <row r="1712" s="7" customFormat="1" spans="33:33">
      <c r="AG1712" s="10"/>
    </row>
    <row r="1713" s="7" customFormat="1" spans="33:33">
      <c r="AG1713" s="10"/>
    </row>
    <row r="1714" s="7" customFormat="1" spans="33:33">
      <c r="AG1714" s="10"/>
    </row>
    <row r="1715" s="7" customFormat="1" spans="33:33">
      <c r="AG1715" s="10"/>
    </row>
    <row r="1716" s="7" customFormat="1" spans="33:33">
      <c r="AG1716" s="10"/>
    </row>
    <row r="1717" s="7" customFormat="1" spans="33:33">
      <c r="AG1717" s="10"/>
    </row>
    <row r="1718" s="7" customFormat="1" spans="33:33">
      <c r="AG1718" s="10"/>
    </row>
    <row r="1719" s="7" customFormat="1" spans="33:33">
      <c r="AG1719" s="10"/>
    </row>
    <row r="1720" s="7" customFormat="1" spans="33:33">
      <c r="AG1720" s="10"/>
    </row>
    <row r="1721" s="7" customFormat="1" spans="33:33">
      <c r="AG1721" s="10"/>
    </row>
    <row r="1722" s="7" customFormat="1" spans="33:33">
      <c r="AG1722" s="10"/>
    </row>
    <row r="1723" s="7" customFormat="1" spans="33:33">
      <c r="AG1723" s="10"/>
    </row>
    <row r="1724" s="7" customFormat="1" spans="33:33">
      <c r="AG1724" s="10"/>
    </row>
    <row r="1725" s="7" customFormat="1" spans="33:33">
      <c r="AG1725" s="10"/>
    </row>
    <row r="1726" s="7" customFormat="1" spans="33:33">
      <c r="AG1726" s="10"/>
    </row>
    <row r="1727" s="7" customFormat="1" spans="33:33">
      <c r="AG1727" s="10"/>
    </row>
    <row r="1728" s="7" customFormat="1" spans="33:33">
      <c r="AG1728" s="10"/>
    </row>
    <row r="1729" s="7" customFormat="1" spans="33:33">
      <c r="AG1729" s="10"/>
    </row>
    <row r="1730" s="7" customFormat="1" spans="33:33">
      <c r="AG1730" s="10"/>
    </row>
    <row r="1731" s="7" customFormat="1" spans="33:33">
      <c r="AG1731" s="10"/>
    </row>
    <row r="1732" s="7" customFormat="1" spans="33:33">
      <c r="AG1732" s="10"/>
    </row>
    <row r="1733" s="7" customFormat="1" spans="33:33">
      <c r="AG1733" s="10"/>
    </row>
    <row r="1734" s="7" customFormat="1" spans="33:33">
      <c r="AG1734" s="10"/>
    </row>
    <row r="1735" s="7" customFormat="1" spans="33:33">
      <c r="AG1735" s="10"/>
    </row>
    <row r="1736" s="7" customFormat="1" spans="33:33">
      <c r="AG1736" s="10"/>
    </row>
    <row r="1737" s="7" customFormat="1" spans="33:33">
      <c r="AG1737" s="10"/>
    </row>
    <row r="1738" s="7" customFormat="1" spans="33:33">
      <c r="AG1738" s="10"/>
    </row>
    <row r="1739" s="7" customFormat="1" spans="33:33">
      <c r="AG1739" s="10"/>
    </row>
    <row r="1740" s="7" customFormat="1" spans="33:33">
      <c r="AG1740" s="10"/>
    </row>
    <row r="1741" s="7" customFormat="1" spans="33:33">
      <c r="AG1741" s="10"/>
    </row>
    <row r="1742" s="7" customFormat="1" spans="33:33">
      <c r="AG1742" s="10"/>
    </row>
    <row r="1743" s="7" customFormat="1" spans="33:33">
      <c r="AG1743" s="10"/>
    </row>
    <row r="1744" s="7" customFormat="1" spans="33:33">
      <c r="AG1744" s="10"/>
    </row>
    <row r="1745" s="7" customFormat="1" spans="33:33">
      <c r="AG1745" s="10"/>
    </row>
    <row r="1746" s="7" customFormat="1" spans="33:33">
      <c r="AG1746" s="10"/>
    </row>
    <row r="1747" s="7" customFormat="1" spans="33:33">
      <c r="AG1747" s="10"/>
    </row>
    <row r="1748" s="7" customFormat="1" spans="33:33">
      <c r="AG1748" s="10"/>
    </row>
    <row r="1749" s="7" customFormat="1" spans="33:33">
      <c r="AG1749" s="10"/>
    </row>
    <row r="1750" s="7" customFormat="1" spans="33:33">
      <c r="AG1750" s="10"/>
    </row>
    <row r="1751" s="7" customFormat="1" spans="33:33">
      <c r="AG1751" s="10"/>
    </row>
    <row r="1752" s="7" customFormat="1" spans="33:33">
      <c r="AG1752" s="10"/>
    </row>
    <row r="1753" s="7" customFormat="1" spans="33:33">
      <c r="AG1753" s="10"/>
    </row>
    <row r="1754" s="7" customFormat="1" spans="33:33">
      <c r="AG1754" s="10"/>
    </row>
    <row r="1755" s="7" customFormat="1" spans="33:33">
      <c r="AG1755" s="10"/>
    </row>
    <row r="1756" s="7" customFormat="1" spans="33:33">
      <c r="AG1756" s="10"/>
    </row>
    <row r="1757" s="7" customFormat="1" spans="33:33">
      <c r="AG1757" s="10"/>
    </row>
    <row r="1758" s="7" customFormat="1" spans="33:33">
      <c r="AG1758" s="10"/>
    </row>
    <row r="1759" s="7" customFormat="1" spans="33:33">
      <c r="AG1759" s="10"/>
    </row>
    <row r="1760" s="7" customFormat="1" spans="33:33">
      <c r="AG1760" s="10"/>
    </row>
    <row r="1761" s="7" customFormat="1" spans="33:33">
      <c r="AG1761" s="10"/>
    </row>
    <row r="1762" s="7" customFormat="1" spans="33:33">
      <c r="AG1762" s="10"/>
    </row>
    <row r="1763" s="7" customFormat="1" spans="33:33">
      <c r="AG1763" s="10"/>
    </row>
    <row r="1764" s="7" customFormat="1" spans="33:33">
      <c r="AG1764" s="10"/>
    </row>
    <row r="1765" s="7" customFormat="1" spans="33:33">
      <c r="AG1765" s="10"/>
    </row>
    <row r="1766" s="7" customFormat="1" spans="33:33">
      <c r="AG1766" s="10"/>
    </row>
    <row r="1767" s="7" customFormat="1" spans="33:33">
      <c r="AG1767" s="10"/>
    </row>
    <row r="1768" s="7" customFormat="1" spans="33:33">
      <c r="AG1768" s="10"/>
    </row>
    <row r="1769" s="7" customFormat="1" spans="33:33">
      <c r="AG1769" s="10"/>
    </row>
    <row r="1770" s="7" customFormat="1" spans="33:33">
      <c r="AG1770" s="10"/>
    </row>
    <row r="1771" s="7" customFormat="1" spans="33:33">
      <c r="AG1771" s="10"/>
    </row>
    <row r="1772" s="7" customFormat="1" spans="33:33">
      <c r="AG1772" s="10"/>
    </row>
    <row r="1773" s="7" customFormat="1" spans="33:33">
      <c r="AG1773" s="10"/>
    </row>
    <row r="1774" s="7" customFormat="1" spans="33:33">
      <c r="AG1774" s="10"/>
    </row>
    <row r="1775" s="7" customFormat="1" spans="33:33">
      <c r="AG1775" s="10"/>
    </row>
    <row r="1776" s="7" customFormat="1" spans="33:33">
      <c r="AG1776" s="10"/>
    </row>
    <row r="1777" s="7" customFormat="1" spans="33:33">
      <c r="AG1777" s="10"/>
    </row>
    <row r="1778" s="7" customFormat="1" spans="33:33">
      <c r="AG1778" s="10"/>
    </row>
    <row r="1779" s="7" customFormat="1" spans="33:33">
      <c r="AG1779" s="10"/>
    </row>
    <row r="1780" s="7" customFormat="1" spans="33:33">
      <c r="AG1780" s="10"/>
    </row>
    <row r="1781" s="7" customFormat="1" spans="33:33">
      <c r="AG1781" s="10"/>
    </row>
    <row r="1782" s="7" customFormat="1" spans="33:33">
      <c r="AG1782" s="10"/>
    </row>
    <row r="1783" s="7" customFormat="1" spans="33:33">
      <c r="AG1783" s="10"/>
    </row>
    <row r="1784" s="7" customFormat="1" spans="33:33">
      <c r="AG1784" s="10"/>
    </row>
    <row r="1785" s="7" customFormat="1" spans="33:33">
      <c r="AG1785" s="10"/>
    </row>
    <row r="1786" s="7" customFormat="1" spans="33:33">
      <c r="AG1786" s="10"/>
    </row>
    <row r="1787" s="7" customFormat="1" spans="33:33">
      <c r="AG1787" s="10"/>
    </row>
    <row r="1788" s="7" customFormat="1" spans="33:33">
      <c r="AG1788" s="10"/>
    </row>
    <row r="1789" s="7" customFormat="1" spans="33:33">
      <c r="AG1789" s="10"/>
    </row>
    <row r="1790" s="7" customFormat="1" spans="33:33">
      <c r="AG1790" s="10"/>
    </row>
    <row r="1791" s="7" customFormat="1" spans="33:33">
      <c r="AG1791" s="10"/>
    </row>
    <row r="1792" s="7" customFormat="1" spans="33:33">
      <c r="AG1792" s="10"/>
    </row>
    <row r="1793" s="7" customFormat="1" spans="33:33">
      <c r="AG1793" s="10"/>
    </row>
    <row r="1794" s="7" customFormat="1" spans="33:33">
      <c r="AG1794" s="10"/>
    </row>
    <row r="1795" s="7" customFormat="1" spans="33:33">
      <c r="AG1795" s="10"/>
    </row>
    <row r="1796" s="7" customFormat="1" spans="33:33">
      <c r="AG1796" s="10"/>
    </row>
    <row r="1797" s="7" customFormat="1" spans="33:33">
      <c r="AG1797" s="10"/>
    </row>
    <row r="1798" s="7" customFormat="1" spans="33:33">
      <c r="AG1798" s="10"/>
    </row>
    <row r="1799" s="7" customFormat="1" spans="33:33">
      <c r="AG1799" s="10"/>
    </row>
    <row r="1800" s="7" customFormat="1" spans="33:33">
      <c r="AG1800" s="10"/>
    </row>
    <row r="1801" s="7" customFormat="1" spans="33:33">
      <c r="AG1801" s="10"/>
    </row>
    <row r="1802" s="7" customFormat="1" spans="33:33">
      <c r="AG1802" s="10"/>
    </row>
    <row r="1803" s="7" customFormat="1" spans="33:33">
      <c r="AG1803" s="10"/>
    </row>
    <row r="1804" s="7" customFormat="1" spans="33:33">
      <c r="AG1804" s="10"/>
    </row>
    <row r="1805" s="7" customFormat="1" spans="33:33">
      <c r="AG1805" s="10"/>
    </row>
    <row r="1806" s="7" customFormat="1" spans="33:33">
      <c r="AG1806" s="10"/>
    </row>
    <row r="1807" s="7" customFormat="1" spans="33:33">
      <c r="AG1807" s="10"/>
    </row>
    <row r="1808" s="7" customFormat="1" spans="33:33">
      <c r="AG1808" s="10"/>
    </row>
    <row r="1809" s="7" customFormat="1" spans="33:33">
      <c r="AG1809" s="10"/>
    </row>
    <row r="1810" s="7" customFormat="1" spans="33:33">
      <c r="AG1810" s="10"/>
    </row>
    <row r="1811" s="7" customFormat="1" spans="33:33">
      <c r="AG1811" s="10"/>
    </row>
    <row r="1812" s="7" customFormat="1" spans="33:33">
      <c r="AG1812" s="10"/>
    </row>
    <row r="1813" s="7" customFormat="1" spans="33:33">
      <c r="AG1813" s="10"/>
    </row>
    <row r="1814" s="7" customFormat="1" spans="33:33">
      <c r="AG1814" s="10"/>
    </row>
    <row r="1815" s="7" customFormat="1" spans="33:33">
      <c r="AG1815" s="10"/>
    </row>
    <row r="1816" s="7" customFormat="1" spans="33:33">
      <c r="AG1816" s="10"/>
    </row>
    <row r="1817" s="7" customFormat="1" spans="33:33">
      <c r="AG1817" s="10"/>
    </row>
    <row r="1818" s="7" customFormat="1" spans="33:33">
      <c r="AG1818" s="10"/>
    </row>
    <row r="1819" s="7" customFormat="1" spans="33:33">
      <c r="AG1819" s="10"/>
    </row>
    <row r="1820" s="7" customFormat="1" spans="33:33">
      <c r="AG1820" s="10"/>
    </row>
    <row r="1821" s="7" customFormat="1" spans="33:33">
      <c r="AG1821" s="10"/>
    </row>
    <row r="1822" s="7" customFormat="1" spans="33:33">
      <c r="AG1822" s="10"/>
    </row>
    <row r="1823" s="7" customFormat="1" spans="33:33">
      <c r="AG1823" s="10"/>
    </row>
    <row r="1824" s="7" customFormat="1" spans="33:33">
      <c r="AG1824" s="10"/>
    </row>
    <row r="1825" s="7" customFormat="1" spans="33:33">
      <c r="AG1825" s="10"/>
    </row>
    <row r="1826" s="7" customFormat="1" spans="33:33">
      <c r="AG1826" s="10"/>
    </row>
    <row r="1827" s="7" customFormat="1" spans="33:33">
      <c r="AG1827" s="10"/>
    </row>
    <row r="1828" s="7" customFormat="1" spans="33:33">
      <c r="AG1828" s="10"/>
    </row>
    <row r="1829" s="7" customFormat="1" spans="33:33">
      <c r="AG1829" s="10"/>
    </row>
    <row r="1830" s="7" customFormat="1" spans="33:33">
      <c r="AG1830" s="10"/>
    </row>
    <row r="1831" s="7" customFormat="1" spans="33:33">
      <c r="AG1831" s="10"/>
    </row>
    <row r="1832" s="7" customFormat="1" spans="33:33">
      <c r="AG1832" s="10"/>
    </row>
    <row r="1833" s="7" customFormat="1" spans="33:33">
      <c r="AG1833" s="10"/>
    </row>
    <row r="1834" s="7" customFormat="1" spans="33:33">
      <c r="AG1834" s="10"/>
    </row>
    <row r="1835" s="7" customFormat="1" spans="33:33">
      <c r="AG1835" s="10"/>
    </row>
    <row r="1836" s="7" customFormat="1" spans="33:33">
      <c r="AG1836" s="10"/>
    </row>
    <row r="1837" s="7" customFormat="1" spans="33:33">
      <c r="AG1837" s="10"/>
    </row>
    <row r="1838" s="7" customFormat="1" spans="33:33">
      <c r="AG1838" s="10"/>
    </row>
    <row r="1839" s="7" customFormat="1" spans="33:33">
      <c r="AG1839" s="10"/>
    </row>
    <row r="1840" s="7" customFormat="1" spans="33:33">
      <c r="AG1840" s="10"/>
    </row>
    <row r="1841" s="7" customFormat="1" spans="33:33">
      <c r="AG1841" s="10"/>
    </row>
    <row r="1842" s="7" customFormat="1" spans="33:33">
      <c r="AG1842" s="10"/>
    </row>
    <row r="1843" s="7" customFormat="1" spans="33:33">
      <c r="AG1843" s="10"/>
    </row>
    <row r="1844" s="7" customFormat="1" spans="33:33">
      <c r="AG1844" s="10"/>
    </row>
    <row r="1845" s="7" customFormat="1" spans="33:33">
      <c r="AG1845" s="10"/>
    </row>
    <row r="1846" s="7" customFormat="1" spans="33:33">
      <c r="AG1846" s="10"/>
    </row>
    <row r="1847" s="7" customFormat="1" spans="33:33">
      <c r="AG1847" s="10"/>
    </row>
    <row r="1848" s="7" customFormat="1" spans="33:33">
      <c r="AG1848" s="10"/>
    </row>
    <row r="1849" s="7" customFormat="1" spans="33:33">
      <c r="AG1849" s="10"/>
    </row>
    <row r="1850" s="7" customFormat="1" spans="33:33">
      <c r="AG1850" s="10"/>
    </row>
    <row r="1851" s="7" customFormat="1" spans="33:33">
      <c r="AG1851" s="10"/>
    </row>
    <row r="1852" s="7" customFormat="1" spans="33:33">
      <c r="AG1852" s="10"/>
    </row>
    <row r="1853" s="7" customFormat="1" spans="33:33">
      <c r="AG1853" s="10"/>
    </row>
    <row r="1854" s="7" customFormat="1" spans="33:33">
      <c r="AG1854" s="10"/>
    </row>
    <row r="1855" s="7" customFormat="1" spans="33:33">
      <c r="AG1855" s="10"/>
    </row>
    <row r="1856" s="7" customFormat="1" spans="33:33">
      <c r="AG1856" s="10"/>
    </row>
    <row r="1857" s="7" customFormat="1" spans="33:33">
      <c r="AG1857" s="10"/>
    </row>
    <row r="1858" s="7" customFormat="1" spans="33:33">
      <c r="AG1858" s="10"/>
    </row>
    <row r="1859" s="7" customFormat="1" spans="33:33">
      <c r="AG1859" s="10"/>
    </row>
    <row r="1860" s="7" customFormat="1" spans="33:33">
      <c r="AG1860" s="10"/>
    </row>
    <row r="1861" s="7" customFormat="1" spans="33:33">
      <c r="AG1861" s="10"/>
    </row>
    <row r="1862" s="7" customFormat="1" spans="33:33">
      <c r="AG1862" s="10"/>
    </row>
    <row r="1863" s="7" customFormat="1" spans="33:33">
      <c r="AG1863" s="10"/>
    </row>
    <row r="1864" s="7" customFormat="1" spans="33:33">
      <c r="AG1864" s="10"/>
    </row>
    <row r="1865" s="7" customFormat="1" spans="33:33">
      <c r="AG1865" s="10"/>
    </row>
    <row r="1866" s="7" customFormat="1" spans="33:33">
      <c r="AG1866" s="10"/>
    </row>
    <row r="1867" s="7" customFormat="1" spans="33:33">
      <c r="AG1867" s="10"/>
    </row>
    <row r="1868" s="7" customFormat="1" spans="33:33">
      <c r="AG1868" s="10"/>
    </row>
    <row r="1869" s="7" customFormat="1" spans="33:33">
      <c r="AG1869" s="10"/>
    </row>
    <row r="1870" s="7" customFormat="1" spans="33:33">
      <c r="AG1870" s="10"/>
    </row>
    <row r="1871" s="7" customFormat="1" spans="33:33">
      <c r="AG1871" s="10"/>
    </row>
    <row r="1872" s="7" customFormat="1" spans="33:33">
      <c r="AG1872" s="10"/>
    </row>
    <row r="1873" s="7" customFormat="1" spans="33:33">
      <c r="AG1873" s="10"/>
    </row>
    <row r="1874" s="7" customFormat="1" spans="33:33">
      <c r="AG1874" s="10"/>
    </row>
    <row r="1875" s="7" customFormat="1" spans="33:33">
      <c r="AG1875" s="10"/>
    </row>
    <row r="1876" s="7" customFormat="1" spans="33:33">
      <c r="AG1876" s="10"/>
    </row>
    <row r="1877" s="7" customFormat="1" spans="33:33">
      <c r="AG1877" s="10"/>
    </row>
    <row r="1878" s="7" customFormat="1" spans="33:33">
      <c r="AG1878" s="10"/>
    </row>
    <row r="1879" s="7" customFormat="1" spans="33:33">
      <c r="AG1879" s="10"/>
    </row>
    <row r="1880" s="7" customFormat="1" spans="33:33">
      <c r="AG1880" s="10"/>
    </row>
    <row r="1881" s="7" customFormat="1" spans="33:33">
      <c r="AG1881" s="10"/>
    </row>
    <row r="1882" s="7" customFormat="1" spans="33:33">
      <c r="AG1882" s="10"/>
    </row>
    <row r="1883" s="7" customFormat="1" spans="33:33">
      <c r="AG1883" s="10"/>
    </row>
    <row r="1884" s="7" customFormat="1" spans="33:33">
      <c r="AG1884" s="10"/>
    </row>
    <row r="1885" s="7" customFormat="1" spans="33:33">
      <c r="AG1885" s="10"/>
    </row>
    <row r="1886" s="7" customFormat="1" spans="33:33">
      <c r="AG1886" s="10"/>
    </row>
    <row r="1887" s="7" customFormat="1" spans="33:33">
      <c r="AG1887" s="10"/>
    </row>
    <row r="1888" s="7" customFormat="1" spans="33:33">
      <c r="AG1888" s="10"/>
    </row>
    <row r="1889" s="7" customFormat="1" spans="33:33">
      <c r="AG1889" s="10"/>
    </row>
    <row r="1890" s="7" customFormat="1" spans="33:33">
      <c r="AG1890" s="10"/>
    </row>
    <row r="1891" s="7" customFormat="1" spans="33:33">
      <c r="AG1891" s="10"/>
    </row>
    <row r="1892" s="7" customFormat="1" spans="33:33">
      <c r="AG1892" s="10"/>
    </row>
    <row r="1893" s="7" customFormat="1" spans="33:33">
      <c r="AG1893" s="10"/>
    </row>
    <row r="1894" s="7" customFormat="1" spans="33:33">
      <c r="AG1894" s="10"/>
    </row>
    <row r="1895" s="7" customFormat="1" spans="33:33">
      <c r="AG1895" s="10"/>
    </row>
    <row r="1896" s="7" customFormat="1" spans="33:33">
      <c r="AG1896" s="10"/>
    </row>
    <row r="1897" s="7" customFormat="1" spans="33:33">
      <c r="AG1897" s="10"/>
    </row>
    <row r="1898" s="7" customFormat="1" spans="33:33">
      <c r="AG1898" s="10"/>
    </row>
    <row r="1899" s="7" customFormat="1" spans="33:33">
      <c r="AG1899" s="10"/>
    </row>
    <row r="1900" s="7" customFormat="1" spans="33:33">
      <c r="AG1900" s="10"/>
    </row>
    <row r="1901" s="7" customFormat="1" spans="33:33">
      <c r="AG1901" s="10"/>
    </row>
    <row r="1902" s="7" customFormat="1" spans="33:33">
      <c r="AG1902" s="10"/>
    </row>
    <row r="1903" s="7" customFormat="1" spans="33:33">
      <c r="AG1903" s="10"/>
    </row>
    <row r="1904" s="7" customFormat="1" spans="33:33">
      <c r="AG1904" s="10"/>
    </row>
    <row r="1905" s="7" customFormat="1" spans="33:33">
      <c r="AG1905" s="10"/>
    </row>
    <row r="1906" s="7" customFormat="1" spans="33:33">
      <c r="AG1906" s="10"/>
    </row>
    <row r="1907" s="7" customFormat="1" spans="33:33">
      <c r="AG1907" s="10"/>
    </row>
    <row r="1908" s="7" customFormat="1" spans="33:33">
      <c r="AG1908" s="10"/>
    </row>
    <row r="1909" s="7" customFormat="1" spans="33:33">
      <c r="AG1909" s="10"/>
    </row>
    <row r="1910" s="7" customFormat="1" spans="33:33">
      <c r="AG1910" s="10"/>
    </row>
    <row r="1911" s="7" customFormat="1" spans="33:33">
      <c r="AG1911" s="10"/>
    </row>
    <row r="1912" s="7" customFormat="1" spans="33:33">
      <c r="AG1912" s="10"/>
    </row>
    <row r="1913" s="7" customFormat="1" spans="33:33">
      <c r="AG1913" s="10"/>
    </row>
    <row r="1914" s="7" customFormat="1" spans="33:33">
      <c r="AG1914" s="10"/>
    </row>
    <row r="1915" s="7" customFormat="1" spans="33:33">
      <c r="AG1915" s="10"/>
    </row>
    <row r="1916" s="7" customFormat="1" spans="33:33">
      <c r="AG1916" s="10"/>
    </row>
    <row r="1917" s="7" customFormat="1" spans="33:33">
      <c r="AG1917" s="10"/>
    </row>
    <row r="1918" s="7" customFormat="1" spans="33:33">
      <c r="AG1918" s="10"/>
    </row>
    <row r="1919" s="7" customFormat="1" spans="33:33">
      <c r="AG1919" s="10"/>
    </row>
    <row r="1920" s="7" customFormat="1" spans="33:33">
      <c r="AG1920" s="10"/>
    </row>
    <row r="1921" s="7" customFormat="1" spans="33:33">
      <c r="AG1921" s="10"/>
    </row>
    <row r="1922" s="7" customFormat="1" spans="33:33">
      <c r="AG1922" s="10"/>
    </row>
    <row r="1923" s="7" customFormat="1" spans="33:33">
      <c r="AG1923" s="10"/>
    </row>
    <row r="1924" s="7" customFormat="1" spans="33:33">
      <c r="AG1924" s="10"/>
    </row>
    <row r="1925" s="7" customFormat="1" spans="33:33">
      <c r="AG1925" s="10"/>
    </row>
    <row r="1926" s="7" customFormat="1" spans="33:33">
      <c r="AG1926" s="10"/>
    </row>
    <row r="1927" s="7" customFormat="1" spans="33:33">
      <c r="AG1927" s="10"/>
    </row>
    <row r="1928" s="7" customFormat="1" spans="33:33">
      <c r="AG1928" s="10"/>
    </row>
    <row r="1929" s="7" customFormat="1" spans="33:33">
      <c r="AG1929" s="10"/>
    </row>
    <row r="1930" s="7" customFormat="1" spans="33:33">
      <c r="AG1930" s="10"/>
    </row>
    <row r="1931" s="7" customFormat="1" spans="33:33">
      <c r="AG1931" s="10"/>
    </row>
    <row r="1932" s="7" customFormat="1" spans="33:33">
      <c r="AG1932" s="10"/>
    </row>
    <row r="1933" s="7" customFormat="1" spans="33:33">
      <c r="AG1933" s="10"/>
    </row>
    <row r="1934" s="7" customFormat="1" spans="33:33">
      <c r="AG1934" s="10"/>
    </row>
    <row r="1935" s="7" customFormat="1" spans="33:33">
      <c r="AG1935" s="10"/>
    </row>
    <row r="1936" s="7" customFormat="1" spans="33:33">
      <c r="AG1936" s="10"/>
    </row>
    <row r="1937" s="7" customFormat="1" spans="33:33">
      <c r="AG1937" s="10"/>
    </row>
    <row r="1938" s="7" customFormat="1" spans="33:33">
      <c r="AG1938" s="10"/>
    </row>
    <row r="1939" s="7" customFormat="1" spans="33:33">
      <c r="AG1939" s="10"/>
    </row>
    <row r="1940" s="7" customFormat="1" spans="33:33">
      <c r="AG1940" s="10"/>
    </row>
    <row r="1941" s="7" customFormat="1" spans="33:33">
      <c r="AG1941" s="10"/>
    </row>
    <row r="1942" s="7" customFormat="1" spans="33:33">
      <c r="AG1942" s="10"/>
    </row>
    <row r="1943" s="7" customFormat="1" spans="33:33">
      <c r="AG1943" s="10"/>
    </row>
    <row r="1944" s="7" customFormat="1" spans="33:33">
      <c r="AG1944" s="10"/>
    </row>
    <row r="1945" s="7" customFormat="1" spans="33:33">
      <c r="AG1945" s="10"/>
    </row>
    <row r="1946" s="7" customFormat="1" spans="33:33">
      <c r="AG1946" s="10"/>
    </row>
    <row r="1947" s="7" customFormat="1" spans="33:33">
      <c r="AG1947" s="10"/>
    </row>
    <row r="1948" s="7" customFormat="1" spans="33:33">
      <c r="AG1948" s="10"/>
    </row>
    <row r="1949" s="7" customFormat="1" spans="33:33">
      <c r="AG1949" s="10"/>
    </row>
    <row r="1950" s="7" customFormat="1" spans="33:33">
      <c r="AG1950" s="10"/>
    </row>
    <row r="1951" s="7" customFormat="1" spans="33:33">
      <c r="AG1951" s="10"/>
    </row>
    <row r="1952" s="7" customFormat="1" spans="33:33">
      <c r="AG1952" s="10"/>
    </row>
    <row r="1953" s="7" customFormat="1" spans="33:33">
      <c r="AG1953" s="10"/>
    </row>
    <row r="1954" s="7" customFormat="1" spans="33:33">
      <c r="AG1954" s="10"/>
    </row>
    <row r="1955" s="7" customFormat="1" spans="33:33">
      <c r="AG1955" s="10"/>
    </row>
    <row r="1956" s="7" customFormat="1" spans="33:33">
      <c r="AG1956" s="10"/>
    </row>
    <row r="1957" s="7" customFormat="1" spans="33:33">
      <c r="AG1957" s="10"/>
    </row>
    <row r="1958" s="7" customFormat="1" spans="33:33">
      <c r="AG1958" s="10"/>
    </row>
    <row r="1959" s="7" customFormat="1" spans="33:33">
      <c r="AG1959" s="10"/>
    </row>
    <row r="1960" s="7" customFormat="1" spans="33:33">
      <c r="AG1960" s="10"/>
    </row>
    <row r="1961" s="7" customFormat="1" spans="33:33">
      <c r="AG1961" s="10"/>
    </row>
    <row r="1962" s="7" customFormat="1" spans="33:33">
      <c r="AG1962" s="10"/>
    </row>
    <row r="1963" s="7" customFormat="1" spans="33:33">
      <c r="AG1963" s="10"/>
    </row>
    <row r="1964" s="7" customFormat="1" spans="33:33">
      <c r="AG1964" s="10"/>
    </row>
    <row r="1965" s="7" customFormat="1" spans="33:33">
      <c r="AG1965" s="10"/>
    </row>
    <row r="1966" s="7" customFormat="1" spans="33:33">
      <c r="AG1966" s="10"/>
    </row>
    <row r="1967" s="7" customFormat="1" spans="33:33">
      <c r="AG1967" s="10"/>
    </row>
    <row r="1968" s="7" customFormat="1" spans="33:33">
      <c r="AG1968" s="10"/>
    </row>
    <row r="1969" s="7" customFormat="1" spans="33:33">
      <c r="AG1969" s="10"/>
    </row>
    <row r="1970" s="7" customFormat="1" spans="33:33">
      <c r="AG1970" s="10"/>
    </row>
    <row r="1971" s="7" customFormat="1" spans="33:33">
      <c r="AG1971" s="10"/>
    </row>
    <row r="1972" s="7" customFormat="1" spans="33:33">
      <c r="AG1972" s="10"/>
    </row>
    <row r="1973" s="7" customFormat="1" spans="33:33">
      <c r="AG1973" s="10"/>
    </row>
    <row r="1974" s="7" customFormat="1" spans="33:33">
      <c r="AG1974" s="10"/>
    </row>
    <row r="1975" s="7" customFormat="1" spans="33:33">
      <c r="AG1975" s="10"/>
    </row>
    <row r="1976" s="7" customFormat="1" spans="33:33">
      <c r="AG1976" s="10"/>
    </row>
    <row r="1977" s="7" customFormat="1" spans="33:33">
      <c r="AG1977" s="10"/>
    </row>
    <row r="1978" s="7" customFormat="1" spans="33:33">
      <c r="AG1978" s="10"/>
    </row>
    <row r="1979" s="7" customFormat="1" spans="33:33">
      <c r="AG1979" s="10"/>
    </row>
    <row r="1980" s="7" customFormat="1" spans="33:33">
      <c r="AG1980" s="10"/>
    </row>
    <row r="1981" s="7" customFormat="1" spans="33:33">
      <c r="AG1981" s="10"/>
    </row>
    <row r="1982" s="7" customFormat="1" spans="33:33">
      <c r="AG1982" s="10"/>
    </row>
    <row r="1983" s="7" customFormat="1" spans="33:33">
      <c r="AG1983" s="10"/>
    </row>
    <row r="1984" s="7" customFormat="1" spans="33:33">
      <c r="AG1984" s="10"/>
    </row>
    <row r="1985" s="7" customFormat="1" spans="33:33">
      <c r="AG1985" s="10"/>
    </row>
    <row r="1986" s="7" customFormat="1" spans="33:33">
      <c r="AG1986" s="10"/>
    </row>
    <row r="1987" s="7" customFormat="1" spans="33:33">
      <c r="AG1987" s="10"/>
    </row>
    <row r="1988" s="7" customFormat="1" spans="33:33">
      <c r="AG1988" s="10"/>
    </row>
    <row r="1989" s="7" customFormat="1" spans="33:33">
      <c r="AG1989" s="10"/>
    </row>
    <row r="1990" s="7" customFormat="1" spans="33:33">
      <c r="AG1990" s="10"/>
    </row>
    <row r="1991" s="7" customFormat="1" spans="33:33">
      <c r="AG1991" s="10"/>
    </row>
    <row r="1992" s="7" customFormat="1" spans="33:33">
      <c r="AG1992" s="10"/>
    </row>
    <row r="1993" s="7" customFormat="1" spans="33:33">
      <c r="AG1993" s="10"/>
    </row>
    <row r="1994" s="7" customFormat="1" spans="33:33">
      <c r="AG1994" s="10"/>
    </row>
    <row r="1995" s="7" customFormat="1" spans="33:33">
      <c r="AG1995" s="10"/>
    </row>
    <row r="1996" s="7" customFormat="1" spans="33:33">
      <c r="AG1996" s="10"/>
    </row>
    <row r="1997" s="7" customFormat="1" spans="33:33">
      <c r="AG1997" s="10"/>
    </row>
    <row r="1998" s="7" customFormat="1" spans="33:33">
      <c r="AG1998" s="10"/>
    </row>
    <row r="1999" s="7" customFormat="1" spans="33:33">
      <c r="AG1999" s="10"/>
    </row>
    <row r="2000" s="7" customFormat="1" spans="33:33">
      <c r="AG2000" s="10"/>
    </row>
    <row r="2001" s="7" customFormat="1" spans="33:33">
      <c r="AG2001" s="10"/>
    </row>
    <row r="2002" s="7" customFormat="1" spans="33:33">
      <c r="AG2002" s="10"/>
    </row>
    <row r="2003" s="7" customFormat="1" spans="33:33">
      <c r="AG2003" s="10"/>
    </row>
    <row r="2004" s="7" customFormat="1" spans="33:33">
      <c r="AG2004" s="10"/>
    </row>
    <row r="2005" s="7" customFormat="1" spans="33:33">
      <c r="AG2005" s="10"/>
    </row>
    <row r="2006" s="7" customFormat="1" spans="33:33">
      <c r="AG2006" s="10"/>
    </row>
    <row r="2007" s="7" customFormat="1" spans="33:33">
      <c r="AG2007" s="10"/>
    </row>
    <row r="2008" s="7" customFormat="1" spans="33:33">
      <c r="AG2008" s="10"/>
    </row>
    <row r="2009" s="7" customFormat="1" spans="33:33">
      <c r="AG2009" s="10"/>
    </row>
    <row r="2010" s="7" customFormat="1" spans="33:33">
      <c r="AG2010" s="10"/>
    </row>
    <row r="2011" s="7" customFormat="1" spans="33:33">
      <c r="AG2011" s="10"/>
    </row>
    <row r="2012" s="7" customFormat="1" spans="33:33">
      <c r="AG2012" s="10"/>
    </row>
    <row r="2013" s="7" customFormat="1" spans="33:33">
      <c r="AG2013" s="10"/>
    </row>
    <row r="2014" s="7" customFormat="1" spans="33:33">
      <c r="AG2014" s="10"/>
    </row>
    <row r="2015" s="7" customFormat="1" spans="33:33">
      <c r="AG2015" s="10"/>
    </row>
    <row r="2016" s="7" customFormat="1" spans="33:33">
      <c r="AG2016" s="10"/>
    </row>
    <row r="2017" s="7" customFormat="1" spans="33:33">
      <c r="AG2017" s="10"/>
    </row>
    <row r="2018" s="7" customFormat="1" spans="33:33">
      <c r="AG2018" s="10"/>
    </row>
    <row r="2019" s="7" customFormat="1" spans="33:33">
      <c r="AG2019" s="10"/>
    </row>
    <row r="2020" s="7" customFormat="1" spans="33:33">
      <c r="AG2020" s="10"/>
    </row>
    <row r="2021" s="7" customFormat="1" spans="33:33">
      <c r="AG2021" s="10"/>
    </row>
    <row r="2022" s="7" customFormat="1" spans="33:33">
      <c r="AG2022" s="10"/>
    </row>
    <row r="2023" s="7" customFormat="1" spans="33:33">
      <c r="AG2023" s="10"/>
    </row>
    <row r="2024" s="7" customFormat="1" spans="33:33">
      <c r="AG2024" s="10"/>
    </row>
    <row r="2025" s="7" customFormat="1" spans="33:33">
      <c r="AG2025" s="10"/>
    </row>
    <row r="2026" s="7" customFormat="1" spans="33:33">
      <c r="AG2026" s="10"/>
    </row>
    <row r="2027" s="7" customFormat="1" spans="33:33">
      <c r="AG2027" s="10"/>
    </row>
    <row r="2028" s="7" customFormat="1" spans="33:33">
      <c r="AG2028" s="10"/>
    </row>
    <row r="2029" s="7" customFormat="1" spans="33:33">
      <c r="AG2029" s="10"/>
    </row>
    <row r="2030" s="7" customFormat="1" spans="33:33">
      <c r="AG2030" s="10"/>
    </row>
    <row r="2031" s="7" customFormat="1" spans="33:33">
      <c r="AG2031" s="10"/>
    </row>
    <row r="2032" s="7" customFormat="1" spans="33:33">
      <c r="AG2032" s="10"/>
    </row>
    <row r="2033" s="7" customFormat="1" spans="33:33">
      <c r="AG2033" s="10"/>
    </row>
    <row r="2034" s="7" customFormat="1" spans="33:33">
      <c r="AG2034" s="10"/>
    </row>
    <row r="2035" s="7" customFormat="1" spans="33:33">
      <c r="AG2035" s="10"/>
    </row>
    <row r="2036" s="7" customFormat="1" spans="33:33">
      <c r="AG2036" s="10"/>
    </row>
    <row r="2037" s="7" customFormat="1" spans="33:33">
      <c r="AG2037" s="10"/>
    </row>
    <row r="2038" s="7" customFormat="1" spans="33:33">
      <c r="AG2038" s="10"/>
    </row>
    <row r="2039" s="7" customFormat="1" spans="33:33">
      <c r="AG2039" s="10"/>
    </row>
    <row r="2040" s="7" customFormat="1" spans="33:33">
      <c r="AG2040" s="10"/>
    </row>
    <row r="2041" s="7" customFormat="1" spans="33:33">
      <c r="AG2041" s="10"/>
    </row>
    <row r="2042" s="7" customFormat="1" spans="33:33">
      <c r="AG2042" s="10"/>
    </row>
    <row r="2043" s="7" customFormat="1" spans="33:33">
      <c r="AG2043" s="10"/>
    </row>
    <row r="2044" s="7" customFormat="1" spans="33:33">
      <c r="AG2044" s="10"/>
    </row>
    <row r="2045" s="7" customFormat="1" spans="33:33">
      <c r="AG2045" s="10"/>
    </row>
    <row r="2046" s="7" customFormat="1" spans="33:33">
      <c r="AG2046" s="10"/>
    </row>
    <row r="2047" s="7" customFormat="1" spans="33:33">
      <c r="AG2047" s="10"/>
    </row>
    <row r="2048" s="7" customFormat="1" spans="33:33">
      <c r="AG2048" s="10"/>
    </row>
    <row r="2049" s="7" customFormat="1" spans="33:33">
      <c r="AG2049" s="10"/>
    </row>
    <row r="2050" s="7" customFormat="1" spans="33:33">
      <c r="AG2050" s="10"/>
    </row>
    <row r="2051" s="7" customFormat="1" spans="33:33">
      <c r="AG2051" s="10"/>
    </row>
    <row r="2052" s="7" customFormat="1" spans="33:33">
      <c r="AG2052" s="10"/>
    </row>
    <row r="2053" s="7" customFormat="1" spans="33:33">
      <c r="AG2053" s="10"/>
    </row>
    <row r="2054" s="7" customFormat="1" spans="33:33">
      <c r="AG2054" s="10"/>
    </row>
    <row r="2055" s="7" customFormat="1" spans="33:33">
      <c r="AG2055" s="10"/>
    </row>
    <row r="2056" s="7" customFormat="1" spans="33:33">
      <c r="AG2056" s="10"/>
    </row>
    <row r="2057" s="7" customFormat="1" spans="33:33">
      <c r="AG2057" s="10"/>
    </row>
    <row r="2058" s="7" customFormat="1" spans="33:33">
      <c r="AG2058" s="10"/>
    </row>
    <row r="2059" s="7" customFormat="1" spans="33:33">
      <c r="AG2059" s="10"/>
    </row>
    <row r="2060" s="7" customFormat="1" spans="33:33">
      <c r="AG2060" s="10"/>
    </row>
    <row r="2061" s="7" customFormat="1" spans="33:33">
      <c r="AG2061" s="10"/>
    </row>
    <row r="2062" s="7" customFormat="1" spans="33:33">
      <c r="AG2062" s="10"/>
    </row>
    <row r="2063" s="7" customFormat="1" spans="33:33">
      <c r="AG2063" s="10"/>
    </row>
    <row r="2064" s="7" customFormat="1" spans="33:33">
      <c r="AG2064" s="10"/>
    </row>
    <row r="2065" s="7" customFormat="1" spans="33:33">
      <c r="AG2065" s="10"/>
    </row>
    <row r="2066" s="7" customFormat="1" spans="33:33">
      <c r="AG2066" s="10"/>
    </row>
    <row r="2067" s="7" customFormat="1" spans="33:33">
      <c r="AG2067" s="10"/>
    </row>
    <row r="2068" s="7" customFormat="1" spans="33:33">
      <c r="AG2068" s="10"/>
    </row>
    <row r="2069" s="7" customFormat="1" spans="33:33">
      <c r="AG2069" s="10"/>
    </row>
    <row r="2070" s="7" customFormat="1" spans="33:33">
      <c r="AG2070" s="10"/>
    </row>
    <row r="2071" s="7" customFormat="1" spans="33:33">
      <c r="AG2071" s="10"/>
    </row>
    <row r="2072" s="7" customFormat="1" spans="33:33">
      <c r="AG2072" s="10"/>
    </row>
    <row r="2073" s="7" customFormat="1" spans="33:33">
      <c r="AG2073" s="10"/>
    </row>
    <row r="2074" s="7" customFormat="1" spans="33:33">
      <c r="AG2074" s="10"/>
    </row>
    <row r="2075" s="7" customFormat="1" spans="33:33">
      <c r="AG2075" s="10"/>
    </row>
    <row r="2076" s="7" customFormat="1" spans="33:33">
      <c r="AG2076" s="10"/>
    </row>
    <row r="2077" s="7" customFormat="1" spans="33:33">
      <c r="AG2077" s="10"/>
    </row>
    <row r="2078" s="7" customFormat="1" spans="33:33">
      <c r="AG2078" s="10"/>
    </row>
    <row r="2079" s="7" customFormat="1" spans="33:33">
      <c r="AG2079" s="10"/>
    </row>
    <row r="2080" s="7" customFormat="1" spans="33:33">
      <c r="AG2080" s="10"/>
    </row>
    <row r="2081" s="7" customFormat="1" spans="33:33">
      <c r="AG2081" s="10"/>
    </row>
    <row r="2082" s="7" customFormat="1" spans="33:33">
      <c r="AG2082" s="10"/>
    </row>
    <row r="2083" s="7" customFormat="1" spans="33:33">
      <c r="AG2083" s="10"/>
    </row>
    <row r="2084" s="7" customFormat="1" spans="33:33">
      <c r="AG2084" s="10"/>
    </row>
    <row r="2085" s="7" customFormat="1" spans="33:33">
      <c r="AG2085" s="10"/>
    </row>
    <row r="2086" s="7" customFormat="1" spans="33:33">
      <c r="AG2086" s="10"/>
    </row>
    <row r="2087" s="7" customFormat="1" spans="33:33">
      <c r="AG2087" s="10"/>
    </row>
    <row r="2088" s="7" customFormat="1" spans="33:33">
      <c r="AG2088" s="10"/>
    </row>
    <row r="2089" s="7" customFormat="1" spans="33:33">
      <c r="AG2089" s="10"/>
    </row>
    <row r="2090" s="7" customFormat="1" spans="33:33">
      <c r="AG2090" s="10"/>
    </row>
    <row r="2091" s="7" customFormat="1" spans="33:33">
      <c r="AG2091" s="10"/>
    </row>
    <row r="2092" s="7" customFormat="1" spans="33:33">
      <c r="AG2092" s="10"/>
    </row>
    <row r="2093" s="7" customFormat="1" spans="33:33">
      <c r="AG2093" s="10"/>
    </row>
    <row r="2094" s="7" customFormat="1" spans="33:33">
      <c r="AG2094" s="10"/>
    </row>
    <row r="2095" s="7" customFormat="1" spans="33:33">
      <c r="AG2095" s="10"/>
    </row>
    <row r="2096" s="7" customFormat="1" spans="33:33">
      <c r="AG2096" s="10"/>
    </row>
    <row r="2097" s="7" customFormat="1" spans="33:33">
      <c r="AG2097" s="10"/>
    </row>
    <row r="2098" s="7" customFormat="1" spans="33:33">
      <c r="AG2098" s="10"/>
    </row>
    <row r="2099" s="7" customFormat="1" spans="33:33">
      <c r="AG2099" s="10"/>
    </row>
    <row r="2100" s="7" customFormat="1" spans="33:33">
      <c r="AG2100" s="10"/>
    </row>
    <row r="2101" s="7" customFormat="1" spans="33:33">
      <c r="AG2101" s="10"/>
    </row>
    <row r="2102" s="7" customFormat="1" spans="33:33">
      <c r="AG2102" s="10"/>
    </row>
    <row r="2103" s="7" customFormat="1" spans="33:33">
      <c r="AG2103" s="10"/>
    </row>
    <row r="2104" s="7" customFormat="1" spans="33:33">
      <c r="AG2104" s="10"/>
    </row>
    <row r="2105" s="7" customFormat="1" spans="33:33">
      <c r="AG2105" s="10"/>
    </row>
    <row r="2106" s="7" customFormat="1" spans="33:33">
      <c r="AG2106" s="10"/>
    </row>
    <row r="2107" s="7" customFormat="1" spans="33:33">
      <c r="AG2107" s="10"/>
    </row>
    <row r="2108" s="7" customFormat="1" spans="33:33">
      <c r="AG2108" s="10"/>
    </row>
    <row r="2109" s="7" customFormat="1" spans="33:33">
      <c r="AG2109" s="10"/>
    </row>
    <row r="2110" s="7" customFormat="1" spans="33:33">
      <c r="AG2110" s="10"/>
    </row>
    <row r="2111" s="7" customFormat="1" spans="33:33">
      <c r="AG2111" s="10"/>
    </row>
    <row r="2112" s="7" customFormat="1" spans="33:33">
      <c r="AG2112" s="10"/>
    </row>
    <row r="2113" s="7" customFormat="1" spans="33:33">
      <c r="AG2113" s="10"/>
    </row>
    <row r="2114" s="7" customFormat="1" spans="33:33">
      <c r="AG2114" s="10"/>
    </row>
    <row r="2115" s="7" customFormat="1" spans="33:33">
      <c r="AG2115" s="10"/>
    </row>
    <row r="2116" s="7" customFormat="1" spans="33:33">
      <c r="AG2116" s="10"/>
    </row>
    <row r="2117" s="7" customFormat="1" spans="33:33">
      <c r="AG2117" s="10"/>
    </row>
    <row r="2118" s="7" customFormat="1" spans="33:33">
      <c r="AG2118" s="10"/>
    </row>
    <row r="2119" s="7" customFormat="1" spans="33:33">
      <c r="AG2119" s="10"/>
    </row>
    <row r="2120" s="7" customFormat="1" spans="33:33">
      <c r="AG2120" s="10"/>
    </row>
    <row r="2121" s="7" customFormat="1" spans="33:33">
      <c r="AG2121" s="10"/>
    </row>
    <row r="2122" s="7" customFormat="1" spans="33:33">
      <c r="AG2122" s="10"/>
    </row>
    <row r="2123" s="7" customFormat="1" spans="33:33">
      <c r="AG2123" s="10"/>
    </row>
    <row r="2124" s="7" customFormat="1" spans="33:33">
      <c r="AG2124" s="10"/>
    </row>
    <row r="2125" s="7" customFormat="1" spans="33:33">
      <c r="AG2125" s="10"/>
    </row>
    <row r="2126" s="7" customFormat="1" spans="33:33">
      <c r="AG2126" s="10"/>
    </row>
    <row r="2127" s="7" customFormat="1" spans="33:33">
      <c r="AG2127" s="10"/>
    </row>
    <row r="2128" s="7" customFormat="1" spans="33:33">
      <c r="AG2128" s="10"/>
    </row>
    <row r="2129" s="7" customFormat="1" spans="33:33">
      <c r="AG2129" s="10"/>
    </row>
    <row r="2130" s="7" customFormat="1" spans="33:33">
      <c r="AG2130" s="10"/>
    </row>
    <row r="2131" s="7" customFormat="1" spans="33:33">
      <c r="AG2131" s="10"/>
    </row>
    <row r="2132" s="7" customFormat="1" spans="33:33">
      <c r="AG2132" s="10"/>
    </row>
    <row r="2133" s="7" customFormat="1" spans="33:33">
      <c r="AG2133" s="10"/>
    </row>
    <row r="2134" s="7" customFormat="1" spans="33:33">
      <c r="AG2134" s="10"/>
    </row>
    <row r="2135" s="7" customFormat="1" spans="33:33">
      <c r="AG2135" s="10"/>
    </row>
    <row r="2136" s="7" customFormat="1" spans="33:33">
      <c r="AG2136" s="10"/>
    </row>
    <row r="2137" s="7" customFormat="1" spans="33:33">
      <c r="AG2137" s="10"/>
    </row>
    <row r="2138" s="7" customFormat="1" spans="33:33">
      <c r="AG2138" s="10"/>
    </row>
    <row r="2139" s="7" customFormat="1" spans="33:33">
      <c r="AG2139" s="10"/>
    </row>
    <row r="2140" s="7" customFormat="1" spans="33:33">
      <c r="AG2140" s="10"/>
    </row>
    <row r="2141" s="7" customFormat="1" spans="33:33">
      <c r="AG2141" s="10"/>
    </row>
    <row r="2142" s="7" customFormat="1" spans="33:33">
      <c r="AG2142" s="10"/>
    </row>
    <row r="2143" s="7" customFormat="1" spans="33:33">
      <c r="AG2143" s="10"/>
    </row>
    <row r="2144" s="7" customFormat="1" spans="33:33">
      <c r="AG2144" s="10"/>
    </row>
    <row r="2145" s="7" customFormat="1" spans="33:33">
      <c r="AG2145" s="10"/>
    </row>
    <row r="2146" s="7" customFormat="1" spans="33:33">
      <c r="AG2146" s="10"/>
    </row>
    <row r="2147" s="7" customFormat="1" spans="33:33">
      <c r="AG2147" s="10"/>
    </row>
    <row r="2148" s="7" customFormat="1" spans="33:33">
      <c r="AG2148" s="10"/>
    </row>
    <row r="2149" s="7" customFormat="1" spans="33:33">
      <c r="AG2149" s="10"/>
    </row>
    <row r="2150" s="7" customFormat="1" spans="33:33">
      <c r="AG2150" s="10"/>
    </row>
    <row r="2151" s="7" customFormat="1" spans="33:33">
      <c r="AG2151" s="10"/>
    </row>
    <row r="2152" s="7" customFormat="1" spans="33:33">
      <c r="AG2152" s="10"/>
    </row>
    <row r="2153" s="7" customFormat="1" spans="33:33">
      <c r="AG2153" s="10"/>
    </row>
    <row r="2154" s="7" customFormat="1" spans="33:33">
      <c r="AG2154" s="10"/>
    </row>
    <row r="2155" s="7" customFormat="1" spans="33:33">
      <c r="AG2155" s="10"/>
    </row>
    <row r="2156" s="7" customFormat="1" spans="33:33">
      <c r="AG2156" s="10"/>
    </row>
    <row r="2157" s="7" customFormat="1" spans="33:33">
      <c r="AG2157" s="10"/>
    </row>
    <row r="2158" s="7" customFormat="1" spans="33:33">
      <c r="AG2158" s="10"/>
    </row>
    <row r="2159" s="7" customFormat="1" spans="33:33">
      <c r="AG2159" s="10"/>
    </row>
    <row r="2160" s="7" customFormat="1" spans="33:33">
      <c r="AG2160" s="10"/>
    </row>
    <row r="2161" s="7" customFormat="1" spans="33:33">
      <c r="AG2161" s="10"/>
    </row>
    <row r="2162" s="7" customFormat="1" spans="33:33">
      <c r="AG2162" s="10"/>
    </row>
    <row r="2163" s="7" customFormat="1" spans="33:33">
      <c r="AG2163" s="10"/>
    </row>
    <row r="2164" s="7" customFormat="1" spans="33:33">
      <c r="AG2164" s="10"/>
    </row>
    <row r="2165" s="7" customFormat="1" spans="33:33">
      <c r="AG2165" s="10"/>
    </row>
    <row r="2166" s="7" customFormat="1" spans="33:33">
      <c r="AG2166" s="10"/>
    </row>
    <row r="2167" s="7" customFormat="1" spans="33:33">
      <c r="AG2167" s="10"/>
    </row>
    <row r="2168" s="7" customFormat="1" spans="33:33">
      <c r="AG2168" s="10"/>
    </row>
    <row r="2169" s="7" customFormat="1" spans="33:33">
      <c r="AG2169" s="10"/>
    </row>
    <row r="2170" s="7" customFormat="1" spans="33:33">
      <c r="AG2170" s="10"/>
    </row>
    <row r="2171" s="7" customFormat="1" spans="33:33">
      <c r="AG2171" s="10"/>
    </row>
    <row r="2172" s="7" customFormat="1" spans="33:33">
      <c r="AG2172" s="10"/>
    </row>
    <row r="2173" s="7" customFormat="1" spans="33:33">
      <c r="AG2173" s="10"/>
    </row>
    <row r="2174" s="7" customFormat="1" spans="33:33">
      <c r="AG2174" s="10"/>
    </row>
    <row r="2175" s="7" customFormat="1" spans="33:33">
      <c r="AG2175" s="10"/>
    </row>
    <row r="2176" s="7" customFormat="1" spans="33:33">
      <c r="AG2176" s="10"/>
    </row>
    <row r="2177" s="7" customFormat="1" spans="33:33">
      <c r="AG2177" s="10"/>
    </row>
    <row r="2178" s="7" customFormat="1" spans="33:33">
      <c r="AG2178" s="10"/>
    </row>
    <row r="2179" s="7" customFormat="1" spans="33:33">
      <c r="AG2179" s="10"/>
    </row>
    <row r="2180" s="7" customFormat="1" spans="33:33">
      <c r="AG2180" s="10"/>
    </row>
    <row r="2181" s="7" customFormat="1" spans="33:33">
      <c r="AG2181" s="10"/>
    </row>
    <row r="2182" s="7" customFormat="1" spans="33:33">
      <c r="AG2182" s="10"/>
    </row>
    <row r="2183" s="7" customFormat="1" spans="33:33">
      <c r="AG2183" s="10"/>
    </row>
    <row r="2184" s="7" customFormat="1" spans="33:33">
      <c r="AG2184" s="10"/>
    </row>
    <row r="2185" s="7" customFormat="1" spans="33:33">
      <c r="AG2185" s="10"/>
    </row>
    <row r="2186" s="7" customFormat="1" spans="33:33">
      <c r="AG2186" s="10"/>
    </row>
    <row r="2187" s="7" customFormat="1" spans="33:33">
      <c r="AG2187" s="10"/>
    </row>
    <row r="2188" s="7" customFormat="1" spans="33:33">
      <c r="AG2188" s="10"/>
    </row>
    <row r="2189" s="7" customFormat="1" spans="33:33">
      <c r="AG2189" s="10"/>
    </row>
    <row r="2190" s="7" customFormat="1" spans="33:33">
      <c r="AG2190" s="10"/>
    </row>
    <row r="2191" s="7" customFormat="1" spans="33:33">
      <c r="AG2191" s="10"/>
    </row>
    <row r="2192" s="7" customFormat="1" spans="33:33">
      <c r="AG2192" s="10"/>
    </row>
    <row r="2193" s="7" customFormat="1" spans="33:33">
      <c r="AG2193" s="10"/>
    </row>
    <row r="2194" s="7" customFormat="1" spans="33:33">
      <c r="AG2194" s="10"/>
    </row>
    <row r="2195" s="7" customFormat="1" spans="33:33">
      <c r="AG2195" s="10"/>
    </row>
    <row r="2196" s="7" customFormat="1" spans="33:33">
      <c r="AG2196" s="10"/>
    </row>
    <row r="2197" s="7" customFormat="1" spans="33:33">
      <c r="AG2197" s="10"/>
    </row>
    <row r="2198" s="7" customFormat="1" spans="33:33">
      <c r="AG2198" s="10"/>
    </row>
    <row r="2199" s="7" customFormat="1" spans="33:33">
      <c r="AG2199" s="10"/>
    </row>
    <row r="2200" s="7" customFormat="1" spans="33:33">
      <c r="AG2200" s="10"/>
    </row>
    <row r="2201" s="7" customFormat="1" spans="33:33">
      <c r="AG2201" s="10"/>
    </row>
    <row r="2202" s="7" customFormat="1" spans="33:33">
      <c r="AG2202" s="10"/>
    </row>
    <row r="2203" s="7" customFormat="1" spans="33:33">
      <c r="AG2203" s="10"/>
    </row>
    <row r="2204" s="7" customFormat="1" spans="33:33">
      <c r="AG2204" s="10"/>
    </row>
    <row r="2205" s="7" customFormat="1" spans="33:33">
      <c r="AG2205" s="10"/>
    </row>
    <row r="2206" s="7" customFormat="1" spans="33:33">
      <c r="AG2206" s="10"/>
    </row>
    <row r="2207" s="7" customFormat="1" spans="33:33">
      <c r="AG2207" s="10"/>
    </row>
    <row r="2208" s="7" customFormat="1" spans="33:33">
      <c r="AG2208" s="10"/>
    </row>
    <row r="2209" s="7" customFormat="1" spans="33:33">
      <c r="AG2209" s="10"/>
    </row>
    <row r="2210" spans="1:3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10"/>
    </row>
    <row r="2211" spans="1:3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10"/>
    </row>
    <row r="2212" spans="1:3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10"/>
    </row>
    <row r="2213" spans="1:3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10"/>
    </row>
    <row r="2214" spans="1:3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10"/>
    </row>
    <row r="2215" spans="1:3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10"/>
    </row>
    <row r="2216" spans="1:3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10"/>
    </row>
    <row r="2217" spans="1:3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10"/>
    </row>
    <row r="2218" spans="1:3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10"/>
    </row>
    <row r="2219" spans="1:3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10"/>
    </row>
    <row r="2220" spans="1:3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10"/>
    </row>
    <row r="2221" spans="1:3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10"/>
    </row>
    <row r="2222" spans="1:3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10"/>
    </row>
    <row r="2223" spans="1:3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10"/>
    </row>
    <row r="2224" spans="1:3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10"/>
    </row>
    <row r="2225" spans="1:3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10"/>
    </row>
    <row r="2226" spans="1:3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10"/>
    </row>
    <row r="2227" spans="1:3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10"/>
    </row>
    <row r="2228" spans="1:3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10"/>
    </row>
    <row r="2229" spans="1:3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10"/>
    </row>
    <row r="2230" spans="1:3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10"/>
    </row>
    <row r="2231" spans="1:3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10"/>
    </row>
    <row r="2232" spans="1:3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10"/>
    </row>
    <row r="2233" spans="1:3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10"/>
    </row>
    <row r="2234" spans="1:3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10"/>
    </row>
    <row r="2235" spans="1:3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10"/>
    </row>
    <row r="2236" spans="1:3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10"/>
    </row>
    <row r="2237" spans="1:3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10"/>
    </row>
    <row r="2238" spans="1:3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10"/>
    </row>
    <row r="2239" spans="1:3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10"/>
    </row>
    <row r="2240" spans="1:3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10"/>
    </row>
    <row r="2241" spans="1:3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10"/>
    </row>
    <row r="2242" spans="1:3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10"/>
    </row>
    <row r="2243" spans="1:3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10"/>
    </row>
    <row r="2244" spans="1:3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10"/>
    </row>
    <row r="2245" spans="1:3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10"/>
    </row>
    <row r="2246" spans="1:3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10"/>
    </row>
    <row r="2247" spans="1:3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10"/>
    </row>
    <row r="2248" spans="1:3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10"/>
    </row>
    <row r="2249" spans="1:3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10"/>
    </row>
    <row r="2250" spans="1:3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10"/>
    </row>
    <row r="2251" spans="1:3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10"/>
    </row>
    <row r="2252" spans="1:3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10"/>
    </row>
    <row r="2253" spans="1:3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10"/>
    </row>
    <row r="2254" spans="1:3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10"/>
    </row>
    <row r="2255" spans="1:3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10"/>
    </row>
    <row r="2256" spans="1:3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10"/>
    </row>
    <row r="2257" spans="1:3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10"/>
    </row>
    <row r="2258" spans="1:3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10"/>
    </row>
    <row r="2259" spans="1:3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10"/>
    </row>
    <row r="2260" spans="1:3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10"/>
    </row>
    <row r="2261" spans="1:3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10"/>
    </row>
    <row r="2262" spans="1:3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10"/>
    </row>
    <row r="2263" spans="1:3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10"/>
    </row>
    <row r="2264" spans="1:3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10"/>
    </row>
    <row r="2265" spans="1:3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10"/>
    </row>
    <row r="2266" spans="1:3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10"/>
    </row>
    <row r="2267" spans="1:3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10"/>
    </row>
    <row r="2268" spans="1:3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10"/>
    </row>
    <row r="2269" spans="1:3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10"/>
    </row>
    <row r="2270" spans="1:3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10"/>
    </row>
    <row r="2271" spans="1:3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10"/>
    </row>
    <row r="2272" spans="1:3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10"/>
    </row>
    <row r="2273" spans="1:3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10"/>
    </row>
    <row r="2274" spans="1:3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10"/>
    </row>
    <row r="2275" spans="1:3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10"/>
    </row>
    <row r="2276" spans="1:3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10"/>
    </row>
    <row r="2277" spans="1:3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10"/>
    </row>
    <row r="2278" spans="1:3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10"/>
    </row>
    <row r="2279" spans="1:3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10"/>
    </row>
    <row r="2280" spans="1:3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10"/>
    </row>
    <row r="2281" spans="1:3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10"/>
    </row>
    <row r="2282" spans="1:3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10"/>
    </row>
    <row r="2283" spans="1:3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10"/>
    </row>
    <row r="2284" spans="1:3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10"/>
    </row>
    <row r="2285" spans="1:3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10"/>
    </row>
    <row r="2286" spans="1:3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10"/>
    </row>
    <row r="2287" spans="1:3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10"/>
    </row>
    <row r="2288" spans="1:3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10"/>
    </row>
    <row r="2289" spans="1:3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10"/>
    </row>
    <row r="2290" spans="1:3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10"/>
    </row>
    <row r="2291" spans="1:3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10"/>
    </row>
    <row r="2292" spans="1:3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10"/>
    </row>
    <row r="2293" spans="1:3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10"/>
    </row>
    <row r="2294" spans="1:3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10"/>
    </row>
    <row r="2295" spans="1:3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10"/>
    </row>
    <row r="2296" spans="1:3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10"/>
    </row>
    <row r="2297" spans="1:3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10"/>
    </row>
    <row r="2298" spans="1:3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10"/>
    </row>
    <row r="2299" spans="1:3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10"/>
    </row>
    <row r="2300" spans="1:3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10"/>
    </row>
    <row r="2301" spans="1:3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10"/>
    </row>
    <row r="2302" spans="1:3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10"/>
    </row>
    <row r="2303" spans="1:3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10"/>
    </row>
    <row r="2304" spans="1:3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10"/>
    </row>
    <row r="2305" spans="1:3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10"/>
    </row>
    <row r="2306" spans="1:3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10"/>
    </row>
    <row r="2307" spans="1:3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10"/>
    </row>
    <row r="2308" spans="1:3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10"/>
    </row>
    <row r="2309" spans="1:3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10"/>
    </row>
    <row r="2310" spans="1:3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10"/>
    </row>
    <row r="2311" spans="1:3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10"/>
    </row>
    <row r="2312" spans="1:3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10"/>
    </row>
    <row r="2313" spans="1:3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10"/>
    </row>
    <row r="2314" spans="1:3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10"/>
    </row>
    <row r="2315" spans="1:3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10"/>
    </row>
    <row r="2316" spans="1:3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10"/>
    </row>
    <row r="2317" spans="1:3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10"/>
    </row>
    <row r="2318" spans="1:3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10"/>
    </row>
    <row r="2319" spans="1:3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10"/>
    </row>
    <row r="2320" spans="1:3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10"/>
    </row>
    <row r="2321" spans="1:3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10"/>
    </row>
    <row r="2322" spans="1:3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10"/>
    </row>
    <row r="2323" spans="1:3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10"/>
    </row>
    <row r="2324" spans="1:3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10"/>
    </row>
    <row r="2325" spans="1:3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10"/>
    </row>
    <row r="2326" spans="1:3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10"/>
    </row>
    <row r="2327" spans="1:3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10"/>
    </row>
    <row r="2328" spans="1:3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10"/>
    </row>
    <row r="2329" spans="1:3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10"/>
    </row>
    <row r="2330" spans="1:3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10"/>
    </row>
    <row r="2331" spans="1:3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10"/>
    </row>
    <row r="2332" spans="1:3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10"/>
    </row>
    <row r="2333" spans="1:3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10"/>
    </row>
    <row r="2334" spans="1:3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10"/>
    </row>
    <row r="2335" spans="1:3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10"/>
    </row>
    <row r="2336" spans="1:3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10"/>
    </row>
    <row r="2337" spans="1:3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10"/>
    </row>
    <row r="2338" spans="1:3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10"/>
    </row>
    <row r="2339" spans="1:3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10"/>
    </row>
    <row r="2340" spans="1:3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10"/>
    </row>
    <row r="2341" spans="1:3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10"/>
    </row>
    <row r="2342" spans="1:3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10"/>
    </row>
    <row r="2343" spans="1:3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10"/>
    </row>
    <row r="2344" spans="1:3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10"/>
    </row>
    <row r="2345" spans="1:3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10"/>
    </row>
    <row r="2346" spans="1:3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10"/>
    </row>
    <row r="2347" spans="1:3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10"/>
    </row>
    <row r="2348" spans="1:3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10"/>
    </row>
    <row r="2349" spans="1:3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10"/>
    </row>
    <row r="2350" spans="1:3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10"/>
    </row>
    <row r="2351" spans="1:3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10"/>
    </row>
    <row r="2352" spans="1:3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10"/>
    </row>
    <row r="2353" spans="1:3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10"/>
    </row>
    <row r="2354" spans="1:3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10"/>
    </row>
    <row r="2355" spans="1:3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10"/>
    </row>
    <row r="2356" spans="1:3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10"/>
    </row>
    <row r="2357" spans="1:3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10"/>
    </row>
    <row r="2358" spans="1:3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10"/>
    </row>
    <row r="2359" spans="1:3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10"/>
    </row>
    <row r="2360" spans="1:3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10"/>
    </row>
    <row r="2361" spans="1:3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10"/>
    </row>
    <row r="2362" spans="1:3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10"/>
    </row>
    <row r="2363" spans="1:3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10"/>
    </row>
    <row r="2364" spans="1:3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10"/>
    </row>
    <row r="2365" spans="1:3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10"/>
    </row>
    <row r="2366" spans="1:3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10"/>
    </row>
    <row r="2367" spans="1:3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10"/>
    </row>
    <row r="2368" spans="1:3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10"/>
    </row>
    <row r="2369" spans="1:3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10"/>
    </row>
    <row r="2370" spans="1:3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10"/>
    </row>
    <row r="2371" spans="1:3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10"/>
    </row>
    <row r="2372" spans="1:3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10"/>
    </row>
    <row r="2373" spans="1:3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10"/>
    </row>
    <row r="2374" spans="1:3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10"/>
    </row>
    <row r="2375" spans="1:3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10"/>
    </row>
    <row r="2376" spans="1:3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10"/>
    </row>
    <row r="2377" spans="1:3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10"/>
    </row>
    <row r="2378" spans="1:3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10"/>
    </row>
    <row r="2379" spans="1:3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10"/>
    </row>
    <row r="2380" spans="1:3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10"/>
    </row>
    <row r="2381" spans="1:3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10"/>
    </row>
    <row r="2382" spans="1:3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10"/>
    </row>
    <row r="2383" spans="1:3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10"/>
    </row>
    <row r="2384" spans="1:3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10"/>
    </row>
    <row r="2385" spans="1:3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10"/>
    </row>
    <row r="2386" spans="1:3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10"/>
    </row>
    <row r="2387" spans="1:3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10"/>
    </row>
    <row r="2388" spans="1:3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10"/>
    </row>
    <row r="2389" spans="1:3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10"/>
    </row>
    <row r="2390" spans="1:3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10"/>
    </row>
    <row r="2391" spans="1:3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10"/>
    </row>
    <row r="2392" spans="1:3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10"/>
    </row>
    <row r="2393" spans="1:3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10"/>
    </row>
    <row r="2394" spans="1:3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10"/>
    </row>
    <row r="2395" spans="1:3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10"/>
    </row>
    <row r="2396" spans="1:3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10"/>
    </row>
    <row r="2397" spans="1:3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10"/>
    </row>
    <row r="2398" spans="1:3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10"/>
    </row>
    <row r="2399" spans="1:3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10"/>
    </row>
    <row r="2400" spans="1:3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10"/>
    </row>
    <row r="2401" spans="1:3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10"/>
    </row>
    <row r="2402" spans="1:3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10"/>
    </row>
    <row r="2403" spans="1:3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10"/>
    </row>
    <row r="2404" spans="1:3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10"/>
    </row>
    <row r="2405" spans="1:3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10"/>
    </row>
    <row r="2406" spans="1:3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10"/>
    </row>
    <row r="2407" spans="1:3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10"/>
    </row>
    <row r="2408" spans="1:3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10"/>
    </row>
    <row r="2409" spans="1:3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10"/>
    </row>
    <row r="2410" spans="1:3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10"/>
    </row>
    <row r="2411" spans="1:3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10"/>
    </row>
    <row r="2412" spans="1:3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10"/>
    </row>
    <row r="2413" spans="1:3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10"/>
    </row>
    <row r="2414" spans="1:3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10"/>
    </row>
    <row r="2415" spans="1:3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10"/>
    </row>
    <row r="2416" spans="1:3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10"/>
    </row>
    <row r="2417" spans="1:3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10"/>
    </row>
    <row r="2418" spans="1:3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10"/>
    </row>
    <row r="2419" spans="1:3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10"/>
    </row>
    <row r="2420" spans="1:3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10"/>
    </row>
    <row r="2421" spans="1:3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10"/>
    </row>
    <row r="2422" spans="1:3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10"/>
    </row>
    <row r="2423" spans="1:3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10"/>
    </row>
    <row r="2424" spans="1:3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10"/>
    </row>
    <row r="2425" spans="1:3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10"/>
    </row>
    <row r="2426" spans="1:3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10"/>
    </row>
    <row r="2427" spans="1:3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10"/>
    </row>
    <row r="2428" spans="1:3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10"/>
    </row>
    <row r="2429" spans="1:3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10"/>
    </row>
    <row r="2430" spans="1:3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10"/>
    </row>
    <row r="2431" spans="1:3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10"/>
    </row>
    <row r="2432" spans="1:3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10"/>
    </row>
    <row r="2433" spans="1:3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10"/>
    </row>
    <row r="2434" spans="1:3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10"/>
    </row>
    <row r="2435" spans="1:3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10"/>
    </row>
    <row r="2436" spans="1:3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10"/>
    </row>
    <row r="2437" spans="1:3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10"/>
    </row>
    <row r="2438" spans="1:3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10"/>
    </row>
    <row r="2439" spans="1:3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10"/>
    </row>
    <row r="2440" spans="1:3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10"/>
    </row>
    <row r="2441" spans="1:3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10"/>
    </row>
    <row r="2442" spans="1:3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10"/>
    </row>
    <row r="2443" spans="1:3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10"/>
    </row>
    <row r="2444" spans="1:3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10"/>
    </row>
    <row r="2445" spans="1:3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10"/>
    </row>
    <row r="2446" spans="1:3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10"/>
    </row>
    <row r="2447" spans="1:3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10"/>
    </row>
    <row r="2448" spans="1:3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10"/>
    </row>
    <row r="2449" spans="1:3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10"/>
    </row>
    <row r="2450" spans="1:3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10"/>
    </row>
    <row r="2451" spans="1:3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10"/>
    </row>
    <row r="2452" spans="1:3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10"/>
    </row>
    <row r="2453" spans="1:3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10"/>
    </row>
    <row r="2454" spans="1:3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10"/>
    </row>
    <row r="2455" spans="1:3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10"/>
    </row>
    <row r="2456" spans="1:3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10"/>
    </row>
    <row r="2457" spans="1:3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10"/>
    </row>
    <row r="2458" spans="1:3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10"/>
    </row>
    <row r="2459" spans="1:3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10"/>
    </row>
    <row r="2460" spans="1:3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10"/>
    </row>
    <row r="2461" spans="1:3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10"/>
    </row>
    <row r="2462" spans="1:3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10"/>
    </row>
    <row r="2463" spans="1:3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10"/>
    </row>
    <row r="2464" spans="1:3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10"/>
    </row>
    <row r="2465" spans="1:3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10"/>
    </row>
    <row r="2466" spans="1:3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10"/>
    </row>
    <row r="2467" spans="1:3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10"/>
    </row>
    <row r="2468" spans="1:3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10"/>
    </row>
    <row r="2469" spans="1:3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10"/>
    </row>
    <row r="2470" spans="1:3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10"/>
    </row>
    <row r="2471" spans="1:3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10"/>
    </row>
    <row r="2472" spans="1:3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10"/>
    </row>
    <row r="2473" spans="1:3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10"/>
    </row>
    <row r="2474" spans="1:3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10"/>
    </row>
    <row r="2475" spans="1:3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10"/>
    </row>
    <row r="2476" spans="1:3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10"/>
    </row>
    <row r="2477" spans="1:3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10"/>
    </row>
    <row r="2478" spans="1:3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10"/>
    </row>
    <row r="2479" spans="1:3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10"/>
    </row>
    <row r="2480" spans="1:3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10"/>
    </row>
    <row r="2481" spans="1:3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10"/>
    </row>
    <row r="2482" spans="1:3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10"/>
    </row>
    <row r="2483" spans="1:3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10"/>
    </row>
    <row r="2484" spans="1:3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10"/>
    </row>
    <row r="2485" spans="1:3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10"/>
    </row>
    <row r="2486" spans="1:3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10"/>
    </row>
    <row r="2487" spans="1:3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10"/>
    </row>
    <row r="2488" spans="1:3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10"/>
    </row>
    <row r="2489" spans="1:3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10"/>
    </row>
    <row r="2490" spans="1:3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10"/>
    </row>
    <row r="2491" spans="1:3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10"/>
    </row>
    <row r="2492" spans="1:3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10"/>
    </row>
    <row r="2493" spans="1:3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10"/>
    </row>
    <row r="2494" spans="1:3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10"/>
    </row>
    <row r="2495" spans="1:3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10"/>
    </row>
    <row r="2496" spans="1:3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10"/>
    </row>
    <row r="2497" spans="1:3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10"/>
    </row>
    <row r="2498" spans="1:3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10"/>
    </row>
    <row r="2499" spans="1:3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10"/>
    </row>
    <row r="2500" spans="1:3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10"/>
    </row>
    <row r="2501" spans="1:3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10"/>
    </row>
    <row r="2502" spans="1:3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10"/>
    </row>
    <row r="2503" spans="1:3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10"/>
    </row>
    <row r="2504" spans="1:3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10"/>
    </row>
    <row r="2505" spans="1:3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10"/>
    </row>
    <row r="2506" spans="1:3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10"/>
    </row>
    <row r="2507" spans="1:3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10"/>
    </row>
    <row r="2508" spans="1:3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10"/>
    </row>
    <row r="2509" spans="1:3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10"/>
    </row>
    <row r="2510" spans="1:3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10"/>
    </row>
    <row r="2511" spans="1:3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10"/>
    </row>
    <row r="2512" spans="1:3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10"/>
    </row>
    <row r="2513" spans="1:3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10"/>
    </row>
    <row r="2514" spans="1:3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10"/>
    </row>
    <row r="2515" spans="1:3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10"/>
    </row>
    <row r="2516" spans="1:3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10"/>
    </row>
    <row r="2517" spans="1:3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10"/>
    </row>
    <row r="2518" spans="1:3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10"/>
    </row>
    <row r="2519" spans="1:3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10"/>
    </row>
    <row r="2520" spans="1:3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10"/>
    </row>
    <row r="2521" spans="1:3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10"/>
    </row>
    <row r="2522" spans="1:3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10"/>
    </row>
    <row r="2523" spans="1:3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10"/>
    </row>
    <row r="2524" spans="1:3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10"/>
    </row>
    <row r="2525" spans="1:3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10"/>
    </row>
    <row r="2526" spans="1:3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10"/>
    </row>
    <row r="2527" spans="1:3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10"/>
    </row>
    <row r="2528" spans="1:3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10"/>
    </row>
    <row r="2529" spans="1:3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10"/>
    </row>
    <row r="2530" spans="1:3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10"/>
    </row>
    <row r="2531" spans="1:3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10"/>
    </row>
    <row r="2532" spans="1:3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10"/>
    </row>
    <row r="2533" spans="1:3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10"/>
    </row>
    <row r="2534" spans="1:3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10"/>
    </row>
    <row r="2535" spans="1:3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10"/>
    </row>
    <row r="2536" spans="1:3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10"/>
    </row>
    <row r="2537" spans="1:3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10"/>
    </row>
    <row r="2538" spans="1:3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10"/>
    </row>
    <row r="2539" spans="1:3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10"/>
    </row>
    <row r="2540" spans="1:3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10"/>
    </row>
    <row r="2541" spans="1:3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10"/>
    </row>
    <row r="2542" spans="1:3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10"/>
    </row>
    <row r="2543" spans="1:3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10"/>
    </row>
    <row r="2544" spans="1:3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10"/>
    </row>
    <row r="2545" spans="1:3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10"/>
    </row>
    <row r="2546" spans="1:3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10"/>
    </row>
    <row r="2547" spans="1:3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10"/>
    </row>
    <row r="2548" spans="1:3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10"/>
    </row>
    <row r="2549" spans="1:3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10"/>
    </row>
    <row r="2550" spans="1:3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10"/>
    </row>
    <row r="2551" spans="1:3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10"/>
    </row>
    <row r="2552" spans="1:3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10"/>
    </row>
    <row r="2553" spans="1:3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10"/>
    </row>
    <row r="2554" spans="1:3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10"/>
    </row>
    <row r="2555" spans="1:3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10"/>
    </row>
    <row r="2556" spans="1:3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10"/>
    </row>
    <row r="2557" spans="1:3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10"/>
    </row>
    <row r="2558" spans="1:3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10"/>
    </row>
    <row r="2559" spans="1:3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10"/>
    </row>
    <row r="2560" spans="1:3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10"/>
    </row>
    <row r="2561" spans="1:3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10"/>
    </row>
    <row r="2562" spans="1:3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10"/>
    </row>
    <row r="2563" spans="1:3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10"/>
    </row>
    <row r="2564" spans="1:3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10"/>
    </row>
    <row r="2565" spans="1:3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10"/>
    </row>
    <row r="2566" spans="1:3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10"/>
    </row>
    <row r="2567" spans="1:3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10"/>
    </row>
    <row r="2568" spans="1:3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10"/>
    </row>
    <row r="2569" spans="1:3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10"/>
    </row>
    <row r="2570" spans="1:3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10"/>
    </row>
    <row r="2571" spans="1:3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10"/>
    </row>
    <row r="2572" spans="1:3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10"/>
    </row>
    <row r="2573" spans="1:3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10"/>
    </row>
    <row r="2574" spans="1:3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10"/>
    </row>
    <row r="2575" spans="1:3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10"/>
    </row>
    <row r="2576" spans="1:3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10"/>
    </row>
    <row r="2577" spans="1:3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10"/>
    </row>
    <row r="2578" spans="1:3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10"/>
    </row>
    <row r="2579" spans="1:3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10"/>
    </row>
    <row r="2580" spans="1:3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10"/>
    </row>
    <row r="2581" spans="1:3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10"/>
    </row>
    <row r="2582" spans="1:3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10"/>
    </row>
    <row r="2583" spans="1:3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10"/>
    </row>
    <row r="2584" spans="1:3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10"/>
    </row>
    <row r="2585" spans="1:3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10"/>
    </row>
    <row r="2586" spans="1:3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10"/>
    </row>
    <row r="2587" spans="1:3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10"/>
    </row>
    <row r="2588" spans="1:3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10"/>
    </row>
    <row r="2589" spans="1:3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10"/>
    </row>
    <row r="2590" spans="1:3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10"/>
    </row>
    <row r="2591" spans="1:3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10"/>
    </row>
    <row r="2592" spans="1:3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10"/>
    </row>
    <row r="2593" spans="1:3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10"/>
    </row>
    <row r="2594" spans="1:3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10"/>
    </row>
    <row r="2595" spans="1:3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10"/>
    </row>
    <row r="2596" spans="1:3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10"/>
    </row>
    <row r="2597" spans="1:3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10"/>
    </row>
    <row r="2598" spans="1:3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10"/>
    </row>
    <row r="2599" spans="1:3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10"/>
    </row>
    <row r="2600" spans="1:3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10"/>
    </row>
    <row r="2601" spans="1:3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10"/>
    </row>
    <row r="2602" spans="1:3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10"/>
    </row>
    <row r="2603" spans="1:3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10"/>
    </row>
    <row r="2604" spans="1:3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10"/>
    </row>
    <row r="2605" spans="1:3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10"/>
    </row>
    <row r="2606" spans="1:3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10"/>
    </row>
    <row r="2607" spans="1:3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10"/>
    </row>
    <row r="2608" spans="1:3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10"/>
    </row>
    <row r="2609" spans="1:3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10"/>
    </row>
    <row r="2610" spans="1:3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10"/>
    </row>
    <row r="2611" spans="1:3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10"/>
    </row>
    <row r="2612" spans="1:3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10"/>
    </row>
    <row r="2613" spans="1:3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10"/>
    </row>
    <row r="2614" spans="1:3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10"/>
    </row>
    <row r="2615" spans="1:3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10"/>
    </row>
    <row r="2616" spans="1:3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10"/>
    </row>
    <row r="2617" spans="1:3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10"/>
    </row>
    <row r="2618" spans="1:3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10"/>
    </row>
    <row r="2619" spans="1:3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10"/>
    </row>
    <row r="2620" spans="1:3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10"/>
    </row>
    <row r="2621" spans="1:3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10"/>
    </row>
    <row r="2622" spans="1:3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10"/>
    </row>
    <row r="2623" spans="1:3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10"/>
    </row>
    <row r="2624" spans="1:3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10"/>
    </row>
    <row r="2625" spans="1:3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10"/>
    </row>
    <row r="2626" spans="1:3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10"/>
    </row>
    <row r="2627" spans="1:3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10"/>
    </row>
    <row r="2628" spans="1:3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10"/>
    </row>
    <row r="2629" spans="1:3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10"/>
    </row>
    <row r="2630" spans="1:3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10"/>
    </row>
    <row r="2631" spans="1:3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10"/>
    </row>
    <row r="2632" spans="1:3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10"/>
    </row>
    <row r="2633" spans="1:3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10"/>
    </row>
    <row r="2634" spans="1:3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10"/>
    </row>
    <row r="2635" spans="1:3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10"/>
    </row>
    <row r="2636" spans="1:3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10"/>
    </row>
    <row r="2637" spans="1:3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10"/>
    </row>
    <row r="2638" spans="1:3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10"/>
    </row>
    <row r="2639" spans="1:3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10"/>
    </row>
    <row r="2640" spans="1:3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10"/>
    </row>
    <row r="2641" spans="1:3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10"/>
    </row>
    <row r="2642" spans="1:3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10"/>
    </row>
    <row r="2643" spans="1:3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10"/>
    </row>
    <row r="2644" spans="1:3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10"/>
    </row>
    <row r="2645" spans="1:3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10"/>
    </row>
    <row r="2646" spans="1:3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10"/>
    </row>
    <row r="2647" spans="1:3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10"/>
    </row>
    <row r="2648" spans="1:3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10"/>
    </row>
    <row r="2649" spans="1:3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10"/>
    </row>
    <row r="2650" spans="1:3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10"/>
    </row>
    <row r="2651" spans="1:3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10"/>
    </row>
    <row r="2652" spans="1:3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10"/>
    </row>
    <row r="2653" spans="1:3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10"/>
    </row>
    <row r="2654" spans="1:3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10"/>
    </row>
    <row r="2655" spans="1:3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10"/>
    </row>
    <row r="2656" spans="1:3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10"/>
    </row>
    <row r="2657" spans="1:3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10"/>
    </row>
    <row r="2658" spans="1:3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10"/>
    </row>
    <row r="2659" spans="1:3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10"/>
    </row>
    <row r="2660" spans="1:3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10"/>
    </row>
    <row r="2661" spans="1:3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10"/>
    </row>
    <row r="2662" spans="1:3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10"/>
    </row>
    <row r="2663" spans="1:3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10"/>
    </row>
    <row r="2664" spans="1:3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10"/>
    </row>
    <row r="2665" spans="1:3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10"/>
    </row>
    <row r="2666" spans="1:3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10"/>
    </row>
    <row r="2667" spans="1:3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10"/>
    </row>
    <row r="2668" spans="1:3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10"/>
    </row>
    <row r="2669" spans="1:3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10"/>
    </row>
    <row r="2670" spans="1:3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10"/>
    </row>
    <row r="2671" spans="1:3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10"/>
    </row>
    <row r="2672" spans="1:3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10"/>
    </row>
    <row r="2673" spans="1:3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10"/>
    </row>
    <row r="2674" spans="1:3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10"/>
    </row>
    <row r="2675" spans="1:3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10"/>
    </row>
    <row r="2676" spans="1:3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10"/>
    </row>
    <row r="2677" spans="1:3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10"/>
    </row>
    <row r="2678" spans="1:3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10"/>
    </row>
    <row r="2679" spans="1:3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10"/>
    </row>
    <row r="2680" spans="1:3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10"/>
    </row>
    <row r="2681" spans="1:3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10"/>
    </row>
    <row r="2682" spans="1:3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10"/>
    </row>
    <row r="2683" spans="1:3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10"/>
    </row>
    <row r="2684" spans="1:3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10"/>
    </row>
    <row r="2685" spans="1:33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/>
      <c r="AD2685" s="5"/>
      <c r="AE2685" s="11"/>
      <c r="AF2685" s="11"/>
      <c r="AG2685" s="9"/>
    </row>
    <row r="2686" spans="1:33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/>
      <c r="AD2686" s="5"/>
      <c r="AG2686" s="9"/>
    </row>
    <row r="2687" spans="1:33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/>
      <c r="AD2687" s="5"/>
      <c r="AG2687" s="9"/>
    </row>
    <row r="2688" spans="1:33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/>
      <c r="AD2688" s="5"/>
      <c r="AG2688" s="9"/>
    </row>
    <row r="2689" spans="1:33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/>
      <c r="AD2689" s="5"/>
      <c r="AG2689" s="9"/>
    </row>
    <row r="2690" spans="1:33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/>
      <c r="AD2690" s="5"/>
      <c r="AG2690" s="9"/>
    </row>
    <row r="2691" spans="1:33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/>
      <c r="AD2691" s="5"/>
      <c r="AG2691" s="9"/>
    </row>
    <row r="2692" spans="1:33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/>
      <c r="AD2692" s="5"/>
      <c r="AG2692" s="9"/>
    </row>
    <row r="2693" spans="1:33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/>
      <c r="AD2693" s="5"/>
      <c r="AG2693" s="9"/>
    </row>
    <row r="2694" spans="1:33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/>
      <c r="AD2694" s="5"/>
      <c r="AG2694" s="9"/>
    </row>
    <row r="2695" spans="1:33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/>
      <c r="AD2695" s="5"/>
      <c r="AG2695" s="9"/>
    </row>
    <row r="2696" spans="1:33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/>
      <c r="AD2696" s="5"/>
      <c r="AG2696" s="9"/>
    </row>
    <row r="2697" spans="1:33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/>
      <c r="AD2697" s="5"/>
      <c r="AG2697" s="9"/>
    </row>
    <row r="2698" spans="1:33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/>
      <c r="AD2698" s="5"/>
      <c r="AG2698" s="9"/>
    </row>
    <row r="2699" spans="1:33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/>
      <c r="AD2699" s="5"/>
      <c r="AG2699" s="9"/>
    </row>
    <row r="2700" spans="1:33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/>
      <c r="AD2700" s="5"/>
      <c r="AG2700" s="9"/>
    </row>
    <row r="2701" spans="1:33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/>
      <c r="AD2701" s="5"/>
      <c r="AG2701" s="9"/>
    </row>
    <row r="2702" spans="1:33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/>
      <c r="AD2702" s="5"/>
      <c r="AG2702" s="9"/>
    </row>
    <row r="2703" spans="1:33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  <c r="AG2703" s="9"/>
    </row>
    <row r="2704" spans="1:33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G2704" s="9"/>
    </row>
    <row r="2705" spans="1:33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  <c r="AG2705" s="9"/>
    </row>
    <row r="2706" spans="1:33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/>
      <c r="AD2706" s="5"/>
      <c r="AG2706" s="9"/>
    </row>
    <row r="2707" spans="1:33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  <c r="AG2707" s="9"/>
    </row>
    <row r="2708" spans="1:33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/>
      <c r="AD2708" s="5"/>
      <c r="AG2708" s="9"/>
    </row>
    <row r="2709" spans="1:33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  <c r="AG2709" s="9"/>
    </row>
    <row r="2710" spans="1:33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G2710" s="9"/>
    </row>
    <row r="2711" spans="1:33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  <c r="AG2711" s="9"/>
    </row>
    <row r="2712" spans="1:33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G2712" s="9"/>
    </row>
    <row r="2713" spans="1:33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G2713" s="9"/>
    </row>
    <row r="2714" spans="1:33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  <c r="AG2714" s="9"/>
    </row>
    <row r="2715" spans="1:33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  <c r="AG2715" s="9"/>
    </row>
    <row r="2716" spans="1:33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G2716" s="9"/>
    </row>
    <row r="2717" spans="1:33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  <c r="AG2717" s="9"/>
    </row>
    <row r="2718" spans="1:33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  <c r="AG2718" s="9"/>
    </row>
    <row r="2719" spans="1:33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G2719" s="9"/>
    </row>
    <row r="2720" spans="1:33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  <c r="AG2720" s="9"/>
    </row>
    <row r="2721" spans="1:33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  <c r="AG2721" s="9"/>
    </row>
    <row r="2722" spans="1:33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G2722" s="9"/>
    </row>
    <row r="2723" spans="1:33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  <c r="AG2723" s="9"/>
    </row>
    <row r="2724" spans="1:33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  <c r="AG2724" s="9"/>
    </row>
    <row r="2725" spans="1:33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  <c r="AG2725" s="9"/>
    </row>
    <row r="2726" spans="1:33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  <c r="AG2726" s="9"/>
    </row>
    <row r="2727" spans="1:33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  <c r="AG2727" s="9"/>
    </row>
    <row r="2728" spans="1:33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G2728" s="9"/>
    </row>
    <row r="2729" spans="1:33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  <c r="AG2729" s="9"/>
    </row>
    <row r="2730" spans="1:33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  <c r="AG2730" s="9"/>
    </row>
    <row r="2731" spans="1:33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  <c r="AG2731" s="9"/>
    </row>
    <row r="2732" spans="1:33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  <c r="AG2732" s="9"/>
    </row>
    <row r="2733" spans="1:33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  <c r="AG2733" s="9"/>
    </row>
    <row r="2734" spans="1:33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  <c r="AG2734" s="9"/>
    </row>
    <row r="2735" spans="1:33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  <c r="AG2735" s="9"/>
    </row>
    <row r="2736" spans="1:33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  <c r="AG2736" s="9"/>
    </row>
    <row r="2737" spans="1:33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G2737" s="9"/>
    </row>
    <row r="2738" spans="1:33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  <c r="AG2738" s="9"/>
    </row>
    <row r="2739" spans="1:33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  <c r="AG2739" s="9"/>
    </row>
    <row r="2740" spans="1:33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G2740" s="9"/>
    </row>
    <row r="2741" spans="1:33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G2741" s="9"/>
    </row>
    <row r="2742" spans="1:33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  <c r="AG2742" s="9"/>
    </row>
    <row r="2743" spans="1:33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G2743" s="9"/>
    </row>
    <row r="2744" spans="1:33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  <c r="AG2744" s="9"/>
    </row>
    <row r="2745" spans="1:33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  <c r="AG2745" s="9"/>
    </row>
    <row r="2746" spans="1:33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G2746" s="9"/>
    </row>
    <row r="2747" spans="1:33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  <c r="AG2747" s="9"/>
    </row>
    <row r="2748" spans="1:33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  <c r="AG2748" s="9"/>
    </row>
    <row r="2749" spans="1:33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G2749" s="9"/>
    </row>
    <row r="2750" spans="1:33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  <c r="AG2750" s="9"/>
    </row>
    <row r="2751" spans="1:33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  <c r="AG2751" s="9"/>
    </row>
    <row r="2752" spans="1:33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  <c r="AG2752" s="9"/>
    </row>
    <row r="2753" spans="1:33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  <c r="AG2753" s="9"/>
    </row>
    <row r="2754" spans="1:33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  <c r="AG2754" s="9"/>
    </row>
    <row r="2755" spans="1:33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G2755" s="9"/>
    </row>
    <row r="2756" spans="1:33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  <c r="AG2756" s="9"/>
    </row>
    <row r="2757" spans="1:33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  <c r="AG2757" s="9"/>
    </row>
    <row r="2758" spans="1:33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  <c r="AG2758" s="9"/>
    </row>
    <row r="2759" spans="1:33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  <c r="AG2759" s="9"/>
    </row>
    <row r="2760" spans="1:33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  <c r="AG2760" s="9"/>
    </row>
    <row r="2761" spans="1:33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  <c r="AG2761" s="9"/>
    </row>
    <row r="2762" spans="1:33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  <c r="AG2762" s="9"/>
    </row>
    <row r="2763" spans="1:33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  <c r="AG2763" s="9"/>
    </row>
    <row r="2764" spans="1:33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  <c r="AG2764" s="9"/>
    </row>
    <row r="2765" spans="1:33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  <c r="AG2765" s="9"/>
    </row>
    <row r="2766" spans="1:33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  <c r="AG2766" s="9"/>
    </row>
    <row r="2767" spans="1:33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  <c r="AG2767" s="9"/>
    </row>
    <row r="2768" spans="1:33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  <c r="AG2768" s="9"/>
    </row>
    <row r="2769" spans="1:33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  <c r="AG2769" s="9"/>
    </row>
    <row r="2770" spans="1:33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  <c r="AG2770" s="9"/>
    </row>
    <row r="2771" spans="1:33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  <c r="AG2771" s="9"/>
    </row>
    <row r="2772" spans="1:33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  <c r="AG2772" s="9"/>
    </row>
    <row r="2773" spans="1:33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G2773" s="9"/>
    </row>
    <row r="2774" spans="1:33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  <c r="AG2774" s="9"/>
    </row>
    <row r="2775" spans="1:33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  <c r="AG2775" s="9"/>
    </row>
    <row r="2776" spans="1:33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  <c r="AG2776" s="9"/>
    </row>
    <row r="2777" spans="1:33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G2777" s="9"/>
    </row>
    <row r="2778" spans="1:33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  <c r="AG2778" s="9"/>
    </row>
    <row r="2779" spans="1:33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  <c r="AG2779" s="9"/>
    </row>
    <row r="2780" spans="1:33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  <c r="AG2780" s="9"/>
    </row>
    <row r="2781" spans="1:33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  <c r="AG2781" s="9"/>
    </row>
    <row r="2782" spans="1:33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  <c r="AG2782" s="9"/>
    </row>
    <row r="2783" spans="1:33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  <c r="AG2783" s="9"/>
    </row>
    <row r="2784" spans="1:33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  <c r="AG2784" s="9"/>
    </row>
    <row r="2785" spans="1:33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  <c r="AG2785" s="9"/>
    </row>
    <row r="2786" spans="1:33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  <c r="AG2786" s="9"/>
    </row>
    <row r="2787" spans="1:33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  <c r="AG2787" s="9"/>
    </row>
    <row r="2788" spans="1:33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  <c r="AG2788" s="9"/>
    </row>
    <row r="2789" spans="1:33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  <c r="AG2789" s="9"/>
    </row>
    <row r="2790" spans="1:33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  <c r="AG2790" s="9"/>
    </row>
    <row r="2791" spans="1:33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  <c r="AG2791" s="9"/>
    </row>
    <row r="2792" spans="1:33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  <c r="AG2792" s="9"/>
    </row>
    <row r="2793" spans="1:33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  <c r="AG2793" s="9"/>
    </row>
    <row r="2794" spans="1:33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  <c r="AG2794" s="9"/>
    </row>
    <row r="2795" spans="1:33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  <c r="AG2795" s="9"/>
    </row>
    <row r="2796" spans="1:33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  <c r="AG2796" s="9"/>
    </row>
    <row r="2797" spans="1:33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  <c r="AG2797" s="9"/>
    </row>
    <row r="2798" spans="1:33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G2798" s="9"/>
    </row>
    <row r="2799" spans="1:33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  <c r="AG2799" s="9"/>
    </row>
    <row r="2800" spans="1:33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  <c r="AG2800" s="9"/>
    </row>
    <row r="2801" spans="1:33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  <c r="AG2801" s="9"/>
    </row>
    <row r="2802" spans="1:33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  <c r="AE2802" s="6"/>
      <c r="AF2802" s="6"/>
      <c r="AG2802" s="9"/>
    </row>
    <row r="2803" spans="1:33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  <c r="AG2803" s="9"/>
    </row>
    <row r="2804" spans="1:33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  <c r="AG2804" s="9"/>
    </row>
    <row r="2805" spans="1:33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  <c r="AG2805" s="9"/>
    </row>
    <row r="2806" spans="1:33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  <c r="AG2806" s="9"/>
    </row>
    <row r="2807" spans="1:33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  <c r="AG2807" s="9"/>
    </row>
    <row r="2808" spans="1:33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  <c r="AG2808" s="9"/>
    </row>
    <row r="2809" spans="1:33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  <c r="AG2809" s="9"/>
    </row>
    <row r="2810" spans="1:33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  <c r="AG2810" s="9"/>
    </row>
    <row r="2811" spans="1:33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  <c r="AG2811" s="9"/>
    </row>
    <row r="2812" spans="1:33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  <c r="AG2812" s="9"/>
    </row>
    <row r="2813" spans="1:33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G2813" s="9"/>
    </row>
    <row r="2814" spans="1:33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  <c r="AG2814" s="9"/>
    </row>
    <row r="2815" spans="1:33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  <c r="AG2815" s="9"/>
    </row>
    <row r="2816" spans="1:33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  <c r="AG2816" s="9"/>
    </row>
    <row r="2817" spans="1:33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  <c r="AG2817" s="9"/>
    </row>
    <row r="2818" spans="1:33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  <c r="AG2818" s="9"/>
    </row>
    <row r="2819" spans="1:33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  <c r="AG2819" s="9"/>
    </row>
    <row r="2820" spans="1:33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  <c r="AG2820" s="9"/>
    </row>
    <row r="2821" spans="1:33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  <c r="AG2821" s="9"/>
    </row>
    <row r="2822" spans="1:33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  <c r="AG2822" s="9"/>
    </row>
    <row r="2823" spans="1:33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  <c r="AG2823" s="9"/>
    </row>
    <row r="2824" spans="1:33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  <c r="AG2824" s="9"/>
    </row>
    <row r="2825" spans="1:33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  <c r="AG2825" s="9"/>
    </row>
    <row r="2826" spans="1:33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  <c r="AG2826" s="9"/>
    </row>
    <row r="2827" spans="1:33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  <c r="AG2827" s="9"/>
    </row>
    <row r="2828" spans="1:33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  <c r="AG2828" s="9"/>
    </row>
    <row r="2829" spans="1:33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  <c r="AG2829" s="9"/>
    </row>
    <row r="2830" spans="1:33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  <c r="AG2830" s="9"/>
    </row>
    <row r="2831" spans="1:33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  <c r="AG2831" s="9"/>
    </row>
    <row r="2832" spans="1:33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  <c r="AG2832" s="9"/>
    </row>
    <row r="2833" spans="1:33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  <c r="AG2833" s="9"/>
    </row>
    <row r="2834" spans="1:33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  <c r="AG2834" s="9"/>
    </row>
    <row r="2835" spans="1:33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  <c r="AG2835" s="9"/>
    </row>
    <row r="2836" spans="1:33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  <c r="AG2836" s="9"/>
    </row>
    <row r="2837" spans="1:33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  <c r="AG2837" s="9"/>
    </row>
    <row r="2838" spans="1:33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  <c r="AG2838" s="9"/>
    </row>
    <row r="2839" spans="1:33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  <c r="AG2839" s="9"/>
    </row>
    <row r="2840" spans="1:33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  <c r="AG2840" s="9"/>
    </row>
    <row r="2841" spans="1:33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G2841" s="9"/>
    </row>
    <row r="2842" spans="1:33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  <c r="AG2842" s="9"/>
    </row>
    <row r="2843" spans="1:33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  <c r="AG2843" s="9"/>
    </row>
    <row r="2844" spans="1:33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  <c r="AG2844" s="9"/>
    </row>
    <row r="2845" spans="1:33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  <c r="AG2845" s="9"/>
    </row>
    <row r="2846" spans="1:33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  <c r="AG2846" s="9"/>
    </row>
    <row r="2847" spans="1:33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  <c r="AG2847" s="9"/>
    </row>
    <row r="2848" spans="1:33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  <c r="AG2848" s="9"/>
    </row>
    <row r="2849" spans="1:33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G2849" s="9"/>
    </row>
    <row r="2850" spans="1:33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  <c r="AG2850" s="9"/>
    </row>
    <row r="2851" spans="1:33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  <c r="AG2851" s="9"/>
    </row>
    <row r="2852" spans="1:33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  <c r="AG2852" s="9"/>
    </row>
    <row r="2853" spans="1:33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  <c r="AG2853" s="9"/>
    </row>
    <row r="2854" spans="1:33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  <c r="AG2854" s="9"/>
    </row>
    <row r="2855" spans="1:33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  <c r="AG2855" s="9"/>
    </row>
    <row r="2856" spans="1:33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  <c r="AG2856" s="9"/>
    </row>
    <row r="2857" spans="1:33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  <c r="AG2857" s="9"/>
    </row>
    <row r="2858" spans="1:33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  <c r="AG2858" s="9"/>
    </row>
    <row r="2859" spans="1:33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  <c r="AG2859" s="9"/>
    </row>
    <row r="2860" spans="1:33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  <c r="AG2860" s="9"/>
    </row>
    <row r="2861" spans="1:33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  <c r="AG2861" s="9"/>
    </row>
    <row r="2862" spans="1:33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  <c r="AG2862" s="9"/>
    </row>
    <row r="2863" spans="1:33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  <c r="AG2863" s="9"/>
    </row>
    <row r="2864" spans="1:33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  <c r="AG2864" s="9"/>
    </row>
    <row r="2865" spans="1:33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  <c r="AG2865" s="9"/>
    </row>
    <row r="2866" spans="1:33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  <c r="AG2866" s="9"/>
    </row>
    <row r="2867" spans="1:33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  <c r="AG2867" s="9"/>
    </row>
    <row r="2868" spans="1:33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  <c r="AG2868" s="9"/>
    </row>
    <row r="2869" spans="1:33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  <c r="AG2869" s="9"/>
    </row>
    <row r="2870" spans="1:33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  <c r="AG2870" s="9"/>
    </row>
    <row r="2871" spans="1:33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  <c r="AG2871" s="9"/>
    </row>
    <row r="2872" spans="1:33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  <c r="AG2872" s="9"/>
    </row>
    <row r="2873" spans="1:33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  <c r="AG2873" s="9"/>
    </row>
    <row r="2874" spans="1:33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  <c r="AG2874" s="9"/>
    </row>
    <row r="2875" spans="1:33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  <c r="AG2875" s="9"/>
    </row>
    <row r="2876" spans="1:33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  <c r="AG2876" s="9"/>
    </row>
    <row r="2877" spans="1:33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  <c r="AG2877" s="9"/>
    </row>
    <row r="2878" spans="1:33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  <c r="AG2878" s="9"/>
    </row>
    <row r="2879" spans="1:33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  <c r="AG2879" s="9"/>
    </row>
    <row r="2880" spans="1:33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  <c r="AG2880" s="9"/>
    </row>
    <row r="2881" spans="1:33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  <c r="AG2881" s="9"/>
    </row>
    <row r="2882" spans="1:33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  <c r="AG2882" s="9"/>
    </row>
    <row r="2883" spans="1:33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  <c r="AG2883" s="9"/>
    </row>
    <row r="2884" spans="1:33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  <c r="AG2884" s="9"/>
    </row>
    <row r="2885" spans="1:33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G2885" s="9"/>
    </row>
    <row r="2886" spans="1:33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  <c r="AG2886" s="9"/>
    </row>
    <row r="2887" spans="1:33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  <c r="AG2887" s="9"/>
    </row>
    <row r="2888" spans="1:33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  <c r="AG2888" s="9"/>
    </row>
    <row r="2889" spans="1:33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  <c r="AG2889" s="9"/>
    </row>
    <row r="2890" spans="1:33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  <c r="AG2890" s="9"/>
    </row>
    <row r="2891" spans="1:33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  <c r="AG2891" s="9"/>
    </row>
    <row r="2892" spans="1:33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  <c r="AG2892" s="9"/>
    </row>
    <row r="2893" spans="1:33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  <c r="AG2893" s="9"/>
    </row>
    <row r="2894" spans="1:33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  <c r="AG2894" s="9"/>
    </row>
    <row r="2895" spans="1:33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  <c r="AG2895" s="9"/>
    </row>
    <row r="2896" spans="1:33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  <c r="AG2896" s="9"/>
    </row>
    <row r="2897" spans="1:33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  <c r="AG2897" s="9"/>
    </row>
    <row r="2898" spans="1:33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  <c r="AG2898" s="9"/>
    </row>
    <row r="2899" spans="1:33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  <c r="AG2899" s="9"/>
    </row>
    <row r="2900" spans="1:33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  <c r="AG2900" s="9"/>
    </row>
    <row r="2901" spans="1:33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  <c r="AG2901" s="9"/>
    </row>
    <row r="2902" spans="1:33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  <c r="AG2902" s="9"/>
    </row>
    <row r="2903" spans="1:33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  <c r="AG2903" s="9"/>
    </row>
    <row r="2904" spans="1:33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G2904" s="9"/>
    </row>
    <row r="2905" spans="1:33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G2905" s="9"/>
    </row>
    <row r="2906" spans="1:33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G2906" s="9"/>
    </row>
    <row r="2907" spans="1:33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G2907" s="9"/>
    </row>
    <row r="2908" spans="1:33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G2908" s="9"/>
    </row>
    <row r="2909" spans="1:33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9"/>
    </row>
    <row r="2910" spans="1:33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9"/>
    </row>
    <row r="2911" spans="1:33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9"/>
    </row>
    <row r="2912" spans="1:33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9"/>
    </row>
    <row r="2913" spans="1:33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9"/>
    </row>
    <row r="2914" spans="1:33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9"/>
    </row>
    <row r="2915" spans="1:33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9"/>
    </row>
    <row r="2916" spans="1:33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9"/>
    </row>
    <row r="2917" spans="1:33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9"/>
    </row>
    <row r="2918" spans="1:33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9"/>
    </row>
    <row r="2919" spans="1:33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9"/>
    </row>
    <row r="2920" spans="1:33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9"/>
    </row>
    <row r="2921" spans="1:33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9"/>
    </row>
    <row r="2922" spans="1:33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9"/>
    </row>
    <row r="2923" spans="1:33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9"/>
    </row>
    <row r="2924" spans="1:33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9"/>
    </row>
    <row r="2925" spans="1:33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9"/>
    </row>
    <row r="2926" spans="1:33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9"/>
    </row>
    <row r="2927" spans="1:33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9"/>
    </row>
    <row r="2928" spans="1:33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9"/>
    </row>
    <row r="2929" spans="1:33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9"/>
    </row>
    <row r="2930" spans="1:33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9"/>
    </row>
    <row r="2931" spans="1:33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9"/>
    </row>
    <row r="2932" spans="1:33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9"/>
    </row>
    <row r="2933" spans="1:33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9"/>
    </row>
    <row r="2934" spans="1:33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9"/>
    </row>
    <row r="2935" spans="1:33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9"/>
    </row>
    <row r="2936" spans="1:33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9"/>
    </row>
    <row r="2937" spans="1:33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9"/>
    </row>
    <row r="2938" spans="1:33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9"/>
    </row>
    <row r="2939" spans="1:33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9"/>
    </row>
    <row r="2940" spans="1:33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9"/>
    </row>
    <row r="2941" spans="1:33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9"/>
    </row>
    <row r="2942" spans="1:33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9"/>
    </row>
    <row r="2943" spans="1:33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9"/>
    </row>
    <row r="2944" spans="1:33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9"/>
    </row>
    <row r="2945" spans="1:33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9"/>
    </row>
    <row r="2946" spans="1:33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9"/>
    </row>
    <row r="2947" spans="1:33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9"/>
    </row>
    <row r="2948" spans="1:33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9"/>
    </row>
    <row r="2949" spans="1:33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9"/>
    </row>
    <row r="2950" spans="1:33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9"/>
    </row>
    <row r="2951" spans="1:33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9"/>
    </row>
    <row r="2952" spans="1:33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9"/>
    </row>
    <row r="2953" spans="1:33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9"/>
    </row>
    <row r="2954" spans="1:33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9"/>
    </row>
    <row r="2955" spans="1:33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9"/>
    </row>
    <row r="2956" spans="1:33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9"/>
    </row>
    <row r="2957" spans="1:33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9"/>
    </row>
    <row r="2958" spans="1:33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9"/>
    </row>
    <row r="2959" spans="1:33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9"/>
    </row>
    <row r="2960" spans="1:33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9"/>
    </row>
    <row r="2961" spans="1:33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9"/>
    </row>
    <row r="2962" spans="1:33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9"/>
    </row>
    <row r="2963" spans="1:33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9"/>
    </row>
    <row r="2964" spans="1:33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9"/>
    </row>
    <row r="2965" spans="1:33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9"/>
    </row>
    <row r="2966" spans="1:33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9"/>
    </row>
    <row r="2967" spans="1:33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9"/>
    </row>
    <row r="2968" spans="1:33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9"/>
    </row>
    <row r="2969" spans="1:33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9"/>
    </row>
    <row r="2970" spans="1:33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9"/>
    </row>
    <row r="2971" spans="1:33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9"/>
    </row>
    <row r="2972" spans="1:33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9"/>
    </row>
    <row r="2973" spans="1:33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9"/>
    </row>
    <row r="2974" spans="1:33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9"/>
    </row>
    <row r="2975" spans="1:33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9"/>
    </row>
    <row r="2976" spans="1:33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9"/>
    </row>
    <row r="2977" spans="1:33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9"/>
    </row>
    <row r="2978" spans="1:33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9"/>
    </row>
    <row r="2979" spans="1:33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9"/>
    </row>
    <row r="2980" spans="1:33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9"/>
    </row>
    <row r="2981" spans="1:33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9"/>
    </row>
    <row r="2982" spans="1:33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9"/>
    </row>
    <row r="2983" spans="1:33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9"/>
    </row>
    <row r="2984" spans="1:33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9"/>
    </row>
    <row r="2985" spans="1:33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9"/>
    </row>
    <row r="2986" spans="1:33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9"/>
    </row>
    <row r="2987" spans="1:33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9"/>
    </row>
    <row r="2988" spans="1:33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9"/>
    </row>
    <row r="2989" spans="1:33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9"/>
    </row>
    <row r="2990" spans="1:33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9"/>
    </row>
    <row r="2991" spans="1:33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9"/>
    </row>
    <row r="2992" spans="1:33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9"/>
    </row>
    <row r="2993" spans="1:33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9"/>
    </row>
    <row r="2994" spans="1:33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9"/>
    </row>
    <row r="2995" spans="1:33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9"/>
    </row>
    <row r="2996" spans="1:33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9"/>
    </row>
    <row r="2997" spans="1:33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9"/>
    </row>
    <row r="2998" spans="1:33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9"/>
    </row>
    <row r="2999" spans="1:33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9"/>
    </row>
    <row r="3000" spans="1:33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9"/>
    </row>
    <row r="3001" spans="1:33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9"/>
    </row>
    <row r="3002" spans="1:33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9"/>
    </row>
    <row r="3003" spans="1:33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9"/>
    </row>
    <row r="3004" spans="1:33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9"/>
    </row>
    <row r="3005" spans="1:33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9"/>
    </row>
    <row r="3006" spans="1:33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9"/>
    </row>
    <row r="3007" spans="1:33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9"/>
    </row>
    <row r="3008" spans="1:33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9"/>
    </row>
    <row r="3009" spans="1:33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9"/>
    </row>
    <row r="3010" spans="1:33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9"/>
    </row>
    <row r="3011" spans="1:33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9"/>
    </row>
    <row r="3012" spans="1:33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9"/>
    </row>
    <row r="3013" spans="1:33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9"/>
    </row>
    <row r="3014" spans="1:33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9"/>
    </row>
    <row r="3015" spans="1:33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9"/>
    </row>
    <row r="3016" spans="1:33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9"/>
    </row>
    <row r="3017" spans="1:33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9"/>
    </row>
    <row r="3018" spans="1:33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9"/>
    </row>
    <row r="3019" spans="1:33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9"/>
    </row>
    <row r="3020" spans="1:33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9"/>
    </row>
    <row r="3021" spans="1:33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9"/>
    </row>
    <row r="3022" spans="1:33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9"/>
    </row>
    <row r="3023" spans="1:33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9"/>
    </row>
    <row r="3024" spans="1:33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9"/>
    </row>
    <row r="3025" spans="1:33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9"/>
    </row>
    <row r="3026" spans="1:33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9"/>
    </row>
    <row r="3027" spans="1:33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9"/>
    </row>
    <row r="3028" spans="1:33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9"/>
    </row>
    <row r="3029" spans="1:33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9"/>
    </row>
    <row r="3030" spans="1:33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9"/>
    </row>
    <row r="3031" spans="1:33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9"/>
    </row>
    <row r="3032" spans="1:33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9"/>
    </row>
    <row r="3033" spans="1:33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9"/>
    </row>
    <row r="3034" spans="1:33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9"/>
    </row>
    <row r="3035" spans="1:33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9"/>
    </row>
    <row r="3036" spans="1:33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9"/>
    </row>
    <row r="3037" spans="1:33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9"/>
    </row>
    <row r="3038" spans="1:33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9"/>
    </row>
    <row r="3039" spans="1:33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9"/>
    </row>
    <row r="3040" spans="1:33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9"/>
    </row>
    <row r="3041" spans="1:33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9"/>
    </row>
    <row r="3042" spans="1:33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9"/>
    </row>
    <row r="3043" spans="1:33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9"/>
    </row>
    <row r="3044" spans="1:33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9"/>
    </row>
    <row r="3045" spans="1:33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9"/>
    </row>
    <row r="3046" spans="1:33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9"/>
    </row>
    <row r="3047" spans="1:33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9"/>
    </row>
    <row r="3048" spans="1:33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9"/>
    </row>
    <row r="3049" spans="1:33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9"/>
    </row>
    <row r="3050" spans="1:33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9"/>
    </row>
    <row r="3051" spans="1:33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9"/>
    </row>
    <row r="3052" spans="1:33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9"/>
    </row>
    <row r="3053" spans="1:33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9"/>
    </row>
    <row r="3054" spans="1:33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9"/>
    </row>
    <row r="3055" spans="1:33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9"/>
    </row>
    <row r="3056" spans="1:33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9"/>
    </row>
    <row r="3057" spans="1:33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9"/>
    </row>
    <row r="3058" spans="1:33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9"/>
    </row>
    <row r="3059" spans="1:33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9"/>
    </row>
    <row r="3060" spans="1:33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9"/>
    </row>
    <row r="3061" spans="1:33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  <c r="AE3061" s="5"/>
      <c r="AF3061" s="5"/>
      <c r="AG3061" s="9"/>
    </row>
    <row r="3062" spans="1:33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9"/>
    </row>
    <row r="3063" spans="1:33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9"/>
    </row>
    <row r="3064" spans="1:33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  <c r="AE3064" s="5"/>
      <c r="AF3064" s="5"/>
      <c r="AG3064" s="9"/>
    </row>
    <row r="3065" spans="1:33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9"/>
    </row>
    <row r="3066" spans="1:33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9"/>
    </row>
    <row r="3067" spans="1:33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9"/>
    </row>
    <row r="3068" spans="1:33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9"/>
    </row>
    <row r="3069" spans="1:33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9"/>
    </row>
    <row r="3070" spans="1:33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9"/>
    </row>
    <row r="3071" spans="1:33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9"/>
    </row>
    <row r="3072" spans="1:33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9"/>
    </row>
    <row r="3073" spans="1:33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9"/>
    </row>
    <row r="3074" spans="1:33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9"/>
    </row>
    <row r="3075" spans="1:33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  <c r="AE3075" s="5"/>
      <c r="AF3075" s="5"/>
      <c r="AG3075" s="9"/>
    </row>
    <row r="3076" spans="1:33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9"/>
    </row>
    <row r="3077" spans="1:33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9"/>
    </row>
    <row r="3078" spans="1:33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9"/>
    </row>
    <row r="3079" spans="1:33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9"/>
    </row>
    <row r="3080" spans="1:33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9"/>
    </row>
    <row r="3081" spans="1:33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9"/>
    </row>
    <row r="3082" spans="1:33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9"/>
    </row>
    <row r="3083" spans="1:33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9"/>
    </row>
    <row r="3084" spans="1:33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9"/>
    </row>
    <row r="3085" spans="1:33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9"/>
    </row>
    <row r="3086" spans="1:33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9"/>
    </row>
    <row r="3087" spans="1:33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  <c r="AE3087" s="5"/>
      <c r="AF3087" s="5"/>
      <c r="AG3087" s="9"/>
    </row>
    <row r="3088" spans="1:33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9"/>
    </row>
    <row r="3089" spans="1:33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9"/>
    </row>
    <row r="3090" spans="1:33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9"/>
    </row>
    <row r="3091" spans="1:33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9"/>
    </row>
    <row r="3092" spans="1:33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9"/>
    </row>
    <row r="3093" spans="1:33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9"/>
    </row>
    <row r="3094" spans="1:33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9"/>
    </row>
    <row r="3095" spans="1:33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9"/>
    </row>
    <row r="3096" spans="1:33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  <c r="AE3096" s="5"/>
      <c r="AF3096" s="5"/>
      <c r="AG3096" s="9"/>
    </row>
    <row r="3097" spans="1:33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9"/>
    </row>
    <row r="3098" spans="1:33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9"/>
    </row>
    <row r="3099" spans="1:33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9"/>
    </row>
    <row r="3100" spans="1:33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9"/>
    </row>
    <row r="3101" spans="1:33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9"/>
    </row>
    <row r="3102" spans="1:33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9"/>
    </row>
    <row r="3103" spans="1:33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9"/>
    </row>
    <row r="3104" spans="1:33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9"/>
    </row>
    <row r="3105" spans="1:33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9"/>
    </row>
    <row r="3106" spans="1:33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9"/>
    </row>
    <row r="3107" spans="1:33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9"/>
    </row>
    <row r="3108" spans="1:33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9"/>
    </row>
    <row r="3109" spans="1:33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9"/>
    </row>
    <row r="3110" spans="1:33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9"/>
    </row>
    <row r="3111" spans="1:33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9"/>
    </row>
    <row r="3112" spans="1:33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9"/>
    </row>
    <row r="3113" spans="1:33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9"/>
    </row>
    <row r="3114" spans="1:33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9"/>
    </row>
    <row r="3115" spans="1:33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9"/>
    </row>
    <row r="3116" spans="1:33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9"/>
    </row>
    <row r="3117" spans="1:33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9"/>
    </row>
    <row r="3118" spans="1:33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9"/>
    </row>
    <row r="3119" spans="1:33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9"/>
    </row>
    <row r="3120" spans="1:33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  <c r="AE3120" s="5"/>
      <c r="AF3120" s="5"/>
      <c r="AG3120" s="9"/>
    </row>
    <row r="3121" spans="1:33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9"/>
    </row>
    <row r="3122" spans="1:33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9"/>
    </row>
    <row r="3123" spans="1:33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9"/>
    </row>
    <row r="3124" spans="1:33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  <c r="AE3124" s="5"/>
      <c r="AF3124" s="5"/>
      <c r="AG3124" s="9"/>
    </row>
    <row r="3125" spans="1:33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9"/>
    </row>
    <row r="3126" spans="1:33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9"/>
    </row>
    <row r="3127" spans="1:33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9"/>
    </row>
    <row r="3128" spans="1:33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  <c r="AE3128" s="5"/>
      <c r="AF3128" s="5"/>
      <c r="AG3128" s="9"/>
    </row>
    <row r="3129" spans="1:33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9"/>
    </row>
    <row r="3130" spans="1:33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9"/>
    </row>
    <row r="3131" spans="1:33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9"/>
    </row>
    <row r="3132" spans="1:33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9"/>
    </row>
    <row r="3133" spans="1:33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9"/>
    </row>
    <row r="3134" spans="1:33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9"/>
    </row>
    <row r="3135" spans="1:33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9"/>
    </row>
    <row r="3136" spans="1:33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9"/>
    </row>
    <row r="3137" spans="1:33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9"/>
    </row>
    <row r="3138" spans="1:33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9"/>
    </row>
    <row r="3139" spans="1:33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9"/>
    </row>
    <row r="3140" spans="1:33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9"/>
    </row>
    <row r="3141" spans="1:33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9"/>
    </row>
    <row r="3142" spans="1:33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9"/>
    </row>
    <row r="3143" spans="1:33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9"/>
    </row>
    <row r="3144" spans="1:33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9"/>
    </row>
    <row r="3145" spans="1:33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9"/>
    </row>
    <row r="3146" spans="1:33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9"/>
    </row>
    <row r="3147" spans="1:33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9"/>
    </row>
    <row r="3148" spans="1:33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9"/>
    </row>
    <row r="3149" spans="1:33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9"/>
    </row>
    <row r="3150" spans="1:33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9"/>
    </row>
    <row r="3151" spans="1:33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9"/>
    </row>
    <row r="3152" spans="1:33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9"/>
    </row>
    <row r="3153" spans="1:33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9"/>
    </row>
    <row r="3154" spans="1:33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9"/>
    </row>
    <row r="3155" spans="1:33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9"/>
    </row>
    <row r="3156" spans="1:33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9"/>
    </row>
    <row r="3157" spans="1:33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9"/>
    </row>
    <row r="3158" spans="1:33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9"/>
    </row>
    <row r="3159" spans="1:33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9"/>
    </row>
    <row r="3160" spans="1:33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9"/>
    </row>
    <row r="3161" spans="1:33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  <c r="AE3161" s="5"/>
      <c r="AF3161" s="5"/>
      <c r="AG3161" s="9"/>
    </row>
    <row r="3162" spans="1:33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9"/>
    </row>
    <row r="3163" spans="1:33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9"/>
    </row>
    <row r="3164" spans="1:33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  <c r="AE3164" s="5"/>
      <c r="AF3164" s="5"/>
      <c r="AG3164" s="9"/>
    </row>
    <row r="3165" spans="1:33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9"/>
    </row>
    <row r="3166" spans="1:33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9"/>
    </row>
    <row r="3167" spans="1:33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9"/>
    </row>
    <row r="3168" spans="1:33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9"/>
    </row>
    <row r="3169" spans="1:33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9"/>
    </row>
    <row r="3170" spans="1:33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9"/>
    </row>
    <row r="3171" spans="1:33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9"/>
    </row>
    <row r="3172" spans="1:33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9"/>
    </row>
    <row r="3173" spans="1:33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9"/>
    </row>
    <row r="3174" spans="1:33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9"/>
    </row>
    <row r="3175" spans="1:33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9"/>
    </row>
    <row r="3176" spans="1:33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9"/>
    </row>
    <row r="3177" spans="1:33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9"/>
    </row>
    <row r="3178" spans="1:33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9"/>
    </row>
    <row r="3179" spans="1:33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9"/>
    </row>
    <row r="3180" spans="1:33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9"/>
    </row>
    <row r="3181" spans="1:33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9"/>
    </row>
    <row r="3182" spans="1:33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9"/>
    </row>
    <row r="3183" spans="1:33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9"/>
    </row>
    <row r="3184" spans="1:33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9"/>
    </row>
    <row r="3185" spans="1:33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9"/>
    </row>
    <row r="3186" spans="1:33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9"/>
    </row>
    <row r="3187" spans="1:33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9"/>
    </row>
    <row r="3188" spans="1:33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9"/>
    </row>
    <row r="3189" spans="1:33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9"/>
    </row>
    <row r="3190" spans="1:33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9"/>
    </row>
    <row r="3191" spans="1:33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9"/>
    </row>
    <row r="3192" spans="1:33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9"/>
    </row>
    <row r="3193" spans="1:33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9"/>
    </row>
    <row r="3194" spans="1:33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9"/>
    </row>
    <row r="3195" spans="1:33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9"/>
    </row>
    <row r="3196" spans="1:33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9"/>
    </row>
    <row r="3197" spans="1:33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9"/>
    </row>
    <row r="3198" spans="1:33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9"/>
    </row>
    <row r="3199" spans="1:33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9"/>
    </row>
    <row r="3200" spans="1:33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9"/>
    </row>
    <row r="3201" spans="1:33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9"/>
    </row>
    <row r="3202" spans="1:33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9"/>
    </row>
    <row r="3203" spans="1:33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9"/>
    </row>
    <row r="3204" spans="1:33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9"/>
    </row>
    <row r="3205" spans="1:33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9"/>
    </row>
    <row r="3206" spans="1:33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9"/>
    </row>
    <row r="3207" spans="1:33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9"/>
    </row>
    <row r="3208" spans="1:33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9"/>
    </row>
    <row r="3209" spans="1:33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9"/>
    </row>
    <row r="3210" spans="1:33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9"/>
    </row>
    <row r="3211" spans="1:33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9"/>
    </row>
    <row r="3212" spans="1:33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9"/>
    </row>
    <row r="3213" spans="1:33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9"/>
    </row>
    <row r="3214" spans="1:33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9"/>
    </row>
    <row r="3215" spans="1:33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9"/>
    </row>
    <row r="3216" spans="1:33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9"/>
    </row>
    <row r="3217" spans="1:33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9"/>
    </row>
    <row r="3218" spans="1:33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9"/>
    </row>
    <row r="3219" spans="1:33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9"/>
    </row>
    <row r="3220" spans="1:33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9"/>
    </row>
    <row r="3221" spans="1:33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9"/>
    </row>
    <row r="3222" spans="1:33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9"/>
    </row>
    <row r="3223" spans="1:33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9"/>
    </row>
    <row r="3224" spans="1:33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9"/>
    </row>
    <row r="3225" spans="1:33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9"/>
    </row>
    <row r="3226" spans="1:33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9"/>
    </row>
    <row r="3227" spans="1:33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9"/>
    </row>
    <row r="3228" spans="1:33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9"/>
    </row>
    <row r="3229" spans="1:33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9"/>
    </row>
    <row r="3230" spans="1:33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9"/>
    </row>
    <row r="3231" spans="1:33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9"/>
    </row>
    <row r="3232" spans="1:33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9"/>
    </row>
    <row r="3233" spans="1:33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9"/>
    </row>
    <row r="3234" spans="1:33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9"/>
    </row>
    <row r="3235" spans="1:33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9"/>
    </row>
    <row r="3236" spans="1:33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9"/>
    </row>
    <row r="3237" spans="1:33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9"/>
    </row>
    <row r="3238" spans="1:33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9"/>
    </row>
    <row r="3239" spans="1:33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9"/>
    </row>
    <row r="3240" spans="1:33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9"/>
    </row>
    <row r="3241" spans="1:33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9"/>
    </row>
    <row r="3242" spans="1:33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9"/>
    </row>
    <row r="3243" spans="1:33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9"/>
    </row>
    <row r="3244" spans="1:33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9"/>
    </row>
    <row r="3245" spans="1:33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9"/>
    </row>
    <row r="3246" spans="1:33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9"/>
    </row>
    <row r="3247" spans="1:33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9"/>
    </row>
    <row r="3248" spans="1:33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9"/>
    </row>
    <row r="3249" spans="1:33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9"/>
    </row>
    <row r="3250" spans="1:33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9"/>
    </row>
    <row r="3251" spans="1:33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9"/>
    </row>
    <row r="3252" spans="1:33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9"/>
    </row>
    <row r="3253" spans="1:33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9"/>
    </row>
    <row r="3254" spans="1:33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9"/>
    </row>
    <row r="3255" spans="1:33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9"/>
    </row>
    <row r="3256" spans="1:33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9"/>
    </row>
    <row r="3257" spans="1:33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9"/>
    </row>
    <row r="3258" spans="1:33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9"/>
    </row>
    <row r="3259" spans="1:33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9"/>
    </row>
    <row r="3260" spans="1:33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9"/>
    </row>
    <row r="3261" spans="1:33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9"/>
    </row>
    <row r="3262" spans="1:33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9"/>
    </row>
    <row r="3263" spans="1:33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9"/>
    </row>
    <row r="3264" spans="1:33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9"/>
    </row>
    <row r="3265" spans="1:33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9"/>
    </row>
    <row r="3266" spans="1:33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9"/>
    </row>
    <row r="3267" spans="1:33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9"/>
    </row>
    <row r="3268" spans="1:33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9"/>
    </row>
    <row r="3269" spans="1:33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9"/>
    </row>
    <row r="3270" spans="1:33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9"/>
    </row>
    <row r="3271" spans="1:33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9"/>
    </row>
    <row r="3272" spans="1:33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9"/>
    </row>
    <row r="3273" spans="1:33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9"/>
    </row>
    <row r="3274" spans="1:33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9"/>
    </row>
    <row r="3275" spans="1:33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9"/>
    </row>
    <row r="3276" spans="1:33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9"/>
    </row>
    <row r="3277" spans="1:33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9"/>
    </row>
    <row r="3278" spans="1:33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9"/>
    </row>
    <row r="3279" spans="1:33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9"/>
    </row>
    <row r="3280" spans="1:33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9"/>
    </row>
    <row r="3281" spans="1:33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9"/>
    </row>
    <row r="3282" spans="1:33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9"/>
    </row>
    <row r="3283" spans="1:33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9"/>
    </row>
    <row r="3284" spans="1:33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9"/>
    </row>
    <row r="3285" spans="1:33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9"/>
    </row>
    <row r="3286" spans="1:33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9"/>
    </row>
    <row r="3287" spans="1:33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9"/>
    </row>
    <row r="3288" spans="1:33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9"/>
    </row>
    <row r="3289" spans="1:33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9"/>
    </row>
    <row r="3290" spans="1:33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9"/>
    </row>
    <row r="3291" spans="1:33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9"/>
    </row>
    <row r="3292" spans="1:33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9"/>
    </row>
    <row r="3293" spans="1:33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9"/>
    </row>
    <row r="3294" spans="1:33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9"/>
    </row>
    <row r="3295" spans="1:33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9"/>
    </row>
    <row r="3296" spans="1:33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9"/>
    </row>
    <row r="3297" spans="1:33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9"/>
    </row>
    <row r="3298" spans="1:33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9"/>
    </row>
    <row r="3299" spans="1:33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9"/>
    </row>
    <row r="3300" spans="1:33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9"/>
    </row>
    <row r="3301" spans="1:33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9"/>
    </row>
    <row r="3302" spans="1:33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9"/>
    </row>
    <row r="3303" spans="1:33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9"/>
    </row>
    <row r="3304" spans="1:33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9"/>
    </row>
    <row r="3305" spans="1:33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9"/>
    </row>
    <row r="3306" spans="1:33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9"/>
    </row>
    <row r="3307" spans="1:33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9"/>
    </row>
    <row r="3308" spans="1:33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9"/>
    </row>
    <row r="3309" spans="1:33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9"/>
    </row>
    <row r="3310" spans="1:33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9"/>
    </row>
    <row r="3311" spans="1:33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9"/>
    </row>
    <row r="3312" spans="1:33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9"/>
    </row>
    <row r="3313" spans="1:33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9"/>
    </row>
    <row r="3314" spans="1:33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9"/>
    </row>
    <row r="3315" spans="1:33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9"/>
    </row>
    <row r="3316" spans="1:33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9"/>
    </row>
    <row r="3317" spans="1:33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9"/>
    </row>
    <row r="3318" spans="1:33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9"/>
    </row>
    <row r="3319" spans="1:33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9"/>
    </row>
    <row r="3320" spans="1:33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9"/>
    </row>
    <row r="3321" spans="1:33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9"/>
    </row>
    <row r="3322" spans="1:33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9"/>
    </row>
    <row r="3323" spans="1:33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9"/>
    </row>
    <row r="3324" spans="1:33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9"/>
    </row>
    <row r="3325" spans="1:33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9"/>
    </row>
    <row r="3326" spans="1:33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9"/>
    </row>
    <row r="3327" spans="1:33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9"/>
    </row>
    <row r="3328" spans="1:33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9"/>
    </row>
    <row r="3329" spans="1:33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9"/>
    </row>
    <row r="3330" spans="1:33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9"/>
    </row>
    <row r="3331" spans="1:33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9"/>
    </row>
    <row r="3332" spans="1:33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9"/>
    </row>
    <row r="3333" spans="1:33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9"/>
    </row>
    <row r="3334" spans="1:33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9"/>
    </row>
    <row r="3335" spans="1:33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9"/>
    </row>
    <row r="3336" spans="1:33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9"/>
    </row>
    <row r="3337" spans="1:33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9"/>
    </row>
    <row r="3338" spans="1:33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9"/>
    </row>
    <row r="3339" spans="1:33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9"/>
    </row>
    <row r="3340" spans="1:33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9"/>
    </row>
    <row r="3341" spans="1:33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9"/>
    </row>
    <row r="3342" spans="1:33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9"/>
    </row>
    <row r="3343" spans="1:33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9"/>
    </row>
    <row r="3344" spans="1:33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9"/>
    </row>
    <row r="3345" spans="1:33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9"/>
    </row>
    <row r="3346" spans="1:33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9"/>
    </row>
    <row r="3347" spans="1:33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9"/>
    </row>
    <row r="3348" spans="1:33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9"/>
    </row>
    <row r="3349" spans="1:33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9"/>
    </row>
    <row r="3350" spans="1:33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9"/>
    </row>
    <row r="3351" spans="1:33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9"/>
    </row>
    <row r="3352" spans="1:33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9"/>
    </row>
    <row r="3353" spans="1:33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9"/>
    </row>
    <row r="3354" spans="1:33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9"/>
    </row>
    <row r="3355" spans="1:33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9"/>
    </row>
    <row r="3356" spans="1:33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9"/>
    </row>
    <row r="3357" spans="1:33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9"/>
    </row>
    <row r="3358" spans="1:33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9"/>
    </row>
    <row r="3359" spans="1:33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9"/>
    </row>
    <row r="3360" spans="1:33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9"/>
    </row>
    <row r="3361" spans="1:33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9"/>
    </row>
    <row r="3362" spans="1:33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9"/>
    </row>
    <row r="3363" spans="1:33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9"/>
    </row>
    <row r="3364" spans="1:33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9"/>
    </row>
    <row r="3365" spans="1:33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9"/>
    </row>
    <row r="3366" spans="1:33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9"/>
    </row>
    <row r="3367" spans="1:33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9"/>
    </row>
    <row r="3368" spans="1:33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9"/>
    </row>
    <row r="3369" spans="1:33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9"/>
    </row>
    <row r="3370" spans="1:33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9"/>
    </row>
    <row r="3371" spans="1:33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9"/>
    </row>
    <row r="3372" spans="1:33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9"/>
    </row>
    <row r="3373" spans="1:33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9"/>
    </row>
    <row r="3374" spans="1:33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9"/>
    </row>
    <row r="3375" spans="1:33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9"/>
    </row>
    <row r="3376" spans="1:33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9"/>
    </row>
    <row r="3377" spans="1:33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  <c r="AE3377" s="5"/>
      <c r="AF3377" s="5"/>
      <c r="AG3377" s="9"/>
    </row>
    <row r="3378" spans="1:33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9"/>
    </row>
    <row r="3379" spans="1:33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9"/>
    </row>
    <row r="3380" spans="1:33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9"/>
    </row>
    <row r="3381" spans="1:33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9"/>
    </row>
    <row r="3382" spans="1:33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9"/>
    </row>
    <row r="3383" spans="1:33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9"/>
    </row>
    <row r="3384" spans="1:33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9"/>
    </row>
    <row r="3385" spans="1:33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9"/>
    </row>
    <row r="3386" spans="1:33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9"/>
    </row>
    <row r="3387" spans="1:33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9"/>
    </row>
    <row r="3388" spans="1:33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9"/>
    </row>
    <row r="3389" spans="1:33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9"/>
    </row>
    <row r="3390" spans="1:33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9"/>
    </row>
    <row r="3391" spans="1:33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9"/>
    </row>
    <row r="3392" spans="1:33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9"/>
    </row>
    <row r="3393" spans="1:33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9"/>
    </row>
    <row r="3394" spans="1:33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9"/>
    </row>
    <row r="3395" spans="1:33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9"/>
    </row>
    <row r="3396" spans="1:33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9"/>
    </row>
    <row r="3397" spans="1:33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9"/>
    </row>
    <row r="3398" spans="1:33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9"/>
    </row>
    <row r="3399" spans="1:33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9"/>
    </row>
    <row r="3400" spans="1:33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9"/>
    </row>
    <row r="3401" spans="1:33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9"/>
    </row>
    <row r="3402" spans="1:33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9"/>
    </row>
    <row r="3403" spans="1:33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9"/>
    </row>
    <row r="3404" spans="1:33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9"/>
    </row>
    <row r="3405" spans="1:33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9"/>
    </row>
    <row r="3406" spans="1:33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9"/>
    </row>
    <row r="3407" spans="1:33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9"/>
    </row>
    <row r="3408" spans="1:33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9"/>
    </row>
    <row r="3409" spans="1:33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9"/>
    </row>
    <row r="3410" spans="1:33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9"/>
    </row>
    <row r="3411" spans="1:33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9"/>
    </row>
    <row r="3412" spans="1:33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9"/>
    </row>
    <row r="3413" spans="1:33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9"/>
    </row>
    <row r="3414" spans="1:33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9"/>
    </row>
    <row r="3415" spans="1:33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9"/>
    </row>
    <row r="3416" spans="1:33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9"/>
    </row>
    <row r="3417" spans="1:33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9"/>
    </row>
    <row r="3418" spans="1:33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9"/>
    </row>
    <row r="3419" spans="1:33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9"/>
    </row>
    <row r="3420" spans="1:33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9"/>
    </row>
    <row r="3421" spans="1:33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9"/>
    </row>
    <row r="3422" spans="1:33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9"/>
    </row>
    <row r="3423" spans="1:33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9"/>
    </row>
    <row r="3424" spans="1:33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9"/>
    </row>
    <row r="3425" spans="1:33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9"/>
    </row>
    <row r="3426" spans="1:33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9"/>
    </row>
    <row r="3427" spans="1:33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9"/>
    </row>
    <row r="3428" spans="1:33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9"/>
    </row>
    <row r="3429" spans="1:33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9"/>
    </row>
    <row r="3430" spans="1:33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9"/>
    </row>
    <row r="3431" spans="1:33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9"/>
    </row>
    <row r="3432" spans="1:33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9"/>
    </row>
    <row r="3433" spans="1:33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9"/>
    </row>
    <row r="3434" spans="1:33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9"/>
    </row>
    <row r="3435" spans="1:33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9"/>
    </row>
    <row r="3436" spans="1:33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9"/>
    </row>
    <row r="3437" spans="1:33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9"/>
    </row>
    <row r="3438" spans="1:33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9"/>
    </row>
    <row r="3439" spans="1:33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9"/>
    </row>
    <row r="3440" spans="1:33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9"/>
    </row>
    <row r="3441" spans="1:33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9"/>
    </row>
    <row r="3442" spans="1:33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9"/>
    </row>
    <row r="3443" spans="1:33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9"/>
    </row>
    <row r="3444" spans="1:33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9"/>
    </row>
    <row r="3445" spans="1:33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9"/>
    </row>
    <row r="3446" spans="1:33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9"/>
    </row>
    <row r="3447" spans="1:33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9"/>
    </row>
    <row r="3448" spans="1:33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9"/>
    </row>
    <row r="3449" spans="1:33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9"/>
    </row>
    <row r="3450" spans="1:33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9"/>
    </row>
    <row r="3451" spans="1:33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9"/>
    </row>
    <row r="3452" spans="1:33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9"/>
    </row>
    <row r="3453" spans="1:33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9"/>
    </row>
    <row r="3454" spans="1:33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9"/>
    </row>
    <row r="3455" spans="1:33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9"/>
    </row>
    <row r="3456" spans="1:33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9"/>
    </row>
    <row r="3457" spans="1:33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9"/>
    </row>
    <row r="3458" spans="1:33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9"/>
    </row>
    <row r="3459" spans="1:33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9"/>
    </row>
    <row r="3460" spans="1:33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9"/>
    </row>
    <row r="3461" spans="1:33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9"/>
    </row>
    <row r="3462" spans="1:33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9"/>
    </row>
    <row r="3463" spans="1:33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9"/>
    </row>
    <row r="3464" spans="1:33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9"/>
    </row>
    <row r="3465" spans="1:33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9"/>
    </row>
    <row r="3466" spans="1:33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9"/>
    </row>
    <row r="3467" spans="1:33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9"/>
    </row>
    <row r="3468" spans="1:33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9"/>
    </row>
    <row r="3469" spans="1:33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9"/>
    </row>
    <row r="3470" spans="1:33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9"/>
    </row>
    <row r="3471" spans="1:33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9"/>
    </row>
    <row r="3472" spans="1:33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9"/>
    </row>
    <row r="3473" spans="1:33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9"/>
    </row>
    <row r="3474" spans="1:33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9"/>
    </row>
    <row r="3475" spans="1:33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9"/>
    </row>
    <row r="3476" spans="1:33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9"/>
    </row>
    <row r="3477" spans="1:33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9"/>
    </row>
    <row r="3478" spans="1:33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9"/>
    </row>
    <row r="3479" spans="1:33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9"/>
    </row>
    <row r="3480" spans="1:33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9"/>
    </row>
    <row r="3481" spans="1:33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9"/>
    </row>
    <row r="3482" spans="1:33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9"/>
    </row>
    <row r="3483" spans="1:33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9"/>
    </row>
    <row r="3484" spans="1:33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9"/>
    </row>
    <row r="3485" spans="1:33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9"/>
    </row>
    <row r="3486" spans="1:33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9"/>
    </row>
    <row r="3487" spans="1:33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9"/>
    </row>
    <row r="3488" spans="1:33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9"/>
    </row>
    <row r="3489" spans="1:33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9"/>
    </row>
    <row r="3490" spans="1:33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9"/>
    </row>
    <row r="3491" spans="1:33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9"/>
    </row>
    <row r="3492" spans="1:33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9"/>
    </row>
    <row r="3493" spans="1:33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9"/>
    </row>
    <row r="3494" spans="1:33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9"/>
    </row>
    <row r="3495" spans="1:33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9"/>
    </row>
    <row r="3496" spans="1:33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9"/>
    </row>
    <row r="3497" spans="1:33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9"/>
    </row>
    <row r="3498" spans="1:33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9"/>
    </row>
    <row r="3499" spans="1:33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9"/>
    </row>
    <row r="3500" spans="1:33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9"/>
    </row>
    <row r="3501" spans="1:33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9"/>
    </row>
    <row r="3502" spans="1:33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9"/>
    </row>
    <row r="3503" spans="1:33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9"/>
    </row>
    <row r="3504" spans="1:33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9"/>
    </row>
    <row r="3505" spans="1:33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  <c r="AE3505" s="5"/>
      <c r="AF3505" s="5"/>
      <c r="AG3505" s="9"/>
    </row>
    <row r="3506" spans="1:33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9"/>
    </row>
    <row r="3507" spans="1:33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9"/>
    </row>
    <row r="3508" spans="1:33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9"/>
    </row>
    <row r="3509" spans="1:33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9"/>
    </row>
    <row r="3510" spans="1:33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9"/>
    </row>
    <row r="3511" spans="1:33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9"/>
    </row>
    <row r="3512" spans="1:33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9"/>
    </row>
    <row r="3513" spans="1:33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9"/>
    </row>
    <row r="3514" spans="1:33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9"/>
    </row>
    <row r="3515" spans="1:33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9"/>
    </row>
    <row r="3516" spans="1:33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9"/>
    </row>
    <row r="3517" spans="1:33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9"/>
    </row>
    <row r="3518" spans="1:33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9"/>
    </row>
    <row r="3519" spans="1:33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9"/>
    </row>
    <row r="3520" spans="1:33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9"/>
    </row>
    <row r="3521" spans="1:33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9"/>
    </row>
    <row r="3522" spans="1:33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9"/>
    </row>
    <row r="3523" spans="1:33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9"/>
    </row>
    <row r="3524" spans="1:33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9"/>
    </row>
    <row r="3525" spans="1:33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9"/>
    </row>
    <row r="3526" spans="1:33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9"/>
    </row>
    <row r="3527" spans="1:33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9"/>
    </row>
    <row r="3528" spans="1:33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9"/>
    </row>
    <row r="3529" spans="1:33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9"/>
    </row>
    <row r="3530" spans="1:33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9"/>
    </row>
    <row r="3531" spans="1:33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9"/>
    </row>
    <row r="3532" spans="1:33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9"/>
    </row>
    <row r="3533" spans="1:33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9"/>
    </row>
    <row r="3534" spans="1:33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9"/>
    </row>
    <row r="3535" spans="1:33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9"/>
    </row>
    <row r="3536" spans="1:33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9"/>
    </row>
    <row r="3537" spans="1:33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9"/>
    </row>
    <row r="3538" spans="1:33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9"/>
    </row>
    <row r="3539" spans="1:33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9"/>
    </row>
    <row r="3540" spans="1:33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9"/>
    </row>
    <row r="3541" spans="1:33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9"/>
    </row>
    <row r="3542" spans="1:33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9"/>
    </row>
    <row r="3543" spans="1:33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9"/>
    </row>
    <row r="3544" spans="1:33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9"/>
    </row>
    <row r="3545" spans="1:33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9"/>
    </row>
    <row r="3546" spans="1:33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9"/>
    </row>
    <row r="3547" spans="1:33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9"/>
    </row>
    <row r="3548" spans="1:33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9"/>
    </row>
    <row r="3549" spans="1:33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9"/>
    </row>
    <row r="3550" spans="1:33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9"/>
    </row>
    <row r="3551" spans="1:33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9"/>
    </row>
    <row r="3552" spans="1:33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9"/>
    </row>
    <row r="3553" spans="1:33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9"/>
    </row>
    <row r="3554" spans="1:33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9"/>
    </row>
    <row r="3555" spans="1:33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9"/>
    </row>
    <row r="3556" spans="1:33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9"/>
    </row>
    <row r="3557" spans="1:33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9"/>
    </row>
    <row r="3558" spans="1:33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9"/>
    </row>
    <row r="3559" spans="1:33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9"/>
    </row>
    <row r="3560" spans="1:33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9"/>
    </row>
    <row r="3561" spans="1:33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9"/>
    </row>
    <row r="3562" spans="1:33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9"/>
    </row>
    <row r="3563" spans="1:33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9"/>
    </row>
    <row r="3564" spans="1:33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9"/>
    </row>
    <row r="3565" spans="1:33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9"/>
    </row>
    <row r="3566" spans="1:33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9"/>
    </row>
    <row r="3567" spans="1:33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9"/>
    </row>
    <row r="3568" spans="1:33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9"/>
    </row>
    <row r="3569" spans="1:33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9"/>
    </row>
    <row r="3570" spans="1:33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9"/>
    </row>
    <row r="3571" spans="1:33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9"/>
    </row>
    <row r="3572" spans="1:33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9"/>
    </row>
    <row r="3573" spans="1:33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9"/>
    </row>
    <row r="3574" spans="1:33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9"/>
    </row>
    <row r="3575" spans="1:33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9"/>
    </row>
    <row r="3576" spans="1:33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9"/>
    </row>
    <row r="3577" spans="1:33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9"/>
    </row>
    <row r="3578" spans="1:33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9"/>
    </row>
    <row r="3579" spans="1:33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9"/>
    </row>
    <row r="3580" spans="1:33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9"/>
    </row>
    <row r="3581" spans="1:33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9"/>
    </row>
    <row r="3582" spans="1:33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9"/>
    </row>
    <row r="3583" spans="1:33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9"/>
    </row>
    <row r="3584" spans="1:33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9"/>
    </row>
    <row r="3585" spans="1:33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9"/>
    </row>
    <row r="3586" spans="1:33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  <c r="AE3586" s="5"/>
      <c r="AF3586" s="5"/>
      <c r="AG3586" s="9"/>
    </row>
    <row r="3587" spans="1:33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9"/>
    </row>
    <row r="3588" spans="1:33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9"/>
    </row>
    <row r="3589" spans="1:33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9"/>
    </row>
    <row r="3590" spans="1:33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9"/>
    </row>
    <row r="3591" spans="1:33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9"/>
    </row>
    <row r="3592" spans="1:33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9"/>
    </row>
    <row r="3593" spans="1:33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9"/>
    </row>
    <row r="3594" spans="1:33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9"/>
    </row>
    <row r="3595" spans="1:33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9"/>
    </row>
    <row r="3596" spans="1:33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9"/>
    </row>
    <row r="3597" spans="1:33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9"/>
    </row>
    <row r="3598" spans="1:33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9"/>
    </row>
    <row r="3599" spans="1:33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9"/>
    </row>
    <row r="3600" spans="1:33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9"/>
    </row>
    <row r="3601" spans="1:33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9"/>
    </row>
    <row r="3602" spans="1:33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9"/>
    </row>
    <row r="3603" spans="1:33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9"/>
    </row>
    <row r="3604" spans="1:33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9"/>
    </row>
    <row r="3605" spans="1:33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9"/>
    </row>
    <row r="3606" spans="1:33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9"/>
    </row>
    <row r="3607" spans="1:33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9"/>
    </row>
    <row r="3608" spans="1:33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9"/>
    </row>
    <row r="3609" spans="1:33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9"/>
    </row>
    <row r="3610" spans="1:33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9"/>
    </row>
    <row r="3611" spans="1:33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9"/>
    </row>
    <row r="3612" spans="1:33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9"/>
    </row>
    <row r="3613" spans="1:33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9"/>
    </row>
    <row r="3614" spans="1:33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9"/>
    </row>
    <row r="3615" spans="1:33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9"/>
    </row>
    <row r="3616" spans="1:33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9"/>
    </row>
    <row r="3617" spans="1:33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9"/>
    </row>
    <row r="3618" spans="1:33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9"/>
    </row>
    <row r="3619" spans="1:33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9"/>
    </row>
    <row r="3620" spans="1:33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9"/>
    </row>
    <row r="3621" spans="1:33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9"/>
    </row>
    <row r="3622" spans="1:33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9"/>
    </row>
    <row r="3623" spans="1:33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9"/>
    </row>
    <row r="3624" spans="1:33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9"/>
    </row>
    <row r="3625" spans="1:33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9"/>
    </row>
    <row r="3626" spans="1:33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9"/>
    </row>
    <row r="3627" spans="1:33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9"/>
    </row>
    <row r="3628" spans="1:33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9"/>
    </row>
    <row r="3629" spans="1:33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9"/>
    </row>
    <row r="3630" spans="1:33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9"/>
    </row>
    <row r="3631" spans="1:33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9"/>
    </row>
    <row r="3632" spans="1:33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9"/>
    </row>
    <row r="3633" spans="1:33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9"/>
    </row>
    <row r="3634" spans="1:33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9"/>
    </row>
    <row r="3635" spans="1:33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9"/>
    </row>
    <row r="3636" spans="1:33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9"/>
    </row>
    <row r="3637" spans="1:33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9"/>
    </row>
    <row r="3638" spans="1:33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9"/>
    </row>
    <row r="3639" spans="1:33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9"/>
    </row>
    <row r="3640" spans="1:33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9"/>
    </row>
    <row r="3641" spans="1:33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9"/>
    </row>
    <row r="3642" spans="1:33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9"/>
    </row>
    <row r="3643" spans="1:33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9"/>
    </row>
    <row r="3644" spans="1:33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9"/>
    </row>
    <row r="3645" spans="1:33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9"/>
    </row>
    <row r="3646" spans="1:33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9"/>
    </row>
    <row r="3647" spans="1:33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9"/>
    </row>
    <row r="3648" spans="1:33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9"/>
    </row>
    <row r="3649" spans="1:33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9"/>
    </row>
    <row r="3650" spans="1:33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9"/>
    </row>
    <row r="3651" spans="1:33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9"/>
    </row>
    <row r="3652" spans="1:33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9"/>
    </row>
    <row r="3653" spans="1:33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9"/>
    </row>
    <row r="3654" spans="1:33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9"/>
    </row>
    <row r="3655" spans="1:33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9"/>
    </row>
    <row r="3656" spans="1:33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9"/>
    </row>
    <row r="3657" spans="1:33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9"/>
    </row>
    <row r="3658" spans="1:33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9"/>
    </row>
    <row r="3659" spans="1:33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9"/>
    </row>
    <row r="3660" spans="1:33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9"/>
    </row>
    <row r="3661" spans="1:33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9"/>
    </row>
    <row r="3662" spans="1:33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9"/>
    </row>
    <row r="3663" spans="1:33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9"/>
    </row>
    <row r="3664" spans="1:33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9"/>
    </row>
    <row r="3665" spans="1:33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9"/>
    </row>
    <row r="3666" spans="1:33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9"/>
    </row>
    <row r="3667" spans="1:33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9"/>
    </row>
    <row r="3668" spans="1:33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9"/>
    </row>
    <row r="3669" spans="1:33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9"/>
    </row>
    <row r="3670" spans="1:33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9"/>
    </row>
    <row r="3671" spans="1:33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9"/>
    </row>
    <row r="3672" spans="1:33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9"/>
    </row>
    <row r="3673" spans="1:33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9"/>
    </row>
    <row r="3674" spans="1:33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9"/>
    </row>
    <row r="3675" spans="1:33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9"/>
    </row>
    <row r="3676" spans="1:33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9"/>
    </row>
    <row r="3677" spans="1:33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9"/>
    </row>
    <row r="3678" spans="1:33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9"/>
    </row>
    <row r="3679" spans="1:33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9"/>
    </row>
    <row r="3680" spans="1:33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9"/>
    </row>
    <row r="3681" spans="1:33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9"/>
    </row>
    <row r="3682" spans="1:33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9"/>
    </row>
    <row r="3683" spans="1:33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9"/>
    </row>
    <row r="3684" spans="1:33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9"/>
    </row>
    <row r="3685" spans="1:33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9"/>
    </row>
    <row r="3686" spans="1:33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9"/>
    </row>
    <row r="3687" spans="1:33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9"/>
    </row>
    <row r="3688" spans="1:33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9"/>
    </row>
    <row r="3689" spans="1:33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9"/>
    </row>
    <row r="3690" spans="1:33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9"/>
    </row>
    <row r="3691" spans="1:33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9"/>
    </row>
    <row r="3692" spans="1:33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9"/>
    </row>
    <row r="3693" spans="1:33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9"/>
    </row>
    <row r="3694" spans="1:33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9"/>
    </row>
    <row r="3695" spans="1:33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9"/>
    </row>
    <row r="3696" spans="1:33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9"/>
    </row>
    <row r="3697" spans="1:33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9"/>
    </row>
    <row r="3698" spans="1:33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9"/>
    </row>
    <row r="3699" spans="1:33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9"/>
    </row>
    <row r="3700" spans="1:33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9"/>
    </row>
    <row r="3701" spans="1:33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9"/>
    </row>
    <row r="3702" spans="1:33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9"/>
    </row>
    <row r="3703" spans="1:33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9"/>
    </row>
    <row r="3704" spans="1:33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9"/>
    </row>
    <row r="3705" spans="1:33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9"/>
    </row>
    <row r="3706" spans="1:33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9"/>
    </row>
    <row r="3707" spans="1:33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9"/>
    </row>
    <row r="3708" spans="1:33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9"/>
    </row>
    <row r="3709" spans="1:33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9"/>
    </row>
    <row r="3710" spans="1:33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9"/>
    </row>
    <row r="3711" spans="1:33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9"/>
    </row>
    <row r="3712" spans="1:33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9"/>
    </row>
    <row r="3713" spans="1:33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9"/>
    </row>
    <row r="3714" spans="1:33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9"/>
    </row>
    <row r="3715" spans="1:33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9"/>
    </row>
    <row r="3716" spans="1:33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9"/>
    </row>
    <row r="3717" spans="1:33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9"/>
    </row>
    <row r="3718" spans="1:33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9"/>
    </row>
    <row r="3719" spans="1:33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9"/>
    </row>
    <row r="3720" spans="1:33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9"/>
    </row>
    <row r="3721" spans="1:33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9"/>
    </row>
    <row r="3722" spans="1:33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9"/>
    </row>
    <row r="3723" spans="1:33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9"/>
    </row>
    <row r="3724" spans="1:33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9"/>
    </row>
    <row r="3725" spans="1:33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9"/>
    </row>
    <row r="3726" spans="1:33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9"/>
    </row>
    <row r="3727" spans="1:33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9"/>
    </row>
    <row r="3728" spans="1:33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9"/>
    </row>
    <row r="3729" spans="1:33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9"/>
    </row>
    <row r="3730" spans="1:33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9"/>
    </row>
    <row r="3731" spans="1:33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9"/>
    </row>
    <row r="3732" spans="1:33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9"/>
    </row>
    <row r="3733" spans="1:33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9"/>
    </row>
    <row r="3734" spans="1:33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9"/>
    </row>
    <row r="3735" spans="1:33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9"/>
    </row>
    <row r="3736" spans="1:33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9"/>
    </row>
    <row r="3737" spans="1:33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9"/>
    </row>
    <row r="3738" spans="1:33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9"/>
    </row>
    <row r="3739" spans="1:33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9"/>
    </row>
    <row r="3740" spans="1:33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9"/>
    </row>
    <row r="3741" spans="1:33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9"/>
    </row>
    <row r="3742" spans="1:33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9"/>
    </row>
    <row r="3743" spans="1:33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9"/>
    </row>
    <row r="3744" spans="1:33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9"/>
    </row>
    <row r="3745" spans="1:33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9"/>
    </row>
    <row r="3746" spans="1:33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9"/>
    </row>
    <row r="3747" spans="1:33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9"/>
    </row>
    <row r="3748" spans="1:33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9"/>
    </row>
    <row r="3749" spans="1:33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9"/>
    </row>
    <row r="3750" spans="1:33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9"/>
    </row>
    <row r="3751" spans="1:33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9"/>
    </row>
    <row r="3752" spans="1:33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9"/>
    </row>
    <row r="3753" spans="1:33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9"/>
    </row>
    <row r="3754" spans="1:33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9"/>
    </row>
    <row r="3755" spans="1:33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9"/>
    </row>
    <row r="3756" spans="1:33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9"/>
    </row>
    <row r="3757" spans="1:33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9"/>
    </row>
    <row r="3758" spans="1:33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9"/>
    </row>
    <row r="3759" spans="1:33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9"/>
    </row>
    <row r="3760" spans="1:33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9"/>
    </row>
    <row r="3761" spans="1:33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9"/>
    </row>
    <row r="3762" spans="1:33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9"/>
    </row>
    <row r="3763" spans="1:33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9"/>
    </row>
    <row r="3764" spans="1:33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9"/>
    </row>
    <row r="3765" spans="1:33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9"/>
    </row>
    <row r="3766" spans="1:33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9"/>
    </row>
    <row r="3767" spans="1:33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9"/>
    </row>
    <row r="3768" spans="1:33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9"/>
    </row>
    <row r="3769" spans="1:33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9"/>
    </row>
    <row r="3770" spans="1:33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9"/>
    </row>
    <row r="3771" spans="1:33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9"/>
    </row>
    <row r="3772" spans="1:33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9"/>
    </row>
    <row r="3773" spans="1:33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9"/>
    </row>
    <row r="3774" spans="1:33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9"/>
    </row>
    <row r="3775" spans="1:33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9"/>
    </row>
    <row r="3776" spans="1:33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9"/>
    </row>
    <row r="3777" spans="1:33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9"/>
    </row>
    <row r="3778" spans="1:33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9"/>
    </row>
    <row r="3779" spans="1:33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9"/>
    </row>
    <row r="3780" spans="1:33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9"/>
    </row>
    <row r="3781" spans="1:33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9"/>
    </row>
    <row r="3782" spans="1:33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9"/>
    </row>
    <row r="3783" spans="1:33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9"/>
    </row>
    <row r="3784" spans="1:33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9"/>
    </row>
    <row r="3785" spans="1:33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9"/>
    </row>
    <row r="3786" spans="1:33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9"/>
    </row>
    <row r="3787" spans="1:33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9"/>
    </row>
    <row r="3788" spans="1:33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9"/>
    </row>
    <row r="3789" spans="1:33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9"/>
    </row>
    <row r="3790" spans="1:33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9"/>
    </row>
    <row r="3791" spans="1:33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9"/>
    </row>
    <row r="3792" spans="1:33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9"/>
    </row>
    <row r="3793" spans="1:33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9"/>
    </row>
    <row r="3794" spans="1:33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9"/>
    </row>
    <row r="3795" spans="1:33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9"/>
    </row>
    <row r="3796" spans="1:33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9"/>
    </row>
    <row r="3797" spans="1:33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9"/>
    </row>
    <row r="3798" spans="1:33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9"/>
    </row>
    <row r="3799" spans="1:33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  <c r="AE3799" s="5"/>
      <c r="AF3799" s="5"/>
      <c r="AG3799" s="9"/>
    </row>
    <row r="3800" spans="1:33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9"/>
    </row>
    <row r="3801" spans="1:33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9"/>
    </row>
    <row r="3802" spans="1:33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9"/>
    </row>
    <row r="3803" spans="1:33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9"/>
    </row>
    <row r="3804" spans="1:33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9"/>
    </row>
    <row r="3805" spans="1:33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  <c r="AE3805" s="5"/>
      <c r="AF3805" s="5"/>
      <c r="AG3805" s="9"/>
    </row>
    <row r="3806" spans="1:33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9"/>
    </row>
    <row r="3807" spans="1:33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9"/>
    </row>
    <row r="3808" spans="1:33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9"/>
    </row>
    <row r="3809" spans="1:33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9"/>
    </row>
    <row r="3810" spans="1:33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9"/>
    </row>
    <row r="3811" spans="1:33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9"/>
    </row>
    <row r="3812" spans="1:33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9"/>
    </row>
    <row r="3813" spans="1:33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9"/>
    </row>
    <row r="3814" spans="1:33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9"/>
    </row>
    <row r="3815" spans="1:33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9"/>
    </row>
    <row r="3816" spans="1:33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9"/>
    </row>
    <row r="3817" spans="1:33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9"/>
    </row>
    <row r="3818" spans="1:33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9"/>
    </row>
    <row r="3819" spans="1:33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9"/>
    </row>
    <row r="3820" spans="1:33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9"/>
    </row>
    <row r="3821" spans="1:33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9"/>
    </row>
    <row r="3822" spans="1:33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9"/>
    </row>
    <row r="3823" spans="1:33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9"/>
    </row>
    <row r="3824" spans="1:33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9"/>
    </row>
    <row r="3825" spans="1:33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9"/>
    </row>
    <row r="3826" spans="1:33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9"/>
    </row>
    <row r="3827" spans="1:33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9"/>
    </row>
    <row r="3828" spans="1:33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9"/>
    </row>
    <row r="3829" spans="1:33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9"/>
    </row>
    <row r="3830" spans="1:33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9"/>
    </row>
    <row r="3831" spans="1:33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9"/>
    </row>
    <row r="3832" spans="1:33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9"/>
    </row>
    <row r="3833" spans="1:33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9"/>
    </row>
    <row r="3834" spans="1:33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9"/>
    </row>
    <row r="3835" spans="1:33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9"/>
    </row>
    <row r="3836" spans="1:33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9"/>
    </row>
    <row r="3837" spans="1:33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9"/>
    </row>
    <row r="3838" spans="1:33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9"/>
    </row>
    <row r="3839" spans="1:33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9"/>
    </row>
    <row r="3840" spans="1:33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9"/>
    </row>
    <row r="3841" spans="1:33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9"/>
    </row>
    <row r="3842" spans="1:33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9"/>
    </row>
    <row r="3843" spans="1:33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9"/>
    </row>
    <row r="3844" spans="1:33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9"/>
    </row>
    <row r="3845" spans="1:33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9"/>
    </row>
    <row r="3846" spans="1:33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9"/>
    </row>
    <row r="3847" spans="1:33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9"/>
    </row>
    <row r="3848" spans="1:33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9"/>
    </row>
    <row r="3849" spans="1:33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9"/>
    </row>
    <row r="3850" spans="1:33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9"/>
    </row>
    <row r="3851" spans="1:33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9"/>
    </row>
    <row r="3852" spans="1:33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9"/>
    </row>
    <row r="3853" spans="1:33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9"/>
    </row>
    <row r="3854" spans="1:33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9"/>
    </row>
    <row r="3855" spans="1:33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9"/>
    </row>
    <row r="3856" spans="1:33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9"/>
    </row>
    <row r="3857" spans="1:33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9"/>
    </row>
    <row r="3858" spans="1:33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9"/>
    </row>
    <row r="3859" spans="1:33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9"/>
    </row>
    <row r="3860" spans="1:33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9"/>
    </row>
    <row r="3861" spans="1:33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9"/>
    </row>
    <row r="3862" spans="1:33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9"/>
    </row>
    <row r="3863" spans="1:33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9"/>
    </row>
    <row r="3864" spans="1:33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9"/>
    </row>
    <row r="3865" spans="33:33">
      <c r="AG3865" s="10"/>
    </row>
    <row r="3866" spans="33:33">
      <c r="AG3866" s="10"/>
    </row>
    <row r="3867" spans="33:33">
      <c r="AG3867" s="10"/>
    </row>
    <row r="3868" spans="33:33">
      <c r="AG3868" s="10"/>
    </row>
    <row r="3869" spans="33:33">
      <c r="AG3869" s="10"/>
    </row>
    <row r="3870" spans="33:33">
      <c r="AG3870" s="10"/>
    </row>
    <row r="3871" spans="33:33">
      <c r="AG3871" s="10"/>
    </row>
    <row r="3872" spans="33:33">
      <c r="AG3872" s="10"/>
    </row>
    <row r="3873" spans="33:33">
      <c r="AG3873" s="10"/>
    </row>
    <row r="3874" spans="33:33">
      <c r="AG3874" s="10"/>
    </row>
    <row r="3875" spans="33:33">
      <c r="AG3875" s="10"/>
    </row>
    <row r="3876" spans="33:33">
      <c r="AG3876" s="10"/>
    </row>
    <row r="3877" spans="33:33">
      <c r="AG3877" s="10"/>
    </row>
    <row r="3878" spans="33:33">
      <c r="AG3878" s="10"/>
    </row>
    <row r="3879" spans="33:33">
      <c r="AG3879" s="10"/>
    </row>
    <row r="3880" spans="33:33">
      <c r="AG3880" s="10"/>
    </row>
    <row r="3881" spans="33:33">
      <c r="AG3881" s="10"/>
    </row>
    <row r="3882" spans="33:33">
      <c r="AG3882" s="10"/>
    </row>
    <row r="3883" spans="33:33">
      <c r="AG3883" s="10"/>
    </row>
    <row r="3884" spans="33:33">
      <c r="AG3884" s="10"/>
    </row>
    <row r="3885" spans="33:33">
      <c r="AG3885" s="10"/>
    </row>
    <row r="3886" spans="33:33">
      <c r="AG3886" s="10"/>
    </row>
    <row r="3887" spans="33:33">
      <c r="AG3887" s="10"/>
    </row>
    <row r="3888" spans="33:33">
      <c r="AG3888" s="10"/>
    </row>
    <row r="3889" spans="33:33">
      <c r="AG3889" s="10"/>
    </row>
    <row r="3890" spans="33:33">
      <c r="AG3890" s="10"/>
    </row>
    <row r="3891" spans="33:33">
      <c r="AG3891" s="10"/>
    </row>
    <row r="3892" spans="33:33">
      <c r="AG3892" s="10"/>
    </row>
    <row r="3893" spans="33:33">
      <c r="AG3893" s="10"/>
    </row>
    <row r="3894" spans="33:33">
      <c r="AG3894" s="10"/>
    </row>
    <row r="3895" spans="33:33">
      <c r="AG3895" s="10"/>
    </row>
    <row r="3896" spans="33:33">
      <c r="AG3896" s="10"/>
    </row>
    <row r="3897" spans="33:33">
      <c r="AG3897" s="10"/>
    </row>
    <row r="3898" spans="33:33">
      <c r="AG3898" s="10"/>
    </row>
    <row r="3899" spans="33:33">
      <c r="AG3899" s="10"/>
    </row>
    <row r="3900" spans="33:33">
      <c r="AG3900" s="10"/>
    </row>
    <row r="3901" spans="33:33">
      <c r="AG3901" s="10"/>
    </row>
    <row r="3902" spans="33:33">
      <c r="AG3902" s="10"/>
    </row>
    <row r="3903" spans="33:33">
      <c r="AG3903" s="10"/>
    </row>
    <row r="3904" spans="33:33">
      <c r="AG3904" s="10"/>
    </row>
    <row r="3905" spans="33:33">
      <c r="AG3905" s="10"/>
    </row>
    <row r="3906" spans="33:33">
      <c r="AG3906" s="10"/>
    </row>
    <row r="3907" spans="33:33">
      <c r="AG3907" s="10"/>
    </row>
    <row r="3908" spans="33:33">
      <c r="AG3908" s="10"/>
    </row>
    <row r="3909" spans="33:33">
      <c r="AG3909" s="10"/>
    </row>
    <row r="3910" spans="33:33">
      <c r="AG3910" s="10"/>
    </row>
    <row r="3911" spans="33:33">
      <c r="AG3911" s="10"/>
    </row>
    <row r="3912" spans="33:33">
      <c r="AG3912" s="10"/>
    </row>
    <row r="3913" spans="33:33">
      <c r="AG3913" s="10"/>
    </row>
    <row r="3914" spans="33:33">
      <c r="AG3914" s="10"/>
    </row>
    <row r="3915" spans="33:33">
      <c r="AG3915" s="10"/>
    </row>
    <row r="3916" spans="33:33">
      <c r="AG3916" s="10"/>
    </row>
    <row r="3917" spans="33:33">
      <c r="AG3917" s="10"/>
    </row>
    <row r="3918" spans="33:33">
      <c r="AG3918" s="10"/>
    </row>
    <row r="3919" spans="33:33">
      <c r="AG3919" s="10"/>
    </row>
    <row r="3920" spans="33:33">
      <c r="AG3920" s="10"/>
    </row>
    <row r="3921" spans="33:33">
      <c r="AG3921" s="10"/>
    </row>
    <row r="3922" spans="33:33">
      <c r="AG3922" s="10"/>
    </row>
    <row r="3923" spans="33:33">
      <c r="AG3923" s="10"/>
    </row>
    <row r="3924" spans="33:33">
      <c r="AG3924" s="10"/>
    </row>
    <row r="3925" spans="33:33">
      <c r="AG3925" s="10"/>
    </row>
    <row r="3926" spans="33:33">
      <c r="AG3926" s="10"/>
    </row>
    <row r="3927" spans="33:33">
      <c r="AG3927" s="10"/>
    </row>
    <row r="3928" spans="33:33">
      <c r="AG3928" s="10"/>
    </row>
    <row r="3929" spans="33:33">
      <c r="AG3929" s="10"/>
    </row>
    <row r="3930" spans="33:33">
      <c r="AG3930" s="10"/>
    </row>
    <row r="3931" spans="33:33">
      <c r="AG3931" s="10"/>
    </row>
    <row r="3932" spans="33:33">
      <c r="AG3932" s="10"/>
    </row>
    <row r="3933" spans="33:33">
      <c r="AG3933" s="10"/>
    </row>
    <row r="3934" spans="33:33">
      <c r="AG3934" s="10"/>
    </row>
    <row r="3935" spans="33:33">
      <c r="AG3935" s="10"/>
    </row>
    <row r="3936" spans="33:33">
      <c r="AG3936" s="10"/>
    </row>
    <row r="3937" spans="33:33">
      <c r="AG3937" s="10"/>
    </row>
    <row r="3938" spans="33:33">
      <c r="AG3938" s="10"/>
    </row>
    <row r="3939" spans="33:33">
      <c r="AG3939" s="10"/>
    </row>
    <row r="3940" spans="33:33">
      <c r="AG3940" s="10"/>
    </row>
    <row r="3941" spans="33:33">
      <c r="AG3941" s="10"/>
    </row>
    <row r="3942" spans="33:33">
      <c r="AG3942" s="10"/>
    </row>
    <row r="3943" spans="33:33">
      <c r="AG3943" s="10"/>
    </row>
    <row r="3944" spans="33:33">
      <c r="AG3944" s="10"/>
    </row>
    <row r="3945" spans="33:33">
      <c r="AG3945" s="10"/>
    </row>
    <row r="3946" spans="33:33">
      <c r="AG3946" s="10"/>
    </row>
    <row r="3947" spans="33:33">
      <c r="AG3947" s="10"/>
    </row>
    <row r="3948" spans="33:33">
      <c r="AG3948" s="10"/>
    </row>
    <row r="3949" spans="33:33">
      <c r="AG3949" s="10"/>
    </row>
    <row r="3950" spans="33:33">
      <c r="AG3950" s="10"/>
    </row>
    <row r="3951" spans="33:33">
      <c r="AG3951" s="10"/>
    </row>
    <row r="3952" spans="33:33">
      <c r="AG3952" s="10"/>
    </row>
    <row r="3953" spans="33:33">
      <c r="AG3953" s="10"/>
    </row>
    <row r="3954" spans="33:33">
      <c r="AG3954" s="10"/>
    </row>
    <row r="3955" spans="33:33">
      <c r="AG3955" s="10"/>
    </row>
    <row r="3956" spans="33:33">
      <c r="AG3956" s="10"/>
    </row>
    <row r="3957" spans="33:33">
      <c r="AG3957" s="10"/>
    </row>
    <row r="3958" spans="33:33">
      <c r="AG3958" s="10"/>
    </row>
    <row r="3959" spans="33:33">
      <c r="AG3959" s="10"/>
    </row>
    <row r="3960" spans="33:33">
      <c r="AG3960" s="10"/>
    </row>
    <row r="3961" spans="33:33">
      <c r="AG3961" s="10"/>
    </row>
    <row r="3962" spans="33:33">
      <c r="AG3962" s="10"/>
    </row>
    <row r="3963" spans="33:33">
      <c r="AG3963" s="10"/>
    </row>
    <row r="3964" spans="33:33">
      <c r="AG3964" s="10"/>
    </row>
    <row r="3965" spans="33:33">
      <c r="AG3965" s="10"/>
    </row>
    <row r="3966" spans="33:33">
      <c r="AG3966" s="10"/>
    </row>
    <row r="3967" spans="33:33">
      <c r="AG3967" s="10"/>
    </row>
    <row r="3968" spans="33:33">
      <c r="AG3968" s="10"/>
    </row>
    <row r="3969" spans="33:33">
      <c r="AG3969" s="10"/>
    </row>
    <row r="3970" spans="33:33">
      <c r="AG3970" s="10"/>
    </row>
    <row r="3971" spans="33:33">
      <c r="AG3971" s="10"/>
    </row>
    <row r="3972" spans="33:33">
      <c r="AG3972" s="10"/>
    </row>
    <row r="3973" spans="33:33">
      <c r="AG3973" s="10"/>
    </row>
    <row r="3974" spans="33:33">
      <c r="AG3974" s="10"/>
    </row>
    <row r="3975" spans="33:33">
      <c r="AG3975" s="10"/>
    </row>
    <row r="3976" spans="33:33">
      <c r="AG3976" s="10"/>
    </row>
    <row r="3977" spans="33:33">
      <c r="AG3977" s="10"/>
    </row>
    <row r="3978" spans="33:33">
      <c r="AG3978" s="10"/>
    </row>
    <row r="3979" spans="33:33">
      <c r="AG3979" s="10"/>
    </row>
    <row r="3980" spans="33:33">
      <c r="AG3980" s="10"/>
    </row>
    <row r="3981" spans="33:33">
      <c r="AG3981" s="10"/>
    </row>
    <row r="3982" spans="33:33">
      <c r="AG3982" s="10"/>
    </row>
    <row r="3983" spans="33:33">
      <c r="AG3983" s="10"/>
    </row>
    <row r="3984" spans="33:33">
      <c r="AG3984" s="10"/>
    </row>
    <row r="3985" spans="33:33">
      <c r="AG3985" s="10"/>
    </row>
    <row r="3986" spans="33:33">
      <c r="AG3986" s="10"/>
    </row>
    <row r="3987" spans="33:33">
      <c r="AG3987" s="10"/>
    </row>
    <row r="3988" spans="33:33">
      <c r="AG3988" s="10"/>
    </row>
    <row r="3989" spans="33:33">
      <c r="AG3989" s="10"/>
    </row>
    <row r="3990" spans="33:33">
      <c r="AG3990" s="10"/>
    </row>
    <row r="3991" spans="33:33">
      <c r="AG3991" s="10"/>
    </row>
    <row r="3992" spans="33:33">
      <c r="AG3992" s="10"/>
    </row>
    <row r="3993" spans="33:33">
      <c r="AG3993" s="10"/>
    </row>
    <row r="3994" spans="33:33">
      <c r="AG3994" s="10"/>
    </row>
    <row r="3995" spans="33:33">
      <c r="AG3995" s="10"/>
    </row>
    <row r="3996" spans="33:33">
      <c r="AG3996" s="10"/>
    </row>
    <row r="3997" spans="33:33">
      <c r="AG3997" s="10"/>
    </row>
    <row r="3998" spans="33:33">
      <c r="AG3998" s="10"/>
    </row>
    <row r="3999" spans="33:33">
      <c r="AG3999" s="10"/>
    </row>
    <row r="4000" spans="33:33">
      <c r="AG4000" s="10"/>
    </row>
    <row r="4001" spans="33:33">
      <c r="AG4001" s="10"/>
    </row>
    <row r="4002" spans="33:33">
      <c r="AG4002" s="10"/>
    </row>
    <row r="4003" spans="33:33">
      <c r="AG4003" s="10"/>
    </row>
    <row r="4004" spans="33:33">
      <c r="AG4004" s="10"/>
    </row>
    <row r="4005" spans="33:33">
      <c r="AG4005" s="10"/>
    </row>
    <row r="4006" spans="33:33">
      <c r="AG4006" s="10"/>
    </row>
    <row r="4007" spans="33:33">
      <c r="AG4007" s="10"/>
    </row>
    <row r="4008" spans="33:33">
      <c r="AG4008" s="10"/>
    </row>
    <row r="4009" spans="33:33">
      <c r="AG4009" s="10"/>
    </row>
    <row r="4010" spans="33:33">
      <c r="AG4010" s="10"/>
    </row>
    <row r="4011" spans="33:33">
      <c r="AG4011" s="10"/>
    </row>
    <row r="4012" spans="33:33">
      <c r="AG4012" s="10"/>
    </row>
    <row r="4013" spans="33:33">
      <c r="AG4013" s="10"/>
    </row>
    <row r="4014" spans="33:33">
      <c r="AG4014" s="10"/>
    </row>
    <row r="4015" spans="33:33">
      <c r="AG4015" s="10"/>
    </row>
    <row r="4016" spans="33:33">
      <c r="AG4016" s="10"/>
    </row>
    <row r="4017" spans="33:33">
      <c r="AG4017" s="10"/>
    </row>
    <row r="4018" spans="33:33">
      <c r="AG4018" s="10"/>
    </row>
    <row r="4019" spans="33:33">
      <c r="AG4019" s="10"/>
    </row>
    <row r="4020" spans="33:33">
      <c r="AG4020" s="10"/>
    </row>
    <row r="4021" spans="33:33">
      <c r="AG4021" s="10"/>
    </row>
    <row r="4022" spans="33:33">
      <c r="AG4022" s="10"/>
    </row>
    <row r="4023" spans="33:33">
      <c r="AG4023" s="10"/>
    </row>
    <row r="4024" spans="33:33">
      <c r="AG4024" s="10"/>
    </row>
    <row r="4025" spans="33:33">
      <c r="AG4025" s="10"/>
    </row>
    <row r="4026" spans="33:33">
      <c r="AG4026" s="10"/>
    </row>
    <row r="4027" spans="33:33">
      <c r="AG4027" s="10"/>
    </row>
    <row r="4028" spans="33:33">
      <c r="AG4028" s="10"/>
    </row>
    <row r="4029" spans="33:33">
      <c r="AG4029" s="10"/>
    </row>
    <row r="4030" spans="33:33">
      <c r="AG4030" s="10"/>
    </row>
    <row r="4031" spans="33:33">
      <c r="AG4031" s="10"/>
    </row>
    <row r="4032" spans="33:33">
      <c r="AG4032" s="10"/>
    </row>
    <row r="4033" spans="33:33">
      <c r="AG4033" s="10"/>
    </row>
    <row r="4034" spans="33:33">
      <c r="AG4034" s="10"/>
    </row>
    <row r="4035" spans="33:33">
      <c r="AG4035" s="10"/>
    </row>
    <row r="4036" spans="33:33">
      <c r="AG4036" s="10"/>
    </row>
    <row r="4037" spans="33:33">
      <c r="AG4037" s="10"/>
    </row>
    <row r="4038" spans="33:33">
      <c r="AG4038" s="10"/>
    </row>
    <row r="4039" spans="33:33">
      <c r="AG4039" s="10"/>
    </row>
    <row r="4040" spans="33:33">
      <c r="AG4040" s="10"/>
    </row>
    <row r="4041" spans="33:33">
      <c r="AG4041" s="10"/>
    </row>
    <row r="4042" spans="33:33">
      <c r="AG4042" s="10"/>
    </row>
    <row r="4043" spans="33:33">
      <c r="AG4043" s="10"/>
    </row>
    <row r="4044" spans="33:33">
      <c r="AG4044" s="10"/>
    </row>
    <row r="4045" spans="33:33">
      <c r="AG4045" s="10"/>
    </row>
    <row r="4046" spans="33:33">
      <c r="AG4046" s="10"/>
    </row>
    <row r="4047" spans="33:33">
      <c r="AG4047" s="10"/>
    </row>
    <row r="4048" spans="33:33">
      <c r="AG4048" s="10"/>
    </row>
    <row r="4049" spans="33:33">
      <c r="AG4049" s="10"/>
    </row>
    <row r="4050" spans="33:33">
      <c r="AG4050" s="10"/>
    </row>
    <row r="4051" spans="33:33">
      <c r="AG4051" s="10"/>
    </row>
    <row r="4052" spans="33:33">
      <c r="AG4052" s="10"/>
    </row>
    <row r="4053" spans="33:33">
      <c r="AG4053" s="10"/>
    </row>
    <row r="4054" spans="33:33">
      <c r="AG4054" s="10"/>
    </row>
    <row r="4055" spans="33:33">
      <c r="AG4055" s="10"/>
    </row>
    <row r="4056" spans="33:33">
      <c r="AG4056" s="10"/>
    </row>
    <row r="4057" spans="33:33">
      <c r="AG4057" s="10"/>
    </row>
    <row r="4058" spans="33:33">
      <c r="AG4058" s="10"/>
    </row>
    <row r="4059" spans="33:33">
      <c r="AG4059" s="10"/>
    </row>
    <row r="4060" spans="33:33">
      <c r="AG4060" s="10"/>
    </row>
    <row r="4061" spans="33:33">
      <c r="AG4061" s="10"/>
    </row>
    <row r="4062" spans="33:33">
      <c r="AG4062" s="10"/>
    </row>
    <row r="4063" spans="33:33">
      <c r="AG4063" s="10"/>
    </row>
    <row r="4064" spans="33:33">
      <c r="AG4064" s="10"/>
    </row>
    <row r="4065" spans="33:33">
      <c r="AG4065" s="10"/>
    </row>
    <row r="4066" spans="33:33">
      <c r="AG4066" s="10"/>
    </row>
    <row r="4067" spans="33:33">
      <c r="AG4067" s="10"/>
    </row>
    <row r="4068" spans="33:33">
      <c r="AG4068" s="10"/>
    </row>
    <row r="4069" spans="33:33">
      <c r="AG4069" s="10"/>
    </row>
    <row r="4070" spans="33:33">
      <c r="AG4070" s="10"/>
    </row>
    <row r="4071" spans="33:33">
      <c r="AG4071" s="10"/>
    </row>
    <row r="4072" spans="33:33">
      <c r="AG4072" s="10"/>
    </row>
    <row r="4073" spans="33:33">
      <c r="AG4073" s="10"/>
    </row>
    <row r="4074" spans="33:33">
      <c r="AG4074" s="10"/>
    </row>
    <row r="4075" spans="33:33">
      <c r="AG4075" s="10"/>
    </row>
    <row r="4076" spans="33:33">
      <c r="AG4076" s="10"/>
    </row>
    <row r="4077" spans="33:33">
      <c r="AG4077" s="10"/>
    </row>
    <row r="4078" spans="33:33">
      <c r="AG4078" s="10"/>
    </row>
    <row r="4079" spans="33:33">
      <c r="AG4079" s="10"/>
    </row>
    <row r="4080" spans="33:33">
      <c r="AG4080" s="10"/>
    </row>
    <row r="4081" spans="33:33">
      <c r="AG4081" s="10"/>
    </row>
    <row r="4082" spans="33:33">
      <c r="AG4082" s="10"/>
    </row>
    <row r="4083" spans="33:33">
      <c r="AG4083" s="10"/>
    </row>
    <row r="4084" spans="33:33">
      <c r="AG4084" s="10"/>
    </row>
    <row r="4085" spans="33:33">
      <c r="AG4085" s="10"/>
    </row>
    <row r="4086" spans="33:33">
      <c r="AG4086" s="10"/>
    </row>
    <row r="4087" spans="33:33">
      <c r="AG4087" s="10"/>
    </row>
    <row r="4088" spans="33:33">
      <c r="AG4088" s="10"/>
    </row>
    <row r="4089" spans="33:33">
      <c r="AG4089" s="10"/>
    </row>
    <row r="4090" spans="33:33">
      <c r="AG4090" s="10"/>
    </row>
    <row r="4091" spans="33:33">
      <c r="AG4091" s="10"/>
    </row>
    <row r="4092" spans="33:33">
      <c r="AG4092" s="10"/>
    </row>
    <row r="4093" spans="33:33">
      <c r="AG4093" s="10"/>
    </row>
    <row r="4094" spans="33:33">
      <c r="AG4094" s="10"/>
    </row>
    <row r="4095" spans="33:33">
      <c r="AG4095" s="10"/>
    </row>
    <row r="4096" spans="33:33">
      <c r="AG4096" s="10"/>
    </row>
    <row r="4097" spans="33:33">
      <c r="AG4097" s="10"/>
    </row>
    <row r="4098" spans="33:33">
      <c r="AG4098" s="10"/>
    </row>
    <row r="4099" spans="33:33">
      <c r="AG4099" s="10"/>
    </row>
    <row r="4100" spans="33:33">
      <c r="AG4100" s="10"/>
    </row>
    <row r="4101" spans="33:33">
      <c r="AG4101" s="10"/>
    </row>
    <row r="4102" spans="33:33">
      <c r="AG4102" s="10"/>
    </row>
    <row r="4103" spans="33:33">
      <c r="AG4103" s="10"/>
    </row>
    <row r="4104" spans="33:33">
      <c r="AG4104" s="10"/>
    </row>
    <row r="4105" spans="33:33">
      <c r="AG4105" s="10"/>
    </row>
    <row r="4106" spans="33:33">
      <c r="AG4106" s="10"/>
    </row>
    <row r="4107" spans="33:33">
      <c r="AG4107" s="10"/>
    </row>
    <row r="4108" spans="33:33">
      <c r="AG4108" s="10"/>
    </row>
    <row r="4109" spans="33:33">
      <c r="AG4109" s="10"/>
    </row>
    <row r="4110" spans="33:33">
      <c r="AG4110" s="10"/>
    </row>
    <row r="4111" spans="33:33">
      <c r="AG4111" s="10"/>
    </row>
    <row r="4112" spans="33:33">
      <c r="AG4112" s="10"/>
    </row>
    <row r="4113" spans="33:33">
      <c r="AG4113" s="10"/>
    </row>
    <row r="4114" spans="33:33">
      <c r="AG4114" s="10"/>
    </row>
    <row r="4115" spans="33:33">
      <c r="AG4115" s="10"/>
    </row>
    <row r="4116" spans="33:33">
      <c r="AG4116" s="10"/>
    </row>
    <row r="4117" spans="33:33">
      <c r="AG4117" s="10"/>
    </row>
    <row r="4118" spans="33:33">
      <c r="AG4118" s="10"/>
    </row>
    <row r="4119" spans="33:33">
      <c r="AG4119" s="10"/>
    </row>
    <row r="4120" spans="33:33">
      <c r="AG4120" s="10"/>
    </row>
    <row r="4121" spans="33:33">
      <c r="AG4121" s="10"/>
    </row>
    <row r="4122" spans="33:33">
      <c r="AG4122" s="10"/>
    </row>
    <row r="4123" spans="33:33">
      <c r="AG4123" s="10"/>
    </row>
    <row r="4124" spans="33:33">
      <c r="AG4124" s="10"/>
    </row>
    <row r="4125" spans="33:33">
      <c r="AG4125" s="10"/>
    </row>
    <row r="4126" spans="33:33">
      <c r="AG4126" s="10"/>
    </row>
    <row r="4127" spans="33:33">
      <c r="AG4127" s="10"/>
    </row>
    <row r="4128" spans="33:33">
      <c r="AG4128" s="10"/>
    </row>
    <row r="4129" spans="33:33">
      <c r="AG4129" s="10"/>
    </row>
    <row r="4130" spans="33:33">
      <c r="AG4130" s="10"/>
    </row>
    <row r="4131" spans="33:33">
      <c r="AG4131" s="10"/>
    </row>
    <row r="4132" spans="33:33">
      <c r="AG4132" s="10"/>
    </row>
    <row r="4133" spans="33:33">
      <c r="AG4133" s="10"/>
    </row>
    <row r="4134" spans="33:33">
      <c r="AG4134" s="10"/>
    </row>
    <row r="4135" spans="33:33">
      <c r="AG4135" s="10"/>
    </row>
    <row r="4136" spans="33:33">
      <c r="AG4136" s="10"/>
    </row>
    <row r="4137" spans="33:33">
      <c r="AG4137" s="10"/>
    </row>
    <row r="4138" spans="33:33">
      <c r="AG4138" s="10"/>
    </row>
    <row r="4139" spans="33:33">
      <c r="AG4139" s="10"/>
    </row>
    <row r="4140" spans="33:33">
      <c r="AG4140" s="10"/>
    </row>
    <row r="4141" spans="33:33">
      <c r="AG4141" s="10"/>
    </row>
    <row r="4142" spans="33:33">
      <c r="AG4142" s="10"/>
    </row>
    <row r="4143" spans="33:33">
      <c r="AG4143" s="10"/>
    </row>
    <row r="4144" spans="33:33">
      <c r="AG4144" s="10"/>
    </row>
    <row r="4145" spans="33:33">
      <c r="AG4145" s="10"/>
    </row>
    <row r="4146" spans="33:33">
      <c r="AG4146" s="10"/>
    </row>
    <row r="4147" spans="33:33">
      <c r="AG4147" s="10"/>
    </row>
    <row r="4148" spans="33:33">
      <c r="AG4148" s="10"/>
    </row>
    <row r="4149" spans="33:33">
      <c r="AG4149" s="10"/>
    </row>
    <row r="4150" spans="33:33">
      <c r="AG4150" s="10"/>
    </row>
    <row r="4151" spans="33:33">
      <c r="AG4151" s="10"/>
    </row>
    <row r="4152" spans="33:33">
      <c r="AG4152" s="10"/>
    </row>
    <row r="4153" spans="33:33">
      <c r="AG4153" s="10"/>
    </row>
    <row r="4154" spans="33:33">
      <c r="AG4154" s="10"/>
    </row>
    <row r="4155" spans="33:33">
      <c r="AG4155" s="10"/>
    </row>
    <row r="4156" spans="33:33">
      <c r="AG4156" s="10"/>
    </row>
    <row r="4157" spans="33:33">
      <c r="AG4157" s="10"/>
    </row>
    <row r="4158" spans="33:33">
      <c r="AG4158" s="10"/>
    </row>
    <row r="4159" spans="33:33">
      <c r="AG4159" s="10"/>
    </row>
    <row r="4160" spans="33:33">
      <c r="AG4160" s="10"/>
    </row>
    <row r="4161" spans="33:33">
      <c r="AG4161" s="10"/>
    </row>
    <row r="4162" spans="33:33">
      <c r="AG4162" s="10"/>
    </row>
    <row r="4163" spans="33:33">
      <c r="AG4163" s="10"/>
    </row>
    <row r="4164" spans="33:33">
      <c r="AG4164" s="10"/>
    </row>
    <row r="4165" spans="33:33">
      <c r="AG4165" s="10"/>
    </row>
    <row r="4166" spans="33:33">
      <c r="AG4166" s="10"/>
    </row>
    <row r="4167" spans="33:33">
      <c r="AG4167" s="10"/>
    </row>
    <row r="4168" spans="33:33">
      <c r="AG4168" s="10"/>
    </row>
    <row r="4169" spans="33:33">
      <c r="AG4169" s="10"/>
    </row>
    <row r="4170" spans="33:33">
      <c r="AG4170" s="10"/>
    </row>
    <row r="4171" spans="33:33">
      <c r="AG4171" s="10"/>
    </row>
    <row r="4172" spans="33:33">
      <c r="AG4172" s="10"/>
    </row>
    <row r="4173" spans="33:33">
      <c r="AG4173" s="10"/>
    </row>
    <row r="4174" spans="33:33">
      <c r="AG4174" s="10"/>
    </row>
    <row r="4175" spans="33:33">
      <c r="AG4175" s="10"/>
    </row>
    <row r="4176" spans="33:33">
      <c r="AG4176" s="10"/>
    </row>
    <row r="4177" spans="33:33">
      <c r="AG4177" s="10"/>
    </row>
    <row r="4178" spans="33:33">
      <c r="AG4178" s="10"/>
    </row>
    <row r="4179" spans="33:33">
      <c r="AG4179" s="10"/>
    </row>
    <row r="4180" spans="33:33">
      <c r="AG4180" s="10"/>
    </row>
    <row r="4181" spans="33:33">
      <c r="AG4181" s="10"/>
    </row>
    <row r="4182" spans="33:33">
      <c r="AG4182" s="10"/>
    </row>
    <row r="4183" spans="33:33">
      <c r="AG4183" s="10"/>
    </row>
    <row r="4184" spans="33:33">
      <c r="AG4184" s="10"/>
    </row>
    <row r="4185" spans="33:33">
      <c r="AG4185" s="10"/>
    </row>
    <row r="4186" spans="33:33">
      <c r="AG4186" s="10"/>
    </row>
    <row r="4187" spans="33:33">
      <c r="AG4187" s="10"/>
    </row>
    <row r="4188" spans="33:33">
      <c r="AG4188" s="10"/>
    </row>
    <row r="4189" spans="33:33">
      <c r="AG4189" s="10"/>
    </row>
    <row r="4190" spans="33:33">
      <c r="AG4190" s="10"/>
    </row>
    <row r="4191" spans="33:33">
      <c r="AG4191" s="10"/>
    </row>
    <row r="4192" spans="33:33">
      <c r="AG4192" s="10"/>
    </row>
    <row r="4193" spans="33:33">
      <c r="AG4193" s="10"/>
    </row>
    <row r="4194" spans="33:33">
      <c r="AG4194" s="10"/>
    </row>
    <row r="4195" spans="33:33">
      <c r="AG4195" s="10"/>
    </row>
    <row r="4196" spans="33:33">
      <c r="AG4196" s="10"/>
    </row>
    <row r="4197" spans="33:33">
      <c r="AG4197" s="10"/>
    </row>
    <row r="4198" spans="33:33">
      <c r="AG4198" s="10"/>
    </row>
    <row r="4199" spans="33:33">
      <c r="AG4199" s="10"/>
    </row>
    <row r="4200" spans="33:33">
      <c r="AG4200" s="10"/>
    </row>
    <row r="4201" spans="33:33">
      <c r="AG4201" s="10"/>
    </row>
    <row r="4202" spans="33:33">
      <c r="AG4202" s="10"/>
    </row>
    <row r="4203" spans="33:33">
      <c r="AG4203" s="10"/>
    </row>
    <row r="4204" spans="33:33">
      <c r="AG4204" s="10"/>
    </row>
    <row r="4205" spans="33:33">
      <c r="AG4205" s="10"/>
    </row>
    <row r="4206" spans="33:33">
      <c r="AG4206" s="10"/>
    </row>
    <row r="4207" spans="33:33">
      <c r="AG4207" s="10"/>
    </row>
    <row r="4208" spans="33:33">
      <c r="AG4208" s="10"/>
    </row>
    <row r="4209" spans="33:33">
      <c r="AG4209" s="10"/>
    </row>
    <row r="4210" spans="33:33">
      <c r="AG4210" s="10"/>
    </row>
    <row r="4211" spans="33:33">
      <c r="AG4211" s="10"/>
    </row>
    <row r="4212" spans="33:33">
      <c r="AG4212" s="10"/>
    </row>
    <row r="4213" spans="33:33">
      <c r="AG4213" s="10"/>
    </row>
    <row r="4214" spans="33:33">
      <c r="AG4214" s="10"/>
    </row>
    <row r="4215" spans="33:33">
      <c r="AG4215" s="10"/>
    </row>
    <row r="4216" spans="33:33">
      <c r="AG4216" s="10"/>
    </row>
    <row r="4217" spans="33:33">
      <c r="AG4217" s="10"/>
    </row>
    <row r="4218" spans="33:33">
      <c r="AG4218" s="10"/>
    </row>
    <row r="4219" spans="33:33">
      <c r="AG4219" s="10"/>
    </row>
    <row r="4220" spans="33:33">
      <c r="AG4220" s="10"/>
    </row>
    <row r="4221" spans="33:33">
      <c r="AG4221" s="10"/>
    </row>
    <row r="4222" spans="33:33">
      <c r="AG4222" s="10"/>
    </row>
    <row r="4223" spans="33:33">
      <c r="AG4223" s="10"/>
    </row>
    <row r="4224" spans="33:33">
      <c r="AG4224" s="10"/>
    </row>
    <row r="4225" spans="33:33">
      <c r="AG4225" s="10"/>
    </row>
    <row r="4226" spans="33:33">
      <c r="AG4226" s="10"/>
    </row>
    <row r="4227" spans="33:33">
      <c r="AG4227" s="10"/>
    </row>
    <row r="4228" spans="33:33">
      <c r="AG4228" s="10"/>
    </row>
    <row r="4229" spans="33:33">
      <c r="AG4229" s="10"/>
    </row>
    <row r="4230" spans="33:33">
      <c r="AG4230" s="10"/>
    </row>
    <row r="4231" spans="33:33">
      <c r="AG4231" s="10"/>
    </row>
    <row r="4232" spans="33:33">
      <c r="AG4232" s="10"/>
    </row>
    <row r="4233" spans="33:33">
      <c r="AG4233" s="10"/>
    </row>
    <row r="4234" spans="33:33">
      <c r="AG4234" s="10"/>
    </row>
    <row r="4235" spans="33:33">
      <c r="AG4235" s="10"/>
    </row>
    <row r="4236" spans="33:33">
      <c r="AG4236" s="10"/>
    </row>
    <row r="4237" spans="33:33">
      <c r="AG4237" s="10"/>
    </row>
    <row r="4238" spans="33:33">
      <c r="AG4238" s="10"/>
    </row>
    <row r="4239" spans="33:33">
      <c r="AG4239" s="10"/>
    </row>
    <row r="4240" spans="33:33">
      <c r="AG4240" s="10"/>
    </row>
    <row r="4241" spans="33:33">
      <c r="AG4241" s="10"/>
    </row>
    <row r="4242" spans="33:33">
      <c r="AG4242" s="10"/>
    </row>
    <row r="4243" spans="33:33">
      <c r="AG4243" s="10"/>
    </row>
    <row r="4244" spans="33:33">
      <c r="AG4244" s="10"/>
    </row>
    <row r="4245" spans="33:33">
      <c r="AG4245" s="10"/>
    </row>
    <row r="4246" spans="33:33">
      <c r="AG4246" s="10"/>
    </row>
    <row r="4247" spans="33:33">
      <c r="AG4247" s="10"/>
    </row>
    <row r="4248" spans="33:33">
      <c r="AG4248" s="10"/>
    </row>
    <row r="4249" spans="33:33">
      <c r="AG4249" s="10"/>
    </row>
    <row r="4250" spans="33:33">
      <c r="AG4250" s="10"/>
    </row>
    <row r="4251" spans="33:33">
      <c r="AG4251" s="10"/>
    </row>
    <row r="4252" spans="33:33">
      <c r="AG4252" s="10"/>
    </row>
    <row r="4253" spans="33:33">
      <c r="AG4253" s="10"/>
    </row>
    <row r="4254" spans="33:33">
      <c r="AG4254" s="10"/>
    </row>
    <row r="4255" spans="33:33">
      <c r="AG4255" s="10"/>
    </row>
    <row r="4256" spans="33:33">
      <c r="AG4256" s="10"/>
    </row>
    <row r="4257" spans="33:33">
      <c r="AG4257" s="10"/>
    </row>
    <row r="4258" spans="33:33">
      <c r="AG4258" s="10"/>
    </row>
    <row r="4259" spans="33:33">
      <c r="AG4259" s="10"/>
    </row>
    <row r="4260" spans="33:33">
      <c r="AG4260" s="10"/>
    </row>
    <row r="4261" spans="33:33">
      <c r="AG4261" s="10"/>
    </row>
    <row r="4262" spans="33:33">
      <c r="AG4262" s="10"/>
    </row>
    <row r="4263" spans="33:33">
      <c r="AG4263" s="10"/>
    </row>
    <row r="4264" spans="33:33">
      <c r="AG4264" s="10"/>
    </row>
    <row r="4265" spans="33:33">
      <c r="AG4265" s="10"/>
    </row>
    <row r="4266" spans="33:33">
      <c r="AG4266" s="10"/>
    </row>
    <row r="4267" spans="33:33">
      <c r="AG4267" s="10"/>
    </row>
    <row r="4268" spans="33:33">
      <c r="AG4268" s="10"/>
    </row>
    <row r="4269" spans="33:33">
      <c r="AG4269" s="10"/>
    </row>
    <row r="4270" spans="33:33">
      <c r="AG4270" s="10"/>
    </row>
    <row r="4271" spans="33:33">
      <c r="AG4271" s="10"/>
    </row>
    <row r="4272" spans="33:33">
      <c r="AG4272" s="10"/>
    </row>
    <row r="4273" spans="33:33">
      <c r="AG4273" s="10"/>
    </row>
    <row r="4274" spans="33:33">
      <c r="AG4274" s="10"/>
    </row>
    <row r="4275" spans="33:33">
      <c r="AG4275" s="10"/>
    </row>
    <row r="4276" spans="33:33">
      <c r="AG4276" s="10"/>
    </row>
    <row r="4277" spans="33:33">
      <c r="AG4277" s="10"/>
    </row>
    <row r="4278" spans="33:33">
      <c r="AG4278" s="10"/>
    </row>
    <row r="4279" spans="33:33">
      <c r="AG4279" s="10"/>
    </row>
    <row r="4280" spans="33:33">
      <c r="AG4280" s="10"/>
    </row>
    <row r="4281" spans="33:33">
      <c r="AG4281" s="10"/>
    </row>
    <row r="4282" spans="33:33">
      <c r="AG4282" s="10"/>
    </row>
    <row r="4283" spans="33:33">
      <c r="AG4283" s="10"/>
    </row>
    <row r="4284" spans="33:33">
      <c r="AG4284" s="10"/>
    </row>
    <row r="4285" spans="33:33">
      <c r="AG4285" s="10"/>
    </row>
    <row r="4286" spans="33:33">
      <c r="AG4286" s="10"/>
    </row>
    <row r="4287" spans="33:33">
      <c r="AG4287" s="10"/>
    </row>
    <row r="4288" spans="33:33">
      <c r="AG4288" s="10"/>
    </row>
    <row r="4289" spans="33:33">
      <c r="AG4289" s="10"/>
    </row>
    <row r="4290" spans="33:33">
      <c r="AG4290" s="10"/>
    </row>
    <row r="4291" spans="33:33">
      <c r="AG4291" s="10"/>
    </row>
    <row r="4292" spans="33:33">
      <c r="AG4292" s="10"/>
    </row>
    <row r="4293" spans="33:33">
      <c r="AG4293" s="10"/>
    </row>
    <row r="4294" spans="33:33">
      <c r="AG4294" s="10"/>
    </row>
    <row r="4295" spans="33:33">
      <c r="AG4295" s="10"/>
    </row>
    <row r="4296" spans="33:33">
      <c r="AG4296" s="10"/>
    </row>
    <row r="4297" spans="33:33">
      <c r="AG4297" s="10"/>
    </row>
    <row r="4298" spans="33:33">
      <c r="AG4298" s="10"/>
    </row>
    <row r="4299" spans="33:33">
      <c r="AG4299" s="10"/>
    </row>
    <row r="4300" spans="33:33">
      <c r="AG4300" s="10"/>
    </row>
    <row r="4301" spans="33:33">
      <c r="AG4301" s="10"/>
    </row>
    <row r="4302" spans="33:33">
      <c r="AG4302" s="10"/>
    </row>
    <row r="4303" spans="33:33">
      <c r="AG4303" s="10"/>
    </row>
    <row r="4304" spans="33:33">
      <c r="AG4304" s="10"/>
    </row>
    <row r="4305" spans="33:33">
      <c r="AG4305" s="10"/>
    </row>
    <row r="4306" spans="33:33">
      <c r="AG4306" s="10"/>
    </row>
    <row r="4307" spans="33:33">
      <c r="AG4307" s="10"/>
    </row>
    <row r="4308" spans="33:33">
      <c r="AG4308" s="10"/>
    </row>
    <row r="4309" spans="33:33">
      <c r="AG4309" s="10"/>
    </row>
    <row r="4310" spans="33:33">
      <c r="AG4310" s="10"/>
    </row>
    <row r="4311" spans="33:33">
      <c r="AG4311" s="10"/>
    </row>
    <row r="4312" spans="33:33">
      <c r="AG4312" s="10"/>
    </row>
    <row r="4313" spans="33:33">
      <c r="AG4313" s="10"/>
    </row>
    <row r="4314" spans="33:33">
      <c r="AG4314" s="10"/>
    </row>
    <row r="4315" spans="33:33">
      <c r="AG4315" s="10"/>
    </row>
    <row r="4316" spans="33:33">
      <c r="AG4316" s="10"/>
    </row>
    <row r="4317" spans="33:33">
      <c r="AG4317" s="10"/>
    </row>
    <row r="4318" spans="33:33">
      <c r="AG4318" s="10"/>
    </row>
    <row r="4319" spans="33:33">
      <c r="AG4319" s="10"/>
    </row>
    <row r="4320" spans="33:33">
      <c r="AG4320" s="10"/>
    </row>
    <row r="4321" spans="33:33">
      <c r="AG4321" s="10"/>
    </row>
    <row r="4322" spans="33:33">
      <c r="AG4322" s="10"/>
    </row>
    <row r="4323" spans="33:33">
      <c r="AG4323" s="10"/>
    </row>
    <row r="4324" spans="33:33">
      <c r="AG4324" s="10"/>
    </row>
    <row r="4325" spans="33:33">
      <c r="AG4325" s="10"/>
    </row>
    <row r="4326" spans="33:33">
      <c r="AG4326" s="10"/>
    </row>
    <row r="4327" spans="33:33">
      <c r="AG4327" s="10"/>
    </row>
    <row r="4328" spans="33:33">
      <c r="AG4328" s="10"/>
    </row>
    <row r="4329" spans="33:33">
      <c r="AG4329" s="10"/>
    </row>
    <row r="4330" spans="33:33">
      <c r="AG4330" s="10"/>
    </row>
    <row r="4331" spans="33:33">
      <c r="AG4331" s="10"/>
    </row>
    <row r="4332" spans="33:33">
      <c r="AG4332" s="10"/>
    </row>
    <row r="4333" spans="33:33">
      <c r="AG4333" s="10"/>
    </row>
    <row r="4334" spans="33:33">
      <c r="AG4334" s="10"/>
    </row>
    <row r="4335" spans="33:33">
      <c r="AG4335" s="10"/>
    </row>
    <row r="4336" spans="33:33">
      <c r="AG4336" s="10"/>
    </row>
    <row r="4337" spans="33:33">
      <c r="AG4337" s="10"/>
    </row>
    <row r="4338" spans="33:33">
      <c r="AG4338" s="10"/>
    </row>
    <row r="4339" spans="33:33">
      <c r="AG4339" s="10"/>
    </row>
    <row r="4340" spans="33:33">
      <c r="AG4340" s="10"/>
    </row>
    <row r="4341" spans="33:33">
      <c r="AG4341" s="10"/>
    </row>
    <row r="4342" spans="33:33">
      <c r="AG4342" s="10"/>
    </row>
    <row r="4343" spans="33:33">
      <c r="AG4343" s="10"/>
    </row>
    <row r="4344" spans="33:33">
      <c r="AG4344" s="10"/>
    </row>
    <row r="4345" spans="33:33">
      <c r="AG4345" s="10"/>
    </row>
    <row r="4346" spans="33:33">
      <c r="AG4346" s="10"/>
    </row>
    <row r="4347" spans="33:33">
      <c r="AG4347" s="10"/>
    </row>
    <row r="4348" spans="33:33">
      <c r="AG4348" s="10"/>
    </row>
    <row r="4349" spans="33:33">
      <c r="AG4349" s="10"/>
    </row>
    <row r="4350" spans="33:33">
      <c r="AG4350" s="10"/>
    </row>
    <row r="4351" spans="33:33">
      <c r="AG4351" s="10"/>
    </row>
    <row r="4352" spans="33:33">
      <c r="AG4352" s="10"/>
    </row>
    <row r="4353" spans="33:33">
      <c r="AG4353" s="10"/>
    </row>
    <row r="4354" spans="33:33">
      <c r="AG4354" s="10"/>
    </row>
    <row r="4355" spans="33:33">
      <c r="AG4355" s="10"/>
    </row>
    <row r="4356" spans="33:33">
      <c r="AG4356" s="10"/>
    </row>
    <row r="4357" spans="33:33">
      <c r="AG4357" s="10"/>
    </row>
    <row r="4358" spans="33:33">
      <c r="AG4358" s="10"/>
    </row>
    <row r="4359" spans="33:33">
      <c r="AG4359" s="10"/>
    </row>
    <row r="4360" spans="33:33">
      <c r="AG4360" s="10"/>
    </row>
    <row r="4361" spans="33:33">
      <c r="AG4361" s="10"/>
    </row>
    <row r="4362" spans="33:33">
      <c r="AG4362" s="10"/>
    </row>
    <row r="4363" spans="33:33">
      <c r="AG4363" s="10"/>
    </row>
    <row r="4364" spans="33:33">
      <c r="AG4364" s="10"/>
    </row>
    <row r="4365" spans="33:33">
      <c r="AG4365" s="10"/>
    </row>
    <row r="4366" spans="33:33">
      <c r="AG4366" s="10"/>
    </row>
    <row r="4367" spans="33:33">
      <c r="AG4367" s="10"/>
    </row>
    <row r="4368" spans="33:33">
      <c r="AG4368" s="10"/>
    </row>
    <row r="4369" spans="33:33">
      <c r="AG4369" s="10"/>
    </row>
    <row r="4370" spans="33:33">
      <c r="AG4370" s="10"/>
    </row>
    <row r="4371" spans="33:33">
      <c r="AG4371" s="10"/>
    </row>
    <row r="4372" spans="33:33">
      <c r="AG4372" s="10"/>
    </row>
    <row r="4373" spans="33:33">
      <c r="AG4373" s="10"/>
    </row>
    <row r="4374" spans="33:33">
      <c r="AG4374" s="10"/>
    </row>
    <row r="4375" spans="33:33">
      <c r="AG4375" s="10"/>
    </row>
    <row r="4376" spans="33:33">
      <c r="AG4376" s="10"/>
    </row>
    <row r="4377" spans="33:33">
      <c r="AG4377" s="10"/>
    </row>
    <row r="4378" spans="33:33">
      <c r="AG4378" s="10"/>
    </row>
    <row r="4379" spans="33:33">
      <c r="AG4379" s="10"/>
    </row>
    <row r="4380" spans="33:33">
      <c r="AG4380" s="10"/>
    </row>
    <row r="4381" spans="33:33">
      <c r="AG4381" s="10"/>
    </row>
    <row r="4382" spans="33:33">
      <c r="AG4382" s="10"/>
    </row>
    <row r="4383" spans="33:33">
      <c r="AG4383" s="10"/>
    </row>
    <row r="4384" spans="33:33">
      <c r="AG4384" s="10"/>
    </row>
    <row r="4385" spans="33:33">
      <c r="AG4385" s="10"/>
    </row>
    <row r="4386" spans="33:33">
      <c r="AG4386" s="10"/>
    </row>
    <row r="4387" spans="33:33">
      <c r="AG4387" s="10"/>
    </row>
    <row r="4388" spans="33:33">
      <c r="AG4388" s="10"/>
    </row>
    <row r="4389" spans="33:33">
      <c r="AG4389" s="10"/>
    </row>
    <row r="4390" spans="33:33">
      <c r="AG4390" s="10"/>
    </row>
    <row r="4391" spans="33:33">
      <c r="AG4391" s="10"/>
    </row>
    <row r="4392" spans="33:33">
      <c r="AG4392" s="10"/>
    </row>
    <row r="4393" spans="33:33">
      <c r="AG4393" s="10"/>
    </row>
    <row r="4394" spans="33:33">
      <c r="AG4394" s="10"/>
    </row>
    <row r="4395" spans="33:33">
      <c r="AG4395" s="10"/>
    </row>
    <row r="4396" spans="33:33">
      <c r="AG4396" s="10"/>
    </row>
    <row r="4397" spans="33:33">
      <c r="AG4397" s="10"/>
    </row>
    <row r="4398" spans="33:33">
      <c r="AG4398" s="10"/>
    </row>
    <row r="4399" spans="33:33">
      <c r="AG4399" s="10"/>
    </row>
    <row r="4400" spans="33:33">
      <c r="AG4400" s="10"/>
    </row>
    <row r="4401" spans="33:33">
      <c r="AG4401" s="10"/>
    </row>
    <row r="4402" spans="33:33">
      <c r="AG4402" s="10"/>
    </row>
    <row r="4403" spans="33:33">
      <c r="AG4403" s="10"/>
    </row>
    <row r="4404" spans="33:33">
      <c r="AG4404" s="10"/>
    </row>
    <row r="4405" spans="33:33">
      <c r="AG4405" s="10"/>
    </row>
    <row r="4406" spans="33:33">
      <c r="AG4406" s="10"/>
    </row>
    <row r="4407" spans="33:33">
      <c r="AG4407" s="10"/>
    </row>
    <row r="4408" spans="33:33">
      <c r="AG4408" s="10"/>
    </row>
    <row r="4409" spans="33:33">
      <c r="AG4409" s="10"/>
    </row>
    <row r="4410" spans="33:33">
      <c r="AG4410" s="10"/>
    </row>
    <row r="4411" spans="33:33">
      <c r="AG4411" s="10"/>
    </row>
    <row r="4412" spans="33:33">
      <c r="AG4412" s="10"/>
    </row>
    <row r="4413" spans="33:33">
      <c r="AG4413" s="10"/>
    </row>
    <row r="4414" spans="33:33">
      <c r="AG4414" s="10"/>
    </row>
    <row r="4415" spans="33:33">
      <c r="AG4415" s="10"/>
    </row>
    <row r="4416" spans="33:33">
      <c r="AG4416" s="10"/>
    </row>
    <row r="4417" spans="33:33">
      <c r="AG4417" s="10"/>
    </row>
    <row r="4418" spans="33:33">
      <c r="AG4418" s="10"/>
    </row>
    <row r="4419" spans="33:33">
      <c r="AG4419" s="10"/>
    </row>
    <row r="4420" spans="33:33">
      <c r="AG4420" s="10"/>
    </row>
    <row r="4421" spans="33:33">
      <c r="AG4421" s="10"/>
    </row>
    <row r="4422" spans="33:33">
      <c r="AG4422" s="10"/>
    </row>
    <row r="4423" spans="33:33">
      <c r="AG4423" s="10"/>
    </row>
    <row r="4424" spans="33:33">
      <c r="AG4424" s="10"/>
    </row>
    <row r="4425" spans="33:33">
      <c r="AG4425" s="10"/>
    </row>
    <row r="4426" spans="33:33">
      <c r="AG4426" s="10"/>
    </row>
    <row r="4427" spans="33:33">
      <c r="AG4427" s="10"/>
    </row>
    <row r="4428" spans="33:33">
      <c r="AG4428" s="10"/>
    </row>
    <row r="4429" spans="33:33">
      <c r="AG4429" s="10"/>
    </row>
    <row r="4430" spans="33:33">
      <c r="AG4430" s="10"/>
    </row>
    <row r="4431" spans="33:33">
      <c r="AG4431" s="10"/>
    </row>
    <row r="4432" spans="33:33">
      <c r="AG4432" s="10"/>
    </row>
    <row r="4433" spans="33:33">
      <c r="AG4433" s="10"/>
    </row>
    <row r="4434" spans="33:33">
      <c r="AG4434" s="10"/>
    </row>
    <row r="4435" spans="33:33">
      <c r="AG4435" s="10"/>
    </row>
    <row r="4436" spans="33:33">
      <c r="AG4436" s="10"/>
    </row>
    <row r="4437" spans="33:33">
      <c r="AG4437" s="10"/>
    </row>
    <row r="4438" spans="33:33">
      <c r="AG4438" s="10"/>
    </row>
    <row r="4439" spans="33:33">
      <c r="AG4439" s="10"/>
    </row>
    <row r="4440" spans="33:33">
      <c r="AG4440" s="10"/>
    </row>
    <row r="4441" spans="33:33">
      <c r="AG4441" s="10"/>
    </row>
    <row r="4442" spans="33:33">
      <c r="AG4442" s="10"/>
    </row>
    <row r="4443" spans="33:33">
      <c r="AG4443" s="10"/>
    </row>
    <row r="4444" spans="33:33">
      <c r="AG4444" s="10"/>
    </row>
    <row r="4445" spans="33:33">
      <c r="AG4445" s="10"/>
    </row>
    <row r="4446" spans="33:33">
      <c r="AG4446" s="10"/>
    </row>
    <row r="4447" spans="33:33">
      <c r="AG4447" s="10"/>
    </row>
    <row r="4448" spans="33:33">
      <c r="AG4448" s="10"/>
    </row>
    <row r="4449" spans="33:33">
      <c r="AG4449" s="10"/>
    </row>
    <row r="4450" spans="33:33">
      <c r="AG4450" s="10"/>
    </row>
    <row r="4451" spans="33:33">
      <c r="AG4451" s="10"/>
    </row>
    <row r="4452" spans="33:33">
      <c r="AG4452" s="10"/>
    </row>
    <row r="4453" spans="33:33">
      <c r="AG4453" s="10"/>
    </row>
    <row r="4454" spans="33:33">
      <c r="AG4454" s="10"/>
    </row>
    <row r="4455" spans="33:33">
      <c r="AG4455" s="10"/>
    </row>
    <row r="4456" spans="33:33">
      <c r="AG4456" s="10"/>
    </row>
    <row r="4457" spans="33:33">
      <c r="AG4457" s="10"/>
    </row>
    <row r="4458" spans="33:33">
      <c r="AG4458" s="10"/>
    </row>
    <row r="4459" spans="33:33">
      <c r="AG4459" s="10"/>
    </row>
    <row r="4460" spans="33:33">
      <c r="AG4460" s="10"/>
    </row>
    <row r="4461" spans="33:33">
      <c r="AG4461" s="10"/>
    </row>
    <row r="4462" spans="33:33">
      <c r="AG4462" s="10"/>
    </row>
    <row r="4463" spans="33:33">
      <c r="AG4463" s="10"/>
    </row>
    <row r="4464" spans="33:33">
      <c r="AG4464" s="10"/>
    </row>
    <row r="4465" spans="33:33">
      <c r="AG4465" s="10"/>
    </row>
    <row r="4466" spans="33:33">
      <c r="AG4466" s="10"/>
    </row>
    <row r="4467" spans="33:33">
      <c r="AG4467" s="10"/>
    </row>
    <row r="4468" spans="33:33">
      <c r="AG4468" s="10"/>
    </row>
    <row r="4469" spans="33:33">
      <c r="AG4469" s="10"/>
    </row>
    <row r="4470" spans="33:33">
      <c r="AG4470" s="10"/>
    </row>
    <row r="4471" spans="33:33">
      <c r="AG4471" s="10"/>
    </row>
    <row r="4472" spans="33:33">
      <c r="AG4472" s="10"/>
    </row>
    <row r="4473" spans="33:33">
      <c r="AG4473" s="10"/>
    </row>
    <row r="4474" spans="33:33">
      <c r="AG4474" s="10"/>
    </row>
    <row r="4475" spans="33:33">
      <c r="AG4475" s="10"/>
    </row>
    <row r="4476" spans="33:33">
      <c r="AG4476" s="10"/>
    </row>
    <row r="4477" spans="33:33">
      <c r="AG4477" s="10"/>
    </row>
    <row r="4478" spans="33:33">
      <c r="AG4478" s="10"/>
    </row>
    <row r="4479" spans="33:33">
      <c r="AG4479" s="10"/>
    </row>
    <row r="4480" spans="33:33">
      <c r="AG4480" s="10"/>
    </row>
    <row r="4481" spans="33:33">
      <c r="AG4481" s="10"/>
    </row>
    <row r="4482" spans="33:33">
      <c r="AG4482" s="10"/>
    </row>
    <row r="4483" spans="33:33">
      <c r="AG4483" s="10"/>
    </row>
    <row r="4484" spans="33:33">
      <c r="AG4484" s="10"/>
    </row>
    <row r="4485" spans="33:33">
      <c r="AG4485" s="10"/>
    </row>
    <row r="4486" spans="33:33">
      <c r="AG4486" s="10"/>
    </row>
    <row r="4487" spans="33:33">
      <c r="AG4487" s="10"/>
    </row>
    <row r="4488" spans="33:33">
      <c r="AG4488" s="10"/>
    </row>
    <row r="4489" spans="33:33">
      <c r="AG4489" s="10"/>
    </row>
    <row r="4490" spans="33:33">
      <c r="AG4490" s="10"/>
    </row>
    <row r="4491" spans="33:33">
      <c r="AG4491" s="10"/>
    </row>
    <row r="4492" spans="33:33">
      <c r="AG4492" s="10"/>
    </row>
    <row r="4493" spans="33:33">
      <c r="AG4493" s="10"/>
    </row>
    <row r="4494" spans="33:33">
      <c r="AG4494" s="10"/>
    </row>
    <row r="4495" spans="33:33">
      <c r="AG4495" s="10"/>
    </row>
    <row r="4496" spans="33:33">
      <c r="AG4496" s="10"/>
    </row>
    <row r="4497" spans="33:33">
      <c r="AG4497" s="10"/>
    </row>
    <row r="4498" spans="33:33">
      <c r="AG4498" s="10"/>
    </row>
    <row r="4499" spans="33:33">
      <c r="AG4499" s="10"/>
    </row>
    <row r="4500" spans="33:33">
      <c r="AG4500" s="10"/>
    </row>
    <row r="4501" spans="33:33">
      <c r="AG4501" s="10"/>
    </row>
    <row r="4502" spans="33:33">
      <c r="AG4502" s="10"/>
    </row>
    <row r="4503" spans="33:33">
      <c r="AG4503" s="10"/>
    </row>
    <row r="4504" spans="33:33">
      <c r="AG4504" s="10"/>
    </row>
    <row r="4505" spans="33:33">
      <c r="AG4505" s="10"/>
    </row>
    <row r="4506" spans="33:33">
      <c r="AG4506" s="10"/>
    </row>
    <row r="4507" spans="33:33">
      <c r="AG4507" s="10"/>
    </row>
    <row r="4508" spans="33:33">
      <c r="AG4508" s="10"/>
    </row>
    <row r="4509" spans="33:33">
      <c r="AG4509" s="10"/>
    </row>
    <row r="4510" spans="33:33">
      <c r="AG4510" s="10"/>
    </row>
    <row r="4511" spans="33:33">
      <c r="AG4511" s="10"/>
    </row>
    <row r="4512" spans="33:33">
      <c r="AG4512" s="10"/>
    </row>
    <row r="4513" spans="33:33">
      <c r="AG4513" s="10"/>
    </row>
    <row r="4514" spans="33:33">
      <c r="AG4514" s="10"/>
    </row>
    <row r="4515" spans="33:33">
      <c r="AG4515" s="10"/>
    </row>
    <row r="4516" spans="33:33">
      <c r="AG4516" s="10"/>
    </row>
    <row r="4517" spans="33:33">
      <c r="AG4517" s="10"/>
    </row>
    <row r="4518" spans="33:33">
      <c r="AG4518" s="10"/>
    </row>
    <row r="4519" spans="33:33">
      <c r="AG4519" s="10"/>
    </row>
    <row r="4520" spans="33:33">
      <c r="AG4520" s="10"/>
    </row>
    <row r="4521" spans="33:33">
      <c r="AG4521" s="10"/>
    </row>
    <row r="4522" spans="33:33">
      <c r="AG4522" s="10"/>
    </row>
    <row r="4523" spans="33:33">
      <c r="AG4523" s="10"/>
    </row>
    <row r="4524" spans="33:33">
      <c r="AG4524" s="10"/>
    </row>
    <row r="4525" spans="33:33">
      <c r="AG4525" s="10"/>
    </row>
    <row r="4526" spans="33:33">
      <c r="AG4526" s="10"/>
    </row>
    <row r="4527" spans="33:33">
      <c r="AG4527" s="10"/>
    </row>
    <row r="4528" spans="33:33">
      <c r="AG4528" s="10"/>
    </row>
    <row r="4529" spans="33:33">
      <c r="AG4529" s="10"/>
    </row>
    <row r="4530" spans="33:33">
      <c r="AG4530" s="10"/>
    </row>
    <row r="4531" spans="33:33">
      <c r="AG4531" s="10"/>
    </row>
    <row r="4532" spans="33:33">
      <c r="AG4532" s="10"/>
    </row>
    <row r="4533" spans="33:33">
      <c r="AG4533" s="10"/>
    </row>
    <row r="4534" spans="33:33">
      <c r="AG4534" s="10"/>
    </row>
    <row r="4535" spans="33:33">
      <c r="AG4535" s="10"/>
    </row>
    <row r="4536" spans="33:33">
      <c r="AG4536" s="10"/>
    </row>
    <row r="4537" spans="33:33">
      <c r="AG4537" s="10"/>
    </row>
    <row r="4538" spans="33:33">
      <c r="AG4538" s="10"/>
    </row>
    <row r="4539" spans="33:33">
      <c r="AG4539" s="10"/>
    </row>
    <row r="4540" spans="33:33">
      <c r="AG4540" s="10"/>
    </row>
    <row r="4541" spans="33:33">
      <c r="AG4541" s="10"/>
    </row>
    <row r="4542" spans="33:33">
      <c r="AG4542" s="10"/>
    </row>
    <row r="4543" spans="33:33">
      <c r="AG4543" s="10"/>
    </row>
    <row r="4544" spans="33:33">
      <c r="AG4544" s="10"/>
    </row>
    <row r="4545" spans="33:33">
      <c r="AG4545" s="10"/>
    </row>
    <row r="4546" spans="33:33">
      <c r="AG4546" s="10"/>
    </row>
    <row r="4547" spans="33:33">
      <c r="AG4547" s="10"/>
    </row>
    <row r="4548" spans="33:33">
      <c r="AG4548" s="10"/>
    </row>
    <row r="4549" spans="33:33">
      <c r="AG4549" s="10"/>
    </row>
    <row r="4550" spans="33:33">
      <c r="AG4550" s="10"/>
    </row>
    <row r="4551" spans="33:33">
      <c r="AG4551" s="10"/>
    </row>
    <row r="4552" spans="33:33">
      <c r="AG4552" s="10"/>
    </row>
    <row r="4553" spans="33:33">
      <c r="AG4553" s="10"/>
    </row>
    <row r="4554" spans="33:33">
      <c r="AG4554" s="10"/>
    </row>
    <row r="4555" spans="33:33">
      <c r="AG4555" s="10"/>
    </row>
    <row r="4556" spans="33:33">
      <c r="AG4556" s="10"/>
    </row>
    <row r="4557" spans="33:33">
      <c r="AG4557" s="10"/>
    </row>
    <row r="4558" spans="33:33">
      <c r="AG4558" s="10"/>
    </row>
    <row r="4559" spans="33:33">
      <c r="AG4559" s="10"/>
    </row>
    <row r="4560" spans="33:33">
      <c r="AG4560" s="10"/>
    </row>
    <row r="4561" spans="33:33">
      <c r="AG4561" s="10"/>
    </row>
    <row r="4562" spans="33:33">
      <c r="AG4562" s="10"/>
    </row>
    <row r="4563" spans="33:33">
      <c r="AG4563" s="10"/>
    </row>
    <row r="4564" spans="33:33">
      <c r="AG4564" s="10"/>
    </row>
    <row r="4565" spans="33:33">
      <c r="AG4565" s="10"/>
    </row>
    <row r="4566" spans="33:33">
      <c r="AG4566" s="10"/>
    </row>
    <row r="4567" spans="33:33">
      <c r="AG4567" s="10"/>
    </row>
    <row r="4568" spans="33:33">
      <c r="AG4568" s="10"/>
    </row>
    <row r="4569" spans="33:33">
      <c r="AG4569" s="10"/>
    </row>
    <row r="4570" spans="33:33">
      <c r="AG4570" s="10"/>
    </row>
    <row r="4571" spans="33:33">
      <c r="AG4571" s="10"/>
    </row>
    <row r="4572" spans="33:33">
      <c r="AG4572" s="10"/>
    </row>
    <row r="4573" spans="33:33">
      <c r="AG4573" s="10"/>
    </row>
    <row r="4574" spans="33:33">
      <c r="AG4574" s="10"/>
    </row>
    <row r="4575" spans="33:33">
      <c r="AG4575" s="10"/>
    </row>
    <row r="4576" spans="33:33">
      <c r="AG4576" s="10"/>
    </row>
    <row r="4577" spans="33:33">
      <c r="AG4577" s="10"/>
    </row>
    <row r="4578" spans="33:33">
      <c r="AG4578" s="10"/>
    </row>
    <row r="4579" spans="33:33">
      <c r="AG4579" s="10"/>
    </row>
    <row r="4580" spans="33:33">
      <c r="AG4580" s="10"/>
    </row>
    <row r="4581" spans="33:33">
      <c r="AG4581" s="10"/>
    </row>
    <row r="4582" spans="33:33">
      <c r="AG4582" s="10"/>
    </row>
    <row r="4583" spans="33:33">
      <c r="AG4583" s="10"/>
    </row>
    <row r="4584" spans="33:33">
      <c r="AG4584" s="10"/>
    </row>
    <row r="4585" spans="33:33">
      <c r="AG4585" s="10"/>
    </row>
    <row r="4586" spans="33:33">
      <c r="AG4586" s="10"/>
    </row>
    <row r="4587" spans="33:33">
      <c r="AG4587" s="10"/>
    </row>
    <row r="4588" spans="33:33">
      <c r="AG4588" s="10"/>
    </row>
    <row r="4589" spans="33:33">
      <c r="AG4589" s="10"/>
    </row>
    <row r="4590" spans="33:33">
      <c r="AG4590" s="10"/>
    </row>
    <row r="4591" spans="33:33">
      <c r="AG4591" s="10"/>
    </row>
    <row r="4592" spans="33:33">
      <c r="AG4592" s="10"/>
    </row>
    <row r="4593" spans="33:33">
      <c r="AG4593" s="10"/>
    </row>
    <row r="4594" spans="33:33">
      <c r="AG4594" s="10"/>
    </row>
    <row r="4595" spans="33:33">
      <c r="AG4595" s="10"/>
    </row>
    <row r="4596" spans="33:33">
      <c r="AG4596" s="10"/>
    </row>
    <row r="4597" spans="33:33">
      <c r="AG4597" s="10"/>
    </row>
    <row r="4598" spans="33:33">
      <c r="AG4598" s="10"/>
    </row>
    <row r="4599" spans="33:33">
      <c r="AG4599" s="10"/>
    </row>
    <row r="4600" spans="33:33">
      <c r="AG4600" s="10"/>
    </row>
    <row r="4601" spans="33:33">
      <c r="AG4601" s="10"/>
    </row>
    <row r="4602" spans="33:33">
      <c r="AG4602" s="10"/>
    </row>
    <row r="4603" spans="33:33">
      <c r="AG4603" s="10"/>
    </row>
    <row r="4604" spans="33:33">
      <c r="AG4604" s="10"/>
    </row>
    <row r="4605" spans="33:33">
      <c r="AG4605" s="10"/>
    </row>
    <row r="4606" spans="33:33">
      <c r="AG4606" s="10"/>
    </row>
    <row r="4607" spans="33:33">
      <c r="AG4607" s="10"/>
    </row>
    <row r="4608" spans="33:33">
      <c r="AG4608" s="10"/>
    </row>
    <row r="4609" spans="33:33">
      <c r="AG4609" s="10"/>
    </row>
    <row r="4610" spans="33:33">
      <c r="AG4610" s="10"/>
    </row>
    <row r="4611" spans="33:33">
      <c r="AG4611" s="10"/>
    </row>
    <row r="4612" spans="33:33">
      <c r="AG4612" s="10"/>
    </row>
    <row r="4613" spans="33:33">
      <c r="AG4613" s="10"/>
    </row>
    <row r="4614" spans="33:33">
      <c r="AG4614" s="10"/>
    </row>
    <row r="4615" spans="33:33">
      <c r="AG4615" s="10"/>
    </row>
    <row r="4616" spans="33:33">
      <c r="AG4616" s="10"/>
    </row>
    <row r="4617" spans="33:33">
      <c r="AG4617" s="10"/>
    </row>
    <row r="4618" spans="33:33">
      <c r="AG4618" s="10"/>
    </row>
    <row r="4619" spans="33:33">
      <c r="AG4619" s="10"/>
    </row>
    <row r="4620" spans="33:33">
      <c r="AG4620" s="10"/>
    </row>
    <row r="4621" spans="33:33">
      <c r="AG4621" s="10"/>
    </row>
    <row r="4622" spans="33:33">
      <c r="AG4622" s="10"/>
    </row>
    <row r="4623" spans="33:33">
      <c r="AG4623" s="10"/>
    </row>
    <row r="4624" spans="33:33">
      <c r="AG4624" s="10"/>
    </row>
    <row r="4625" spans="33:33">
      <c r="AG4625" s="10"/>
    </row>
    <row r="4626" spans="33:33">
      <c r="AG4626" s="10"/>
    </row>
    <row r="4627" spans="33:33">
      <c r="AG4627" s="10"/>
    </row>
    <row r="4628" spans="33:33">
      <c r="AG4628" s="10"/>
    </row>
    <row r="4629" spans="33:33">
      <c r="AG4629" s="10"/>
    </row>
    <row r="4630" spans="33:33">
      <c r="AG4630" s="10"/>
    </row>
    <row r="4631" spans="33:33">
      <c r="AG4631" s="10"/>
    </row>
    <row r="4632" spans="33:33">
      <c r="AG4632" s="10"/>
    </row>
    <row r="4633" spans="33:33">
      <c r="AG4633" s="10"/>
    </row>
    <row r="4634" spans="33:33">
      <c r="AG4634" s="10"/>
    </row>
    <row r="4635" spans="33:33">
      <c r="AG4635" s="10"/>
    </row>
    <row r="4636" spans="33:33">
      <c r="AG4636" s="10"/>
    </row>
    <row r="4637" spans="33:33">
      <c r="AG4637" s="10"/>
    </row>
    <row r="4638" spans="33:33">
      <c r="AG4638" s="10"/>
    </row>
    <row r="4639" spans="33:33">
      <c r="AG4639" s="10"/>
    </row>
    <row r="4640" spans="33:33">
      <c r="AG4640" s="10"/>
    </row>
    <row r="4641" spans="33:33">
      <c r="AG4641" s="10"/>
    </row>
    <row r="4642" spans="33:33">
      <c r="AG4642" s="10"/>
    </row>
    <row r="4643" spans="33:33">
      <c r="AG4643" s="10"/>
    </row>
    <row r="4644" spans="33:33">
      <c r="AG4644" s="10"/>
    </row>
    <row r="4645" spans="33:33">
      <c r="AG4645" s="10"/>
    </row>
    <row r="4646" spans="33:33">
      <c r="AG4646" s="10"/>
    </row>
    <row r="4647" spans="33:33">
      <c r="AG4647" s="10"/>
    </row>
    <row r="4648" spans="33:33">
      <c r="AG4648" s="10"/>
    </row>
    <row r="4649" spans="33:33">
      <c r="AG4649" s="10"/>
    </row>
    <row r="4650" spans="33:33">
      <c r="AG4650" s="10"/>
    </row>
    <row r="4651" spans="33:33">
      <c r="AG4651" s="10"/>
    </row>
    <row r="4652" spans="33:33">
      <c r="AG4652" s="10"/>
    </row>
    <row r="4653" spans="33:33">
      <c r="AG4653" s="10"/>
    </row>
    <row r="4654" spans="33:33">
      <c r="AG4654" s="10"/>
    </row>
    <row r="4655" spans="33:33">
      <c r="AG4655" s="10"/>
    </row>
    <row r="4656" spans="33:33">
      <c r="AG4656" s="10"/>
    </row>
    <row r="4657" spans="33:33">
      <c r="AG4657" s="10"/>
    </row>
    <row r="4658" spans="33:33">
      <c r="AG4658" s="10"/>
    </row>
    <row r="4659" spans="33:33">
      <c r="AG4659" s="10"/>
    </row>
    <row r="4660" spans="33:33">
      <c r="AG4660" s="10"/>
    </row>
    <row r="4661" spans="33:33">
      <c r="AG4661" s="10"/>
    </row>
    <row r="4662" spans="33:33">
      <c r="AG4662" s="10"/>
    </row>
    <row r="4663" spans="33:33">
      <c r="AG4663" s="10"/>
    </row>
    <row r="4664" spans="33:33">
      <c r="AG4664" s="10"/>
    </row>
    <row r="4665" spans="33:33">
      <c r="AG4665" s="10"/>
    </row>
    <row r="4666" spans="33:33">
      <c r="AG4666" s="10"/>
    </row>
    <row r="4667" spans="33:33">
      <c r="AG4667" s="10"/>
    </row>
    <row r="4668" spans="33:33">
      <c r="AG4668" s="10"/>
    </row>
    <row r="4669" spans="33:33">
      <c r="AG4669" s="10"/>
    </row>
    <row r="4670" spans="33:33">
      <c r="AG4670" s="10"/>
    </row>
    <row r="4671" spans="33:33">
      <c r="AG4671" s="10"/>
    </row>
    <row r="4672" spans="33:33">
      <c r="AG4672" s="10"/>
    </row>
    <row r="4673" spans="33:33">
      <c r="AG4673" s="10"/>
    </row>
    <row r="4674" spans="33:33">
      <c r="AG4674" s="10"/>
    </row>
    <row r="4675" spans="33:33">
      <c r="AG4675" s="10"/>
    </row>
    <row r="4676" spans="33:33">
      <c r="AG4676" s="10"/>
    </row>
    <row r="4677" spans="33:33">
      <c r="AG4677" s="10"/>
    </row>
    <row r="4678" spans="33:33">
      <c r="AG4678" s="10"/>
    </row>
    <row r="4679" spans="33:33">
      <c r="AG4679" s="10"/>
    </row>
    <row r="4680" spans="33:33">
      <c r="AG4680" s="10"/>
    </row>
    <row r="4681" spans="33:33">
      <c r="AG4681" s="10"/>
    </row>
    <row r="4682" spans="33:33">
      <c r="AG4682" s="10"/>
    </row>
    <row r="4683" spans="33:33">
      <c r="AG4683" s="10"/>
    </row>
    <row r="4684" spans="33:33">
      <c r="AG4684" s="10"/>
    </row>
    <row r="4685" spans="33:33">
      <c r="AG4685" s="10"/>
    </row>
    <row r="4686" spans="33:33">
      <c r="AG4686" s="10"/>
    </row>
    <row r="4687" spans="33:33">
      <c r="AG4687" s="10"/>
    </row>
    <row r="4688" spans="33:33">
      <c r="AG4688" s="10"/>
    </row>
    <row r="4689" spans="33:33">
      <c r="AG4689" s="10"/>
    </row>
    <row r="4690" spans="33:33">
      <c r="AG4690" s="10"/>
    </row>
    <row r="4691" spans="33:33">
      <c r="AG4691" s="10"/>
    </row>
    <row r="4692" spans="33:33">
      <c r="AG4692" s="10"/>
    </row>
    <row r="4693" spans="33:33">
      <c r="AG4693" s="10"/>
    </row>
    <row r="4694" spans="33:33">
      <c r="AG4694" s="10"/>
    </row>
    <row r="4695" spans="33:33">
      <c r="AG4695" s="10"/>
    </row>
    <row r="4696" spans="33:33">
      <c r="AG4696" s="10"/>
    </row>
    <row r="4697" spans="33:33">
      <c r="AG4697" s="10"/>
    </row>
    <row r="4698" spans="33:33">
      <c r="AG4698" s="10"/>
    </row>
    <row r="4699" spans="33:33">
      <c r="AG4699" s="10"/>
    </row>
    <row r="4700" spans="33:33">
      <c r="AG4700" s="10"/>
    </row>
    <row r="4701" spans="33:33">
      <c r="AG4701" s="10"/>
    </row>
    <row r="4702" spans="33:33">
      <c r="AG4702" s="10"/>
    </row>
    <row r="4703" spans="33:33">
      <c r="AG4703" s="10"/>
    </row>
    <row r="4704" spans="33:33">
      <c r="AG4704" s="10"/>
    </row>
    <row r="4705" spans="33:33">
      <c r="AG4705" s="10"/>
    </row>
    <row r="4706" spans="33:33">
      <c r="AG4706" s="10"/>
    </row>
    <row r="4707" spans="33:33">
      <c r="AG4707" s="10"/>
    </row>
    <row r="4708" spans="33:33">
      <c r="AG4708" s="10"/>
    </row>
    <row r="4709" spans="33:33">
      <c r="AG4709" s="10"/>
    </row>
    <row r="4710" spans="33:33">
      <c r="AG4710" s="10"/>
    </row>
    <row r="4711" spans="33:33">
      <c r="AG4711" s="10"/>
    </row>
    <row r="4712" spans="33:33">
      <c r="AG4712" s="10"/>
    </row>
    <row r="4713" spans="33:33">
      <c r="AG4713" s="10"/>
    </row>
    <row r="4714" spans="33:33">
      <c r="AG4714" s="10"/>
    </row>
    <row r="4715" spans="33:33">
      <c r="AG4715" s="10"/>
    </row>
    <row r="4716" spans="33:33">
      <c r="AG4716" s="10"/>
    </row>
    <row r="4717" spans="33:33">
      <c r="AG4717" s="10"/>
    </row>
    <row r="4718" spans="33:33">
      <c r="AG4718" s="10"/>
    </row>
    <row r="4719" spans="33:33">
      <c r="AG4719" s="10"/>
    </row>
    <row r="4720" spans="33:33">
      <c r="AG4720" s="10"/>
    </row>
    <row r="4721" spans="33:33">
      <c r="AG4721" s="10"/>
    </row>
    <row r="4722" spans="33:33">
      <c r="AG4722" s="10"/>
    </row>
    <row r="4723" spans="33:33">
      <c r="AG4723" s="10"/>
    </row>
    <row r="4724" spans="33:33">
      <c r="AG4724" s="10"/>
    </row>
    <row r="4725" spans="33:33">
      <c r="AG4725" s="10"/>
    </row>
    <row r="4726" spans="33:33">
      <c r="AG4726" s="10"/>
    </row>
    <row r="4727" spans="33:33">
      <c r="AG4727" s="10"/>
    </row>
    <row r="4728" spans="33:33">
      <c r="AG4728" s="10"/>
    </row>
    <row r="4729" spans="33:33">
      <c r="AG4729" s="10"/>
    </row>
    <row r="4730" spans="33:33">
      <c r="AG4730" s="10"/>
    </row>
    <row r="4731" spans="33:33">
      <c r="AG4731" s="10"/>
    </row>
    <row r="4732" spans="33:33">
      <c r="AG4732" s="10"/>
    </row>
    <row r="4733" spans="33:33">
      <c r="AG4733" s="10"/>
    </row>
    <row r="4734" spans="33:33">
      <c r="AG4734" s="10"/>
    </row>
    <row r="4735" spans="33:33">
      <c r="AG4735" s="10"/>
    </row>
    <row r="4736" spans="33:33">
      <c r="AG4736" s="10"/>
    </row>
    <row r="4737" spans="33:33">
      <c r="AG4737" s="10"/>
    </row>
    <row r="4738" spans="33:33">
      <c r="AG4738" s="10"/>
    </row>
    <row r="4739" spans="33:33">
      <c r="AG4739" s="10"/>
    </row>
    <row r="4740" spans="33:33">
      <c r="AG4740" s="10"/>
    </row>
    <row r="4741" spans="33:33">
      <c r="AG4741" s="10"/>
    </row>
    <row r="4742" spans="33:33">
      <c r="AG4742" s="10"/>
    </row>
    <row r="4743" spans="33:33">
      <c r="AG4743" s="10"/>
    </row>
    <row r="4744" spans="33:33">
      <c r="AG4744" s="10"/>
    </row>
    <row r="4745" spans="33:33">
      <c r="AG4745" s="10"/>
    </row>
    <row r="4746" spans="33:33">
      <c r="AG4746" s="10"/>
    </row>
    <row r="4747" spans="33:33">
      <c r="AG4747" s="10"/>
    </row>
    <row r="4748" spans="33:33">
      <c r="AG4748" s="10"/>
    </row>
    <row r="4749" spans="33:33">
      <c r="AG4749" s="10"/>
    </row>
    <row r="4750" spans="33:33">
      <c r="AG4750" s="10"/>
    </row>
    <row r="4751" spans="33:33">
      <c r="AG4751" s="10"/>
    </row>
    <row r="4752" spans="33:33">
      <c r="AG4752" s="10"/>
    </row>
    <row r="4753" spans="33:33">
      <c r="AG4753" s="10"/>
    </row>
    <row r="4754" spans="33:33">
      <c r="AG4754" s="10"/>
    </row>
    <row r="4755" spans="33:33">
      <c r="AG4755" s="10"/>
    </row>
    <row r="4756" spans="33:33">
      <c r="AG4756" s="10"/>
    </row>
    <row r="4757" spans="33:33">
      <c r="AG4757" s="10"/>
    </row>
    <row r="4758" spans="33:33">
      <c r="AG4758" s="10"/>
    </row>
    <row r="4759" spans="33:33">
      <c r="AG4759" s="10"/>
    </row>
    <row r="4760" spans="33:33">
      <c r="AG4760" s="10"/>
    </row>
    <row r="4761" spans="33:33">
      <c r="AG4761" s="10"/>
    </row>
    <row r="4762" spans="33:33">
      <c r="AG4762" s="10"/>
    </row>
    <row r="4763" spans="33:33">
      <c r="AG4763" s="10"/>
    </row>
    <row r="4764" spans="33:33">
      <c r="AG4764" s="10"/>
    </row>
    <row r="4765" spans="33:33">
      <c r="AG4765" s="10"/>
    </row>
    <row r="4766" spans="33:33">
      <c r="AG4766" s="10"/>
    </row>
    <row r="4767" spans="33:33">
      <c r="AG4767" s="10"/>
    </row>
    <row r="4768" spans="33:33">
      <c r="AG4768" s="10"/>
    </row>
    <row r="4769" spans="33:33">
      <c r="AG4769" s="10"/>
    </row>
    <row r="4770" spans="33:33">
      <c r="AG4770" s="10"/>
    </row>
    <row r="4771" spans="33:33">
      <c r="AG4771" s="10"/>
    </row>
    <row r="4772" spans="33:33">
      <c r="AG4772" s="10"/>
    </row>
    <row r="4773" spans="33:33">
      <c r="AG4773" s="10"/>
    </row>
    <row r="4774" spans="33:33">
      <c r="AG4774" s="10"/>
    </row>
    <row r="4775" spans="33:33">
      <c r="AG4775" s="10"/>
    </row>
    <row r="4776" spans="33:33">
      <c r="AG4776" s="10"/>
    </row>
    <row r="4777" spans="33:33">
      <c r="AG4777" s="10"/>
    </row>
    <row r="4778" spans="33:33">
      <c r="AG4778" s="10"/>
    </row>
    <row r="4779" spans="33:33">
      <c r="AG4779" s="10"/>
    </row>
    <row r="4780" spans="33:33">
      <c r="AG4780" s="10"/>
    </row>
    <row r="4781" spans="33:33">
      <c r="AG4781" s="10"/>
    </row>
    <row r="4782" spans="33:33">
      <c r="AG4782" s="10"/>
    </row>
    <row r="4783" spans="33:33">
      <c r="AG4783" s="10"/>
    </row>
    <row r="4784" spans="33:33">
      <c r="AG4784" s="10"/>
    </row>
    <row r="4785" spans="33:33">
      <c r="AG4785" s="10"/>
    </row>
    <row r="4786" spans="33:33">
      <c r="AG4786" s="10"/>
    </row>
    <row r="4787" spans="33:33">
      <c r="AG4787" s="10"/>
    </row>
    <row r="4788" spans="33:33">
      <c r="AG4788" s="10"/>
    </row>
    <row r="4789" spans="33:33">
      <c r="AG4789" s="10"/>
    </row>
    <row r="4790" spans="33:33">
      <c r="AG4790" s="10"/>
    </row>
    <row r="4791" spans="33:33">
      <c r="AG4791" s="10"/>
    </row>
    <row r="4792" spans="33:33">
      <c r="AG4792" s="10"/>
    </row>
    <row r="4793" spans="33:33">
      <c r="AG4793" s="10"/>
    </row>
    <row r="4794" spans="33:33">
      <c r="AG4794" s="10"/>
    </row>
    <row r="4795" spans="33:33">
      <c r="AG4795" s="10"/>
    </row>
    <row r="4796" spans="33:33">
      <c r="AG4796" s="10"/>
    </row>
    <row r="4797" spans="33:33">
      <c r="AG4797" s="10"/>
    </row>
    <row r="4798" spans="33:33">
      <c r="AG4798" s="10"/>
    </row>
    <row r="4799" spans="33:33">
      <c r="AG4799" s="10"/>
    </row>
    <row r="4800" spans="33:33">
      <c r="AG4800" s="10"/>
    </row>
    <row r="4801" spans="33:33">
      <c r="AG4801" s="10"/>
    </row>
    <row r="4802" spans="33:33">
      <c r="AG4802" s="10"/>
    </row>
    <row r="4803" spans="33:33">
      <c r="AG4803" s="10"/>
    </row>
    <row r="4804" spans="33:33">
      <c r="AG4804" s="10"/>
    </row>
    <row r="4805" spans="33:33">
      <c r="AG4805" s="10"/>
    </row>
    <row r="4806" spans="33:33">
      <c r="AG4806" s="10"/>
    </row>
    <row r="4807" spans="33:33">
      <c r="AG4807" s="10"/>
    </row>
    <row r="4808" spans="33:33">
      <c r="AG4808" s="10"/>
    </row>
    <row r="4809" spans="33:33">
      <c r="AG4809" s="10"/>
    </row>
    <row r="4810" spans="33:33">
      <c r="AG4810" s="10"/>
    </row>
    <row r="4811" spans="33:33">
      <c r="AG4811" s="10"/>
    </row>
    <row r="4812" spans="33:33">
      <c r="AG4812" s="10"/>
    </row>
    <row r="4813" spans="33:33">
      <c r="AG4813" s="10"/>
    </row>
    <row r="4814" spans="33:33">
      <c r="AG4814" s="10"/>
    </row>
    <row r="4815" spans="33:33">
      <c r="AG4815" s="10"/>
    </row>
    <row r="4816" spans="33:33">
      <c r="AG4816" s="10"/>
    </row>
    <row r="4817" spans="33:33">
      <c r="AG4817" s="10"/>
    </row>
    <row r="4818" spans="33:33">
      <c r="AG4818" s="10"/>
    </row>
    <row r="4819" spans="33:33">
      <c r="AG4819" s="10"/>
    </row>
    <row r="4820" spans="33:33">
      <c r="AG4820" s="10"/>
    </row>
    <row r="4821" spans="33:33">
      <c r="AG4821" s="10"/>
    </row>
    <row r="4822" spans="33:33">
      <c r="AG4822" s="10"/>
    </row>
    <row r="4823" spans="33:33">
      <c r="AG4823" s="10"/>
    </row>
    <row r="4824" spans="33:33">
      <c r="AG4824" s="10"/>
    </row>
    <row r="4825" spans="33:33">
      <c r="AG4825" s="10"/>
    </row>
    <row r="4826" spans="33:33">
      <c r="AG4826" s="10"/>
    </row>
    <row r="4827" spans="33:33">
      <c r="AG4827" s="10"/>
    </row>
    <row r="4828" spans="33:33">
      <c r="AG4828" s="10"/>
    </row>
    <row r="4829" spans="33:33">
      <c r="AG4829" s="10"/>
    </row>
    <row r="4830" spans="33:33">
      <c r="AG4830" s="10"/>
    </row>
    <row r="4831" spans="33:33">
      <c r="AG4831" s="10"/>
    </row>
    <row r="4832" spans="33:33">
      <c r="AG4832" s="10"/>
    </row>
    <row r="4833" spans="33:33">
      <c r="AG4833" s="10"/>
    </row>
    <row r="4834" spans="33:33">
      <c r="AG4834" s="10"/>
    </row>
    <row r="4835" spans="33:33">
      <c r="AG4835" s="10"/>
    </row>
    <row r="4836" spans="33:33">
      <c r="AG4836" s="10"/>
    </row>
    <row r="4837" spans="33:33">
      <c r="AG4837" s="10"/>
    </row>
    <row r="4838" spans="33:33">
      <c r="AG4838" s="10"/>
    </row>
    <row r="4839" spans="33:33">
      <c r="AG4839" s="10"/>
    </row>
    <row r="4840" spans="33:33">
      <c r="AG4840" s="10"/>
    </row>
    <row r="4841" spans="33:33">
      <c r="AG4841" s="10"/>
    </row>
    <row r="4842" spans="33:33">
      <c r="AG4842" s="10"/>
    </row>
    <row r="4843" spans="33:33">
      <c r="AG4843" s="10"/>
    </row>
    <row r="4844" spans="33:33">
      <c r="AG4844" s="10"/>
    </row>
    <row r="4845" spans="33:33">
      <c r="AG4845" s="10"/>
    </row>
    <row r="4846" spans="33:33">
      <c r="AG4846" s="10"/>
    </row>
    <row r="4847" spans="33:33">
      <c r="AG4847" s="10"/>
    </row>
    <row r="4848" spans="33:33">
      <c r="AG4848" s="10"/>
    </row>
    <row r="4849" spans="33:33">
      <c r="AG4849" s="10"/>
    </row>
    <row r="4850" spans="33:33">
      <c r="AG4850" s="10"/>
    </row>
    <row r="4851" spans="33:33">
      <c r="AG4851" s="10"/>
    </row>
    <row r="4852" spans="33:33">
      <c r="AG4852" s="10"/>
    </row>
    <row r="4853" spans="33:33">
      <c r="AG4853" s="10"/>
    </row>
    <row r="4854" spans="33:33">
      <c r="AG4854" s="10"/>
    </row>
    <row r="4855" spans="33:33">
      <c r="AG4855" s="10"/>
    </row>
    <row r="4856" spans="33:33">
      <c r="AG4856" s="10"/>
    </row>
    <row r="4857" spans="33:33">
      <c r="AG4857" s="10"/>
    </row>
    <row r="4858" spans="33:33">
      <c r="AG4858" s="10"/>
    </row>
    <row r="4859" spans="33:33">
      <c r="AG4859" s="10"/>
    </row>
    <row r="4860" spans="33:33">
      <c r="AG4860" s="10"/>
    </row>
    <row r="4861" spans="33:33">
      <c r="AG4861" s="10"/>
    </row>
    <row r="4862" spans="33:33">
      <c r="AG4862" s="10"/>
    </row>
    <row r="4863" spans="33:33">
      <c r="AG4863" s="10"/>
    </row>
    <row r="4864" spans="33:33">
      <c r="AG4864" s="10"/>
    </row>
    <row r="4865" spans="33:33">
      <c r="AG4865" s="10"/>
    </row>
    <row r="4866" spans="33:33">
      <c r="AG4866" s="10"/>
    </row>
    <row r="4867" spans="33:33">
      <c r="AG4867" s="10"/>
    </row>
    <row r="4868" spans="33:33">
      <c r="AG4868" s="10"/>
    </row>
    <row r="4869" spans="33:33">
      <c r="AG4869" s="10"/>
    </row>
    <row r="4870" spans="33:33">
      <c r="AG4870" s="10"/>
    </row>
    <row r="4871" spans="33:33">
      <c r="AG4871" s="10"/>
    </row>
    <row r="4872" spans="33:33">
      <c r="AG4872" s="10"/>
    </row>
    <row r="4873" spans="33:33">
      <c r="AG4873" s="10"/>
    </row>
    <row r="4874" spans="33:33">
      <c r="AG4874" s="10"/>
    </row>
    <row r="4875" spans="33:33">
      <c r="AG4875" s="10"/>
    </row>
    <row r="4876" spans="33:33">
      <c r="AG4876" s="10"/>
    </row>
    <row r="4877" spans="33:33">
      <c r="AG4877" s="10"/>
    </row>
    <row r="4878" spans="33:33">
      <c r="AG4878" s="10"/>
    </row>
    <row r="4879" spans="33:33">
      <c r="AG4879" s="10"/>
    </row>
    <row r="4880" spans="33:33">
      <c r="AG4880" s="10"/>
    </row>
    <row r="4881" spans="33:33">
      <c r="AG4881" s="10"/>
    </row>
    <row r="4882" spans="33:33">
      <c r="AG4882" s="10"/>
    </row>
    <row r="4883" spans="33:33">
      <c r="AG4883" s="10"/>
    </row>
    <row r="4884" spans="33:33">
      <c r="AG4884" s="10"/>
    </row>
    <row r="4885" spans="33:33">
      <c r="AG4885" s="10"/>
    </row>
    <row r="4886" spans="33:33">
      <c r="AG4886" s="10"/>
    </row>
    <row r="4887" spans="33:33">
      <c r="AG4887" s="10"/>
    </row>
    <row r="4888" spans="33:33">
      <c r="AG4888" s="10"/>
    </row>
    <row r="4889" spans="33:33">
      <c r="AG4889" s="10"/>
    </row>
    <row r="4890" spans="33:33">
      <c r="AG4890" s="10"/>
    </row>
    <row r="4891" spans="33:33">
      <c r="AG4891" s="10"/>
    </row>
    <row r="4892" spans="33:33">
      <c r="AG4892" s="10"/>
    </row>
    <row r="4893" spans="33:33">
      <c r="AG4893" s="10"/>
    </row>
    <row r="4894" spans="33:33">
      <c r="AG4894" s="10"/>
    </row>
    <row r="4895" spans="33:33">
      <c r="AG4895" s="10"/>
    </row>
    <row r="4896" spans="33:33">
      <c r="AG4896" s="10"/>
    </row>
    <row r="4897" spans="33:33">
      <c r="AG4897" s="10"/>
    </row>
    <row r="4898" spans="33:33">
      <c r="AG4898" s="10"/>
    </row>
    <row r="4899" spans="33:33">
      <c r="AG4899" s="10"/>
    </row>
    <row r="4900" spans="33:33">
      <c r="AG4900" s="10"/>
    </row>
    <row r="4901" spans="33:33">
      <c r="AG4901" s="10"/>
    </row>
    <row r="4902" spans="33:33">
      <c r="AG4902" s="10"/>
    </row>
    <row r="4903" spans="33:33">
      <c r="AG4903" s="10"/>
    </row>
    <row r="4904" spans="33:33">
      <c r="AG4904" s="10"/>
    </row>
    <row r="4905" spans="33:33">
      <c r="AG4905" s="10"/>
    </row>
    <row r="4906" spans="33:33">
      <c r="AG4906" s="10"/>
    </row>
    <row r="4907" spans="33:33">
      <c r="AG4907" s="10"/>
    </row>
    <row r="4908" spans="33:33">
      <c r="AG4908" s="10"/>
    </row>
    <row r="4909" spans="33:33">
      <c r="AG4909" s="10"/>
    </row>
    <row r="4910" spans="33:33">
      <c r="AG4910" s="10"/>
    </row>
    <row r="4911" spans="33:33">
      <c r="AG4911" s="10"/>
    </row>
    <row r="4912" spans="33:33">
      <c r="AG4912" s="10"/>
    </row>
    <row r="4913" spans="33:33">
      <c r="AG4913" s="10"/>
    </row>
    <row r="4914" spans="33:33">
      <c r="AG4914" s="10"/>
    </row>
    <row r="4915" spans="33:33">
      <c r="AG4915" s="10"/>
    </row>
    <row r="4916" spans="33:33">
      <c r="AG4916" s="10"/>
    </row>
    <row r="4917" spans="33:33">
      <c r="AG4917" s="10"/>
    </row>
    <row r="4918" spans="33:33">
      <c r="AG4918" s="10"/>
    </row>
    <row r="4919" spans="33:33">
      <c r="AG4919" s="10"/>
    </row>
    <row r="4920" spans="33:33">
      <c r="AG4920" s="10"/>
    </row>
    <row r="4921" spans="33:33">
      <c r="AG4921" s="10"/>
    </row>
    <row r="4922" spans="33:33">
      <c r="AG4922" s="10"/>
    </row>
    <row r="4923" spans="33:33">
      <c r="AG4923" s="10"/>
    </row>
    <row r="4924" spans="33:33">
      <c r="AG4924" s="10"/>
    </row>
    <row r="4925" spans="33:33">
      <c r="AG4925" s="10"/>
    </row>
    <row r="4926" spans="33:33">
      <c r="AG4926" s="10"/>
    </row>
    <row r="4927" spans="33:33">
      <c r="AG4927" s="10"/>
    </row>
    <row r="4928" spans="33:33">
      <c r="AG4928" s="10"/>
    </row>
    <row r="4929" spans="33:33">
      <c r="AG4929" s="10"/>
    </row>
    <row r="4930" spans="33:33">
      <c r="AG4930" s="10"/>
    </row>
    <row r="4931" spans="33:33">
      <c r="AG4931" s="10"/>
    </row>
    <row r="4932" spans="33:33">
      <c r="AG4932" s="10"/>
    </row>
    <row r="4933" spans="33:33">
      <c r="AG4933" s="10"/>
    </row>
    <row r="4934" spans="33:33">
      <c r="AG4934" s="10"/>
    </row>
    <row r="4935" spans="33:33">
      <c r="AG4935" s="10"/>
    </row>
    <row r="4936" spans="33:33">
      <c r="AG4936" s="10"/>
    </row>
    <row r="4937" spans="33:33">
      <c r="AG4937" s="10"/>
    </row>
    <row r="4938" spans="33:33">
      <c r="AG4938" s="10"/>
    </row>
    <row r="4939" spans="33:33">
      <c r="AG4939" s="10"/>
    </row>
    <row r="4940" spans="33:33">
      <c r="AG4940" s="10"/>
    </row>
    <row r="4941" spans="33:33">
      <c r="AG4941" s="10"/>
    </row>
    <row r="4942" spans="33:33">
      <c r="AG4942" s="10"/>
    </row>
    <row r="4943" spans="33:33">
      <c r="AG4943" s="10"/>
    </row>
    <row r="4944" spans="33:33">
      <c r="AG4944" s="10"/>
    </row>
    <row r="4945" spans="33:33">
      <c r="AG4945" s="10"/>
    </row>
    <row r="4946" spans="33:33">
      <c r="AG4946" s="10"/>
    </row>
    <row r="4947" spans="33:33">
      <c r="AG4947" s="10"/>
    </row>
    <row r="4948" spans="33:33">
      <c r="AG4948" s="10"/>
    </row>
    <row r="4949" spans="33:33">
      <c r="AG4949" s="10"/>
    </row>
    <row r="4950" spans="33:33">
      <c r="AG4950" s="10"/>
    </row>
    <row r="4951" spans="33:33">
      <c r="AG4951" s="10"/>
    </row>
    <row r="4952" spans="33:33">
      <c r="AG4952" s="10"/>
    </row>
    <row r="4953" spans="33:33">
      <c r="AG4953" s="10"/>
    </row>
    <row r="4954" spans="33:33">
      <c r="AG4954" s="10"/>
    </row>
    <row r="4955" spans="33:33">
      <c r="AG4955" s="10"/>
    </row>
    <row r="4956" spans="33:33">
      <c r="AG4956" s="10"/>
    </row>
    <row r="4957" spans="33:33">
      <c r="AG4957" s="10"/>
    </row>
    <row r="4958" spans="33:33">
      <c r="AG4958" s="10"/>
    </row>
    <row r="4959" spans="33:33">
      <c r="AG4959" s="10"/>
    </row>
    <row r="4960" spans="33:33">
      <c r="AG4960" s="10"/>
    </row>
    <row r="4961" spans="33:33">
      <c r="AG4961" s="10"/>
    </row>
    <row r="4962" spans="33:33">
      <c r="AG4962" s="10"/>
    </row>
    <row r="4963" spans="33:33">
      <c r="AG4963" s="10"/>
    </row>
    <row r="4964" spans="33:33">
      <c r="AG4964" s="10"/>
    </row>
    <row r="4965" spans="33:33">
      <c r="AG4965" s="10"/>
    </row>
    <row r="4966" spans="33:33">
      <c r="AG4966" s="10"/>
    </row>
    <row r="4967" spans="33:33">
      <c r="AG4967" s="10"/>
    </row>
    <row r="4968" spans="33:33">
      <c r="AG4968" s="10"/>
    </row>
    <row r="4969" spans="33:33">
      <c r="AG4969" s="10"/>
    </row>
    <row r="4970" spans="33:33">
      <c r="AG4970" s="10"/>
    </row>
    <row r="4971" spans="33:33">
      <c r="AG4971" s="10"/>
    </row>
    <row r="4972" spans="33:33">
      <c r="AG4972" s="10"/>
    </row>
    <row r="4973" spans="33:33">
      <c r="AG4973" s="10"/>
    </row>
    <row r="4974" spans="33:33">
      <c r="AG4974" s="10"/>
    </row>
    <row r="4975" spans="33:33">
      <c r="AG4975" s="10"/>
    </row>
    <row r="4976" spans="33:33">
      <c r="AG4976" s="10"/>
    </row>
    <row r="4977" spans="33:33">
      <c r="AG4977" s="10"/>
    </row>
    <row r="4978" spans="33:33">
      <c r="AG4978" s="10"/>
    </row>
    <row r="4979" spans="33:33">
      <c r="AG4979" s="10"/>
    </row>
    <row r="4980" spans="33:33">
      <c r="AG4980" s="10"/>
    </row>
    <row r="4981" spans="33:33">
      <c r="AG4981" s="10"/>
    </row>
    <row r="4982" spans="33:33">
      <c r="AG4982" s="10"/>
    </row>
    <row r="4983" spans="33:33">
      <c r="AG4983" s="10"/>
    </row>
    <row r="4984" spans="33:33">
      <c r="AG4984" s="10"/>
    </row>
    <row r="4985" spans="33:33">
      <c r="AG4985" s="10"/>
    </row>
    <row r="4986" spans="33:33">
      <c r="AG4986" s="10"/>
    </row>
    <row r="4987" spans="33:33">
      <c r="AG4987" s="10"/>
    </row>
    <row r="4988" spans="33:33">
      <c r="AG4988" s="10"/>
    </row>
    <row r="4989" spans="33:33">
      <c r="AG4989" s="10"/>
    </row>
    <row r="4990" spans="33:33">
      <c r="AG4990" s="10"/>
    </row>
    <row r="4991" spans="33:33">
      <c r="AG4991" s="10"/>
    </row>
    <row r="4992" spans="33:33">
      <c r="AG4992" s="10"/>
    </row>
    <row r="4993" spans="33:33">
      <c r="AG4993" s="10"/>
    </row>
    <row r="4994" spans="33:33">
      <c r="AG4994" s="10"/>
    </row>
    <row r="4995" spans="33:33">
      <c r="AG4995" s="10"/>
    </row>
    <row r="4996" spans="33:33">
      <c r="AG4996" s="10"/>
    </row>
    <row r="4997" spans="33:33">
      <c r="AG4997" s="10"/>
    </row>
    <row r="4998" spans="33:33">
      <c r="AG4998" s="10"/>
    </row>
    <row r="4999" spans="33:33">
      <c r="AG4999" s="10"/>
    </row>
    <row r="5000" spans="33:33">
      <c r="AG5000" s="10"/>
    </row>
    <row r="5001" spans="33:33">
      <c r="AG5001" s="10"/>
    </row>
    <row r="5002" spans="33:33">
      <c r="AG5002" s="10"/>
    </row>
    <row r="5003" spans="33:33">
      <c r="AG5003" s="10"/>
    </row>
    <row r="5004" spans="33:33">
      <c r="AG5004" s="10"/>
    </row>
    <row r="5005" spans="33:33">
      <c r="AG5005" s="10"/>
    </row>
    <row r="5006" spans="33:33">
      <c r="AG5006" s="10"/>
    </row>
    <row r="5007" spans="33:33">
      <c r="AG5007" s="10"/>
    </row>
    <row r="5008" spans="33:33">
      <c r="AG5008" s="10"/>
    </row>
    <row r="5009" spans="33:33">
      <c r="AG5009" s="10"/>
    </row>
    <row r="5010" spans="33:33">
      <c r="AG5010" s="10"/>
    </row>
    <row r="5011" spans="33:33">
      <c r="AG5011" s="10"/>
    </row>
    <row r="5012" spans="33:33">
      <c r="AG5012" s="10"/>
    </row>
    <row r="5013" spans="33:33">
      <c r="AG5013" s="10"/>
    </row>
    <row r="5014" spans="33:33">
      <c r="AG5014" s="10"/>
    </row>
    <row r="5015" spans="33:33">
      <c r="AG5015" s="10"/>
    </row>
    <row r="5016" spans="33:33">
      <c r="AG5016" s="10"/>
    </row>
    <row r="5017" spans="33:33">
      <c r="AG5017" s="10"/>
    </row>
    <row r="5018" spans="33:33">
      <c r="AG5018" s="10"/>
    </row>
    <row r="5019" spans="33:33">
      <c r="AG5019" s="10"/>
    </row>
    <row r="5020" spans="33:33">
      <c r="AG5020" s="10"/>
    </row>
    <row r="5021" spans="33:33">
      <c r="AG5021" s="10"/>
    </row>
    <row r="5022" spans="33:33">
      <c r="AG5022" s="10"/>
    </row>
    <row r="5023" spans="33:33">
      <c r="AG5023" s="10"/>
    </row>
    <row r="5024" spans="33:33">
      <c r="AG5024" s="10"/>
    </row>
    <row r="5025" spans="33:33">
      <c r="AG5025" s="10"/>
    </row>
    <row r="5026" spans="33:33">
      <c r="AG5026" s="10"/>
    </row>
    <row r="5027" spans="33:33">
      <c r="AG5027" s="10"/>
    </row>
    <row r="5028" spans="33:33">
      <c r="AG5028" s="10"/>
    </row>
    <row r="5029" spans="33:33">
      <c r="AG5029" s="10"/>
    </row>
    <row r="5030" spans="33:33">
      <c r="AG5030" s="10"/>
    </row>
    <row r="5031" spans="33:33">
      <c r="AG5031" s="10"/>
    </row>
    <row r="5032" spans="33:33">
      <c r="AG5032" s="10"/>
    </row>
    <row r="5033" spans="33:33">
      <c r="AG5033" s="10"/>
    </row>
    <row r="5034" spans="33:33">
      <c r="AG5034" s="10"/>
    </row>
    <row r="5035" spans="33:33">
      <c r="AG5035" s="10"/>
    </row>
    <row r="5036" spans="33:33">
      <c r="AG5036" s="10"/>
    </row>
    <row r="5037" spans="33:33">
      <c r="AG5037" s="10"/>
    </row>
    <row r="5038" spans="33:33">
      <c r="AG5038" s="10"/>
    </row>
    <row r="5039" spans="33:33">
      <c r="AG5039" s="10"/>
    </row>
    <row r="5040" spans="33:33">
      <c r="AG5040" s="10"/>
    </row>
    <row r="5041" spans="33:33">
      <c r="AG5041" s="10"/>
    </row>
    <row r="5042" spans="33:33">
      <c r="AG5042" s="10"/>
    </row>
    <row r="5043" spans="33:33">
      <c r="AG5043" s="10"/>
    </row>
    <row r="5044" spans="33:33">
      <c r="AG5044" s="10"/>
    </row>
    <row r="5045" spans="33:33">
      <c r="AG5045" s="10"/>
    </row>
    <row r="5046" spans="33:33">
      <c r="AG5046" s="10"/>
    </row>
    <row r="5047" spans="33:33">
      <c r="AG5047" s="10"/>
    </row>
    <row r="5048" spans="33:33">
      <c r="AG5048" s="10"/>
    </row>
    <row r="5049" spans="33:33">
      <c r="AG5049" s="10"/>
    </row>
    <row r="5050" spans="33:33">
      <c r="AG5050" s="10"/>
    </row>
    <row r="5051" spans="33:33">
      <c r="AG5051" s="10"/>
    </row>
    <row r="5052" spans="33:33">
      <c r="AG5052" s="10"/>
    </row>
    <row r="5053" spans="33:33">
      <c r="AG5053" s="10"/>
    </row>
    <row r="5054" spans="33:33">
      <c r="AG5054" s="10"/>
    </row>
    <row r="5055" spans="33:33">
      <c r="AG5055" s="10"/>
    </row>
    <row r="5056" spans="33:33">
      <c r="AG5056" s="10"/>
    </row>
    <row r="5057" spans="33:33">
      <c r="AG5057" s="10"/>
    </row>
    <row r="5058" spans="33:33">
      <c r="AG5058" s="10"/>
    </row>
    <row r="5059" spans="33:33">
      <c r="AG5059" s="10"/>
    </row>
    <row r="5060" spans="33:33">
      <c r="AG5060" s="10"/>
    </row>
    <row r="5061" spans="33:33">
      <c r="AG5061" s="10"/>
    </row>
    <row r="5062" spans="33:33">
      <c r="AG5062" s="10"/>
    </row>
    <row r="5063" spans="33:33">
      <c r="AG5063" s="10"/>
    </row>
    <row r="5064" spans="33:33">
      <c r="AG5064" s="10"/>
    </row>
    <row r="5065" spans="33:33">
      <c r="AG5065" s="10"/>
    </row>
    <row r="5066" spans="33:33">
      <c r="AG5066" s="10"/>
    </row>
    <row r="5067" spans="33:33">
      <c r="AG5067" s="10"/>
    </row>
    <row r="5068" spans="33:33">
      <c r="AG5068" s="10"/>
    </row>
    <row r="5069" spans="33:33">
      <c r="AG5069" s="10"/>
    </row>
    <row r="5070" spans="33:33">
      <c r="AG5070" s="10"/>
    </row>
    <row r="5071" spans="33:33">
      <c r="AG5071" s="10"/>
    </row>
    <row r="5072" spans="33:33">
      <c r="AG5072" s="10"/>
    </row>
    <row r="5073" spans="33:33">
      <c r="AG5073" s="10"/>
    </row>
    <row r="5074" spans="33:33">
      <c r="AG5074" s="10"/>
    </row>
    <row r="5075" spans="33:33">
      <c r="AG5075" s="10"/>
    </row>
    <row r="5076" spans="33:33">
      <c r="AG5076" s="10"/>
    </row>
    <row r="5077" spans="33:33">
      <c r="AG5077" s="10"/>
    </row>
    <row r="5078" spans="33:33">
      <c r="AG5078" s="10"/>
    </row>
    <row r="5079" spans="33:33">
      <c r="AG5079" s="10"/>
    </row>
    <row r="5080" spans="33:33">
      <c r="AG5080" s="10"/>
    </row>
    <row r="5081" spans="33:33">
      <c r="AG5081" s="10"/>
    </row>
    <row r="5082" spans="33:33">
      <c r="AG5082" s="10"/>
    </row>
    <row r="5083" spans="33:33">
      <c r="AG5083" s="10"/>
    </row>
    <row r="5084" spans="33:33">
      <c r="AG5084" s="10"/>
    </row>
    <row r="5085" spans="33:33">
      <c r="AG5085" s="10"/>
    </row>
    <row r="5086" spans="33:33">
      <c r="AG5086" s="10"/>
    </row>
    <row r="5087" spans="33:33">
      <c r="AG5087" s="10"/>
    </row>
    <row r="5088" spans="33:33">
      <c r="AG5088" s="10"/>
    </row>
    <row r="5089" spans="33:33">
      <c r="AG5089" s="10"/>
    </row>
    <row r="5090" spans="33:33">
      <c r="AG5090" s="10"/>
    </row>
    <row r="5091" spans="33:33">
      <c r="AG5091" s="10"/>
    </row>
    <row r="5092" spans="33:33">
      <c r="AG5092" s="10"/>
    </row>
    <row r="5093" spans="33:33">
      <c r="AG5093" s="10"/>
    </row>
    <row r="5094" spans="33:33">
      <c r="AG5094" s="10"/>
    </row>
    <row r="5095" spans="33:33">
      <c r="AG5095" s="10"/>
    </row>
    <row r="5096" spans="33:33">
      <c r="AG5096" s="10"/>
    </row>
    <row r="5097" spans="33:33">
      <c r="AG5097" s="10"/>
    </row>
    <row r="5098" spans="33:33">
      <c r="AG5098" s="10"/>
    </row>
    <row r="5099" spans="33:33">
      <c r="AG5099" s="10"/>
    </row>
    <row r="5100" spans="33:33">
      <c r="AG5100" s="10"/>
    </row>
    <row r="5101" spans="33:33">
      <c r="AG5101" s="10"/>
    </row>
    <row r="5102" spans="33:33">
      <c r="AG5102" s="10"/>
    </row>
    <row r="5103" spans="33:33">
      <c r="AG5103" s="10"/>
    </row>
    <row r="5104" spans="33:33">
      <c r="AG5104" s="10"/>
    </row>
    <row r="5105" spans="33:33">
      <c r="AG5105" s="10"/>
    </row>
    <row r="5106" spans="33:33">
      <c r="AG5106" s="10"/>
    </row>
    <row r="5107" spans="33:33">
      <c r="AG5107" s="10"/>
    </row>
    <row r="5108" spans="33:33">
      <c r="AG5108" s="10"/>
    </row>
    <row r="5109" spans="33:33">
      <c r="AG5109" s="10"/>
    </row>
    <row r="5110" spans="33:33">
      <c r="AG5110" s="10"/>
    </row>
    <row r="5111" spans="33:33">
      <c r="AG5111" s="10"/>
    </row>
    <row r="5112" spans="33:33">
      <c r="AG5112" s="10"/>
    </row>
    <row r="5113" spans="33:33">
      <c r="AG5113" s="10"/>
    </row>
    <row r="5114" spans="33:33">
      <c r="AG5114" s="10"/>
    </row>
    <row r="5115" spans="33:33">
      <c r="AG5115" s="10"/>
    </row>
    <row r="5116" spans="33:33">
      <c r="AG5116" s="10"/>
    </row>
    <row r="5117" spans="33:33">
      <c r="AG5117" s="10"/>
    </row>
    <row r="5118" spans="33:33">
      <c r="AG5118" s="10"/>
    </row>
    <row r="5119" spans="33:33">
      <c r="AG5119" s="10"/>
    </row>
    <row r="5120" spans="33:33">
      <c r="AG5120" s="10"/>
    </row>
    <row r="5121" spans="33:33">
      <c r="AG5121" s="10"/>
    </row>
    <row r="5122" spans="33:33">
      <c r="AG5122" s="10"/>
    </row>
    <row r="5123" spans="33:33">
      <c r="AG5123" s="10"/>
    </row>
    <row r="5124" spans="33:33">
      <c r="AG5124" s="10"/>
    </row>
    <row r="5125" spans="33:33">
      <c r="AG5125" s="10"/>
    </row>
    <row r="5126" spans="33:33">
      <c r="AG5126" s="10"/>
    </row>
    <row r="5127" spans="33:33">
      <c r="AG5127" s="10"/>
    </row>
    <row r="5128" spans="33:33">
      <c r="AG5128" s="10"/>
    </row>
    <row r="5129" spans="33:33">
      <c r="AG5129" s="10"/>
    </row>
    <row r="5130" spans="33:33">
      <c r="AG5130" s="10"/>
    </row>
    <row r="5131" spans="33:33">
      <c r="AG5131" s="10"/>
    </row>
    <row r="5132" spans="33:33">
      <c r="AG5132" s="10"/>
    </row>
    <row r="5133" spans="33:33">
      <c r="AG5133" s="10"/>
    </row>
    <row r="5134" spans="33:33">
      <c r="AG5134" s="10"/>
    </row>
    <row r="5135" spans="33:33">
      <c r="AG5135" s="10"/>
    </row>
    <row r="5136" spans="33:33">
      <c r="AG5136" s="10"/>
    </row>
    <row r="5137" spans="33:33">
      <c r="AG5137" s="10"/>
    </row>
    <row r="5138" spans="33:33">
      <c r="AG5138" s="10"/>
    </row>
    <row r="5139" spans="33:33">
      <c r="AG5139" s="10"/>
    </row>
    <row r="5140" spans="33:33">
      <c r="AG5140" s="10"/>
    </row>
    <row r="5141" spans="33:33">
      <c r="AG5141" s="10"/>
    </row>
    <row r="5142" spans="33:33">
      <c r="AG5142" s="10"/>
    </row>
    <row r="5143" spans="33:33">
      <c r="AG5143" s="10"/>
    </row>
    <row r="5144" spans="33:33">
      <c r="AG5144" s="10"/>
    </row>
    <row r="5145" spans="33:33">
      <c r="AG5145" s="10"/>
    </row>
    <row r="5146" spans="33:33">
      <c r="AG5146" s="10"/>
    </row>
    <row r="5147" spans="33:33">
      <c r="AG5147" s="10"/>
    </row>
    <row r="5148" spans="33:33">
      <c r="AG5148" s="10"/>
    </row>
    <row r="5149" spans="33:33">
      <c r="AG5149" s="10"/>
    </row>
    <row r="5150" spans="33:33">
      <c r="AG5150" s="10"/>
    </row>
    <row r="5151" spans="33:33">
      <c r="AG5151" s="10"/>
    </row>
    <row r="5152" spans="33:33">
      <c r="AG5152" s="10"/>
    </row>
    <row r="5153" spans="33:33">
      <c r="AG5153" s="10"/>
    </row>
    <row r="5154" spans="33:33">
      <c r="AG5154" s="10"/>
    </row>
    <row r="5155" spans="33:33">
      <c r="AG5155" s="10"/>
    </row>
    <row r="5156" spans="33:33">
      <c r="AG5156" s="10"/>
    </row>
    <row r="5157" spans="33:33">
      <c r="AG5157" s="10"/>
    </row>
    <row r="5158" spans="33:33">
      <c r="AG5158" s="10"/>
    </row>
    <row r="5159" spans="33:33">
      <c r="AG5159" s="10"/>
    </row>
    <row r="5160" spans="33:33">
      <c r="AG5160" s="10"/>
    </row>
    <row r="5161" spans="33:33">
      <c r="AG5161" s="10"/>
    </row>
    <row r="5162" spans="33:33">
      <c r="AG5162" s="10"/>
    </row>
    <row r="5163" spans="33:33">
      <c r="AG5163" s="10"/>
    </row>
    <row r="5164" spans="33:33">
      <c r="AG5164" s="10"/>
    </row>
    <row r="5165" spans="33:33">
      <c r="AG5165" s="10"/>
    </row>
    <row r="5166" spans="33:33">
      <c r="AG5166" s="10"/>
    </row>
    <row r="5167" spans="33:33">
      <c r="AG5167" s="10"/>
    </row>
    <row r="5168" spans="33:33">
      <c r="AG5168" s="10"/>
    </row>
    <row r="5169" spans="33:33">
      <c r="AG5169" s="10"/>
    </row>
    <row r="5170" spans="33:33">
      <c r="AG5170" s="10"/>
    </row>
    <row r="5171" spans="33:33">
      <c r="AG5171" s="10"/>
    </row>
    <row r="5172" spans="33:33">
      <c r="AG5172" s="10"/>
    </row>
    <row r="5173" spans="33:33">
      <c r="AG5173" s="10"/>
    </row>
    <row r="5174" spans="33:33">
      <c r="AG5174" s="10"/>
    </row>
    <row r="5175" spans="33:33">
      <c r="AG5175" s="10"/>
    </row>
    <row r="5176" spans="33:33">
      <c r="AG5176" s="10"/>
    </row>
    <row r="5177" spans="33:33">
      <c r="AG5177" s="10"/>
    </row>
    <row r="5178" spans="33:33">
      <c r="AG5178" s="10"/>
    </row>
    <row r="5179" spans="33:33">
      <c r="AG5179" s="10"/>
    </row>
    <row r="5180" spans="33:33">
      <c r="AG5180" s="10"/>
    </row>
    <row r="5181" spans="33:33">
      <c r="AG5181" s="10"/>
    </row>
    <row r="5182" spans="33:33">
      <c r="AG5182" s="10"/>
    </row>
    <row r="5183" spans="33:33">
      <c r="AG5183" s="10"/>
    </row>
    <row r="5184" spans="33:33">
      <c r="AG5184" s="10"/>
    </row>
    <row r="5185" spans="33:33">
      <c r="AG5185" s="10"/>
    </row>
    <row r="5186" spans="33:33">
      <c r="AG5186" s="10"/>
    </row>
    <row r="5187" spans="33:33">
      <c r="AG5187" s="10"/>
    </row>
    <row r="5188" spans="33:33">
      <c r="AG5188" s="10"/>
    </row>
    <row r="5189" spans="33:33">
      <c r="AG5189" s="10"/>
    </row>
    <row r="5190" spans="33:33">
      <c r="AG5190" s="10"/>
    </row>
    <row r="5191" spans="33:33">
      <c r="AG5191" s="10"/>
    </row>
    <row r="5192" spans="33:33">
      <c r="AG5192" s="10"/>
    </row>
    <row r="5193" spans="33:33">
      <c r="AG5193" s="10"/>
    </row>
    <row r="5194" spans="33:33">
      <c r="AG5194" s="10"/>
    </row>
    <row r="5195" spans="33:33">
      <c r="AG5195" s="10"/>
    </row>
    <row r="5196" spans="33:33">
      <c r="AG5196" s="10"/>
    </row>
    <row r="5197" spans="33:33">
      <c r="AG5197" s="10"/>
    </row>
    <row r="5198" spans="33:33">
      <c r="AG5198" s="10"/>
    </row>
    <row r="5199" spans="33:33">
      <c r="AG5199" s="10"/>
    </row>
    <row r="5200" spans="33:33">
      <c r="AG5200" s="10"/>
    </row>
    <row r="5201" spans="33:33">
      <c r="AG5201" s="10"/>
    </row>
    <row r="5202" spans="33:33">
      <c r="AG5202" s="10"/>
    </row>
    <row r="5203" spans="33:33">
      <c r="AG5203" s="10"/>
    </row>
    <row r="5204" spans="33:33">
      <c r="AG5204" s="10"/>
    </row>
    <row r="5205" spans="33:33">
      <c r="AG5205" s="10"/>
    </row>
    <row r="5206" spans="33:33">
      <c r="AG5206" s="10"/>
    </row>
    <row r="5207" spans="33:33">
      <c r="AG5207" s="10"/>
    </row>
    <row r="5208" spans="33:33">
      <c r="AG5208" s="10"/>
    </row>
    <row r="5209" spans="33:33">
      <c r="AG5209" s="10"/>
    </row>
    <row r="5210" spans="33:33">
      <c r="AG5210" s="10"/>
    </row>
    <row r="5211" spans="33:33">
      <c r="AG5211" s="10"/>
    </row>
    <row r="5212" spans="33:33">
      <c r="AG5212" s="10"/>
    </row>
    <row r="5213" spans="33:33">
      <c r="AG5213" s="10"/>
    </row>
    <row r="5214" spans="33:33">
      <c r="AG5214" s="10"/>
    </row>
    <row r="5215" spans="33:33">
      <c r="AG5215" s="10"/>
    </row>
    <row r="5216" spans="33:33">
      <c r="AG5216" s="10"/>
    </row>
    <row r="5217" spans="33:33">
      <c r="AG5217" s="10"/>
    </row>
    <row r="5218" spans="33:33">
      <c r="AG5218" s="10"/>
    </row>
    <row r="5219" spans="33:33">
      <c r="AG5219" s="10"/>
    </row>
    <row r="5220" spans="33:33">
      <c r="AG5220" s="10"/>
    </row>
    <row r="5221" spans="33:33">
      <c r="AG5221" s="10"/>
    </row>
    <row r="5222" spans="33:33">
      <c r="AG5222" s="10"/>
    </row>
    <row r="5223" spans="33:33">
      <c r="AG5223" s="10"/>
    </row>
    <row r="5224" spans="33:33">
      <c r="AG5224" s="10"/>
    </row>
    <row r="5225" spans="33:33">
      <c r="AG5225" s="10"/>
    </row>
    <row r="5226" spans="33:33">
      <c r="AG5226" s="10"/>
    </row>
    <row r="5227" spans="33:33">
      <c r="AG5227" s="10"/>
    </row>
    <row r="5228" spans="33:33">
      <c r="AG5228" s="10"/>
    </row>
    <row r="5229" spans="33:33">
      <c r="AG5229" s="10"/>
    </row>
    <row r="5230" spans="33:33">
      <c r="AG5230" s="10"/>
    </row>
    <row r="5231" spans="33:33">
      <c r="AG5231" s="10"/>
    </row>
    <row r="5232" spans="33:33">
      <c r="AG5232" s="10"/>
    </row>
    <row r="5233" spans="33:33">
      <c r="AG5233" s="10"/>
    </row>
    <row r="5234" spans="33:33">
      <c r="AG5234" s="10"/>
    </row>
    <row r="5235" spans="33:33">
      <c r="AG5235" s="10"/>
    </row>
    <row r="5236" spans="33:33">
      <c r="AG5236" s="10"/>
    </row>
    <row r="5237" spans="33:33">
      <c r="AG5237" s="10"/>
    </row>
    <row r="5238" spans="33:33">
      <c r="AG5238" s="10"/>
    </row>
    <row r="5239" spans="33:33">
      <c r="AG5239" s="10"/>
    </row>
    <row r="5240" spans="33:33">
      <c r="AG5240" s="10"/>
    </row>
    <row r="5241" spans="33:33">
      <c r="AG5241" s="10"/>
    </row>
    <row r="5242" spans="33:33">
      <c r="AG5242" s="10"/>
    </row>
    <row r="5243" spans="33:33">
      <c r="AG5243" s="10"/>
    </row>
    <row r="5244" spans="33:33">
      <c r="AG5244" s="10"/>
    </row>
    <row r="5245" spans="33:33">
      <c r="AG5245" s="10"/>
    </row>
    <row r="5246" spans="33:33">
      <c r="AG5246" s="10"/>
    </row>
    <row r="5247" spans="33:33">
      <c r="AG5247" s="10"/>
    </row>
    <row r="5248" spans="33:33">
      <c r="AG5248" s="10"/>
    </row>
    <row r="5249" spans="33:33">
      <c r="AG5249" s="10"/>
    </row>
    <row r="5250" spans="33:33">
      <c r="AG5250" s="10"/>
    </row>
    <row r="5251" spans="33:33">
      <c r="AG5251" s="10"/>
    </row>
    <row r="5252" spans="33:33">
      <c r="AG5252" s="10"/>
    </row>
    <row r="5253" spans="33:33">
      <c r="AG5253" s="10"/>
    </row>
    <row r="5254" spans="33:33">
      <c r="AG5254" s="10"/>
    </row>
    <row r="5255" spans="33:33">
      <c r="AG5255" s="10"/>
    </row>
    <row r="5256" spans="33:33">
      <c r="AG5256" s="10"/>
    </row>
    <row r="5257" spans="33:33">
      <c r="AG5257" s="10"/>
    </row>
    <row r="5258" spans="33:33">
      <c r="AG5258" s="10"/>
    </row>
    <row r="5259" spans="33:33">
      <c r="AG5259" s="10"/>
    </row>
    <row r="5260" spans="33:33">
      <c r="AG5260" s="10"/>
    </row>
    <row r="5261" spans="33:33">
      <c r="AG5261" s="10"/>
    </row>
    <row r="5262" spans="33:33">
      <c r="AG5262" s="10"/>
    </row>
    <row r="5263" spans="33:33">
      <c r="AG5263" s="10"/>
    </row>
    <row r="5264" spans="33:33">
      <c r="AG5264" s="10"/>
    </row>
    <row r="5265" spans="33:33">
      <c r="AG5265" s="10"/>
    </row>
    <row r="5266" spans="33:33">
      <c r="AG5266" s="10"/>
    </row>
    <row r="5267" spans="33:33">
      <c r="AG5267" s="10"/>
    </row>
    <row r="5268" spans="33:33">
      <c r="AG5268" s="10"/>
    </row>
    <row r="5269" spans="33:33">
      <c r="AG5269" s="10"/>
    </row>
    <row r="5270" spans="33:33">
      <c r="AG5270" s="10"/>
    </row>
    <row r="5271" spans="33:33">
      <c r="AG5271" s="10"/>
    </row>
    <row r="5272" spans="33:33">
      <c r="AG5272" s="10"/>
    </row>
    <row r="5273" spans="33:33">
      <c r="AG5273" s="10"/>
    </row>
    <row r="5274" spans="33:33">
      <c r="AG5274" s="10"/>
    </row>
    <row r="5275" spans="33:33">
      <c r="AG5275" s="10"/>
    </row>
    <row r="5276" spans="33:33">
      <c r="AG5276" s="10"/>
    </row>
    <row r="5277" spans="33:33">
      <c r="AG5277" s="10"/>
    </row>
    <row r="5278" spans="33:33">
      <c r="AG5278" s="10"/>
    </row>
    <row r="5279" spans="33:33">
      <c r="AG5279" s="10"/>
    </row>
    <row r="5280" spans="33:33">
      <c r="AG5280" s="10"/>
    </row>
    <row r="5281" spans="33:33">
      <c r="AG5281" s="10"/>
    </row>
    <row r="5282" spans="33:33">
      <c r="AG5282" s="10"/>
    </row>
    <row r="5283" spans="33:33">
      <c r="AG5283" s="10"/>
    </row>
    <row r="5284" spans="33:33">
      <c r="AG5284" s="10"/>
    </row>
    <row r="5285" spans="33:33">
      <c r="AG5285" s="10"/>
    </row>
    <row r="5286" spans="33:33">
      <c r="AG5286" s="10"/>
    </row>
    <row r="5287" spans="33:33">
      <c r="AG5287" s="10"/>
    </row>
    <row r="5288" spans="33:33">
      <c r="AG5288" s="10"/>
    </row>
    <row r="5289" spans="33:33">
      <c r="AG5289" s="10"/>
    </row>
    <row r="5290" spans="33:33">
      <c r="AG5290" s="10"/>
    </row>
    <row r="5291" spans="33:33">
      <c r="AG5291" s="10"/>
    </row>
    <row r="5292" spans="33:33">
      <c r="AG5292" s="10"/>
    </row>
    <row r="5293" spans="33:33">
      <c r="AG5293" s="10"/>
    </row>
    <row r="5294" spans="33:33">
      <c r="AG5294" s="10"/>
    </row>
    <row r="5295" spans="33:33">
      <c r="AG5295" s="10"/>
    </row>
    <row r="5296" spans="33:33">
      <c r="AG5296" s="10"/>
    </row>
    <row r="5297" spans="33:33">
      <c r="AG5297" s="10"/>
    </row>
    <row r="5298" spans="33:33">
      <c r="AG5298" s="10"/>
    </row>
    <row r="5299" spans="33:33">
      <c r="AG5299" s="10"/>
    </row>
    <row r="5300" spans="33:33">
      <c r="AG5300" s="10"/>
    </row>
    <row r="5301" spans="33:33">
      <c r="AG5301" s="10"/>
    </row>
    <row r="5302" spans="33:33">
      <c r="AG5302" s="10"/>
    </row>
    <row r="5303" spans="33:33">
      <c r="AG5303" s="10"/>
    </row>
    <row r="5304" spans="33:33">
      <c r="AG5304" s="10"/>
    </row>
    <row r="5305" spans="33:33">
      <c r="AG5305" s="10"/>
    </row>
    <row r="5306" spans="33:33">
      <c r="AG5306" s="10"/>
    </row>
    <row r="5307" spans="33:33">
      <c r="AG5307" s="10"/>
    </row>
    <row r="5308" spans="33:33">
      <c r="AG5308" s="10"/>
    </row>
    <row r="5309" spans="33:33">
      <c r="AG5309" s="10"/>
    </row>
    <row r="5310" spans="33:33">
      <c r="AG5310" s="10"/>
    </row>
    <row r="5311" spans="33:33">
      <c r="AG5311" s="10"/>
    </row>
    <row r="5312" spans="33:33">
      <c r="AG5312" s="10"/>
    </row>
    <row r="5313" spans="33:33">
      <c r="AG5313" s="10"/>
    </row>
    <row r="5314" spans="33:33">
      <c r="AG5314" s="10"/>
    </row>
    <row r="5315" spans="33:33">
      <c r="AG5315" s="10"/>
    </row>
    <row r="5316" spans="33:33">
      <c r="AG5316" s="10"/>
    </row>
    <row r="5317" spans="33:33">
      <c r="AG5317" s="10"/>
    </row>
    <row r="5318" spans="33:33">
      <c r="AG5318" s="10"/>
    </row>
    <row r="5319" spans="33:33">
      <c r="AG5319" s="10"/>
    </row>
    <row r="5320" spans="33:33">
      <c r="AG5320" s="10"/>
    </row>
    <row r="5321" spans="33:33">
      <c r="AG5321" s="10"/>
    </row>
    <row r="5322" spans="33:33">
      <c r="AG5322" s="10"/>
    </row>
    <row r="5323" spans="33:33">
      <c r="AG5323" s="10"/>
    </row>
    <row r="5324" spans="33:33">
      <c r="AG5324" s="10"/>
    </row>
    <row r="5325" spans="33:33">
      <c r="AG5325" s="10"/>
    </row>
    <row r="5326" spans="33:33">
      <c r="AG5326" s="10"/>
    </row>
    <row r="5327" spans="33:33">
      <c r="AG5327" s="10"/>
    </row>
    <row r="5328" spans="33:33">
      <c r="AG5328" s="10"/>
    </row>
    <row r="5329" spans="33:33">
      <c r="AG5329" s="10"/>
    </row>
    <row r="5330" spans="33:33">
      <c r="AG5330" s="10"/>
    </row>
    <row r="5331" spans="33:33">
      <c r="AG5331" s="10"/>
    </row>
    <row r="5332" spans="33:33">
      <c r="AG5332" s="10"/>
    </row>
    <row r="5333" spans="33:33">
      <c r="AG5333" s="10"/>
    </row>
    <row r="5334" spans="33:33">
      <c r="AG5334" s="10"/>
    </row>
    <row r="5335" spans="33:33">
      <c r="AG5335" s="10"/>
    </row>
    <row r="5336" spans="33:33">
      <c r="AG5336" s="10"/>
    </row>
    <row r="5337" spans="33:33">
      <c r="AG5337" s="10"/>
    </row>
    <row r="5338" spans="33:33">
      <c r="AG5338" s="10"/>
    </row>
    <row r="5339" spans="33:33">
      <c r="AG5339" s="10"/>
    </row>
    <row r="5340" spans="33:33">
      <c r="AG5340" s="10"/>
    </row>
    <row r="5341" spans="33:33">
      <c r="AG5341" s="10"/>
    </row>
    <row r="5342" spans="33:33">
      <c r="AG5342" s="10"/>
    </row>
    <row r="5343" spans="33:33">
      <c r="AG5343" s="10"/>
    </row>
    <row r="5344" spans="33:33">
      <c r="AG5344" s="10"/>
    </row>
    <row r="5345" spans="33:33">
      <c r="AG5345" s="10"/>
    </row>
    <row r="5346" spans="33:33">
      <c r="AG5346" s="10"/>
    </row>
    <row r="5347" spans="33:33">
      <c r="AG5347" s="10"/>
    </row>
    <row r="5348" spans="33:33">
      <c r="AG5348" s="10"/>
    </row>
    <row r="5349" spans="33:33">
      <c r="AG5349" s="10"/>
    </row>
    <row r="5350" spans="33:33">
      <c r="AG5350" s="10"/>
    </row>
    <row r="5351" spans="33:33">
      <c r="AG5351" s="10"/>
    </row>
    <row r="5352" spans="33:33">
      <c r="AG5352" s="10"/>
    </row>
    <row r="5353" spans="33:33">
      <c r="AG5353" s="10"/>
    </row>
    <row r="5354" spans="33:33">
      <c r="AG5354" s="10"/>
    </row>
    <row r="5355" spans="33:33">
      <c r="AG5355" s="10"/>
    </row>
    <row r="5356" spans="33:33">
      <c r="AG5356" s="10"/>
    </row>
    <row r="5357" spans="33:33">
      <c r="AG5357" s="10"/>
    </row>
    <row r="5358" spans="33:33">
      <c r="AG5358" s="10"/>
    </row>
    <row r="5359" spans="33:33">
      <c r="AG5359" s="10"/>
    </row>
    <row r="5360" spans="33:33">
      <c r="AG5360" s="10"/>
    </row>
    <row r="5361" spans="33:33">
      <c r="AG5361" s="10"/>
    </row>
    <row r="5362" spans="33:33">
      <c r="AG5362" s="10"/>
    </row>
    <row r="5363" spans="33:33">
      <c r="AG5363" s="10"/>
    </row>
    <row r="5364" spans="33:33">
      <c r="AG5364" s="10"/>
    </row>
    <row r="5365" spans="33:33">
      <c r="AG5365" s="10"/>
    </row>
    <row r="5366" spans="33:33">
      <c r="AG5366" s="10"/>
    </row>
    <row r="5367" spans="33:33">
      <c r="AG5367" s="10"/>
    </row>
    <row r="5368" spans="33:33">
      <c r="AG5368" s="10"/>
    </row>
    <row r="5369" spans="33:33">
      <c r="AG5369" s="10"/>
    </row>
    <row r="5370" spans="33:33">
      <c r="AG5370" s="10"/>
    </row>
    <row r="5371" spans="33:33">
      <c r="AG5371" s="10"/>
    </row>
    <row r="5372" spans="33:33">
      <c r="AG5372" s="10"/>
    </row>
    <row r="5373" spans="33:33">
      <c r="AG5373" s="10"/>
    </row>
    <row r="5374" spans="33:33">
      <c r="AG5374" s="10"/>
    </row>
    <row r="5375" spans="33:33">
      <c r="AG5375" s="10"/>
    </row>
    <row r="5376" spans="33:33">
      <c r="AG5376" s="10"/>
    </row>
    <row r="5377" spans="33:33">
      <c r="AG5377" s="10"/>
    </row>
    <row r="5378" spans="33:33">
      <c r="AG5378" s="10"/>
    </row>
    <row r="5379" spans="33:33">
      <c r="AG5379" s="10"/>
    </row>
    <row r="5380" spans="33:33">
      <c r="AG5380" s="10"/>
    </row>
    <row r="5381" spans="33:33">
      <c r="AG5381" s="10"/>
    </row>
    <row r="5382" spans="33:33">
      <c r="AG5382" s="10"/>
    </row>
    <row r="5383" spans="33:33">
      <c r="AG5383" s="10"/>
    </row>
    <row r="5384" spans="33:33">
      <c r="AG5384" s="10"/>
    </row>
    <row r="5385" spans="33:33">
      <c r="AG5385" s="10"/>
    </row>
    <row r="5386" spans="33:33">
      <c r="AG5386" s="10"/>
    </row>
    <row r="5387" spans="33:33">
      <c r="AG5387" s="10"/>
    </row>
    <row r="5388" spans="33:33">
      <c r="AG5388" s="10"/>
    </row>
    <row r="5389" spans="33:33">
      <c r="AG5389" s="10"/>
    </row>
    <row r="5390" spans="33:33">
      <c r="AG5390" s="10"/>
    </row>
    <row r="5391" spans="33:33">
      <c r="AG5391" s="10"/>
    </row>
    <row r="5392" spans="33:33">
      <c r="AG5392" s="10"/>
    </row>
    <row r="5393" spans="33:33">
      <c r="AG5393" s="10"/>
    </row>
    <row r="5394" spans="33:33">
      <c r="AG5394" s="10"/>
    </row>
    <row r="5395" spans="33:33">
      <c r="AG5395" s="10"/>
    </row>
    <row r="5396" spans="33:33">
      <c r="AG5396" s="10"/>
    </row>
    <row r="5397" spans="33:33">
      <c r="AG5397" s="10"/>
    </row>
    <row r="5398" spans="33:33">
      <c r="AG5398" s="10"/>
    </row>
    <row r="5399" spans="33:33">
      <c r="AG5399" s="10"/>
    </row>
    <row r="5400" spans="33:33">
      <c r="AG5400" s="10"/>
    </row>
    <row r="5401" spans="33:33">
      <c r="AG5401" s="10"/>
    </row>
    <row r="5402" spans="33:33">
      <c r="AG5402" s="10"/>
    </row>
    <row r="5403" spans="33:33">
      <c r="AG5403" s="10"/>
    </row>
    <row r="5404" spans="33:33">
      <c r="AG5404" s="10"/>
    </row>
    <row r="5405" spans="33:33">
      <c r="AG5405" s="10"/>
    </row>
    <row r="5406" spans="33:33">
      <c r="AG5406" s="10"/>
    </row>
    <row r="5407" spans="33:33">
      <c r="AG5407" s="10"/>
    </row>
    <row r="5408" spans="33:33">
      <c r="AG5408" s="10"/>
    </row>
    <row r="5409" spans="33:33">
      <c r="AG5409" s="10"/>
    </row>
    <row r="5410" spans="33:33">
      <c r="AG5410" s="10"/>
    </row>
    <row r="5411" spans="33:33">
      <c r="AG5411" s="10"/>
    </row>
    <row r="5412" spans="33:33">
      <c r="AG5412" s="10"/>
    </row>
    <row r="5413" spans="33:33">
      <c r="AG5413" s="10"/>
    </row>
    <row r="5414" spans="33:33">
      <c r="AG5414" s="10"/>
    </row>
    <row r="5415" spans="33:33">
      <c r="AG5415" s="10"/>
    </row>
    <row r="5416" spans="33:33">
      <c r="AG5416" s="10"/>
    </row>
    <row r="5417" spans="33:33">
      <c r="AG5417" s="10"/>
    </row>
    <row r="5418" spans="33:33">
      <c r="AG5418" s="10"/>
    </row>
    <row r="5419" spans="33:33">
      <c r="AG5419" s="10"/>
    </row>
    <row r="5420" spans="33:33">
      <c r="AG5420" s="10"/>
    </row>
    <row r="5421" spans="33:33">
      <c r="AG5421" s="10"/>
    </row>
    <row r="5422" spans="33:33">
      <c r="AG5422" s="10"/>
    </row>
    <row r="5423" spans="33:33">
      <c r="AG5423" s="10"/>
    </row>
    <row r="5424" spans="33:33">
      <c r="AG5424" s="10"/>
    </row>
    <row r="5425" spans="33:33">
      <c r="AG5425" s="10"/>
    </row>
    <row r="5426" spans="33:33">
      <c r="AG5426" s="10"/>
    </row>
    <row r="5427" spans="33:33">
      <c r="AG5427" s="10"/>
    </row>
    <row r="5428" spans="33:33">
      <c r="AG5428" s="10"/>
    </row>
    <row r="5429" spans="33:33">
      <c r="AG5429" s="10"/>
    </row>
    <row r="5430" spans="33:33">
      <c r="AG5430" s="10"/>
    </row>
    <row r="5431" spans="33:33">
      <c r="AG5431" s="10"/>
    </row>
    <row r="5432" spans="33:33">
      <c r="AG5432" s="10"/>
    </row>
    <row r="5433" spans="33:33">
      <c r="AG5433" s="10"/>
    </row>
    <row r="5434" spans="33:33">
      <c r="AG5434" s="10"/>
    </row>
    <row r="5435" spans="33:33">
      <c r="AG5435" s="10"/>
    </row>
    <row r="5436" spans="33:33">
      <c r="AG5436" s="10"/>
    </row>
    <row r="5437" spans="33:33">
      <c r="AG5437" s="10"/>
    </row>
    <row r="5438" spans="33:33">
      <c r="AG5438" s="10"/>
    </row>
    <row r="5439" spans="33:33">
      <c r="AG5439" s="10"/>
    </row>
    <row r="5440" spans="33:33">
      <c r="AG5440" s="10"/>
    </row>
    <row r="5441" spans="33:33">
      <c r="AG5441" s="10"/>
    </row>
    <row r="5442" spans="33:33">
      <c r="AG5442" s="10"/>
    </row>
    <row r="5443" spans="33:33">
      <c r="AG5443" s="10"/>
    </row>
    <row r="5444" spans="33:33">
      <c r="AG5444" s="10"/>
    </row>
    <row r="5445" spans="33:33">
      <c r="AG5445" s="10"/>
    </row>
    <row r="5446" spans="33:33">
      <c r="AG5446" s="10"/>
    </row>
    <row r="5447" spans="33:33">
      <c r="AG5447" s="10"/>
    </row>
    <row r="5448" spans="33:33">
      <c r="AG5448" s="10"/>
    </row>
    <row r="5449" spans="33:33">
      <c r="AG5449" s="10"/>
    </row>
    <row r="5450" spans="33:33">
      <c r="AG5450" s="10"/>
    </row>
    <row r="5451" spans="33:33">
      <c r="AG5451" s="10"/>
    </row>
    <row r="5452" spans="33:33">
      <c r="AG5452" s="10"/>
    </row>
    <row r="5453" spans="33:33">
      <c r="AG5453" s="10"/>
    </row>
    <row r="5454" spans="33:33">
      <c r="AG5454" s="10"/>
    </row>
    <row r="5455" spans="33:33">
      <c r="AG5455" s="10"/>
    </row>
    <row r="5456" spans="33:33">
      <c r="AG5456" s="10"/>
    </row>
    <row r="5457" spans="33:33">
      <c r="AG5457" s="10"/>
    </row>
    <row r="5458" spans="33:33">
      <c r="AG5458" s="10"/>
    </row>
    <row r="5459" spans="33:33">
      <c r="AG5459" s="10"/>
    </row>
    <row r="5460" spans="33:33">
      <c r="AG5460" s="10"/>
    </row>
    <row r="5461" spans="33:33">
      <c r="AG5461" s="10"/>
    </row>
    <row r="5462" spans="33:33">
      <c r="AG5462" s="10"/>
    </row>
    <row r="5463" spans="33:33">
      <c r="AG5463" s="10"/>
    </row>
    <row r="5464" spans="33:33">
      <c r="AG5464" s="10"/>
    </row>
    <row r="5465" spans="33:33">
      <c r="AG5465" s="10"/>
    </row>
    <row r="5466" spans="33:33">
      <c r="AG5466" s="10"/>
    </row>
    <row r="5467" spans="33:33">
      <c r="AG5467" s="10"/>
    </row>
    <row r="5468" spans="33:33">
      <c r="AG5468" s="10"/>
    </row>
    <row r="5469" spans="33:33">
      <c r="AG5469" s="10"/>
    </row>
    <row r="5470" spans="33:33">
      <c r="AG5470" s="10"/>
    </row>
    <row r="5471" spans="33:33">
      <c r="AG5471" s="10"/>
    </row>
    <row r="5472" spans="33:33">
      <c r="AG5472" s="10"/>
    </row>
    <row r="5473" spans="33:33">
      <c r="AG5473" s="10"/>
    </row>
    <row r="5474" spans="33:33">
      <c r="AG5474" s="10"/>
    </row>
    <row r="5475" spans="33:33">
      <c r="AG5475" s="10"/>
    </row>
    <row r="5476" spans="33:33">
      <c r="AG5476" s="10"/>
    </row>
    <row r="5477" spans="33:33">
      <c r="AG5477" s="10"/>
    </row>
    <row r="5478" spans="33:33">
      <c r="AG5478" s="10"/>
    </row>
    <row r="5479" spans="33:33">
      <c r="AG5479" s="10"/>
    </row>
    <row r="5480" spans="33:33">
      <c r="AG5480" s="10"/>
    </row>
    <row r="5481" spans="33:33">
      <c r="AG5481" s="10"/>
    </row>
    <row r="5482" spans="33:33">
      <c r="AG5482" s="10"/>
    </row>
    <row r="5483" spans="33:33">
      <c r="AG5483" s="10"/>
    </row>
    <row r="5484" spans="33:33">
      <c r="AG5484" s="10"/>
    </row>
    <row r="5485" spans="33:33">
      <c r="AG5485" s="10"/>
    </row>
    <row r="5486" spans="33:33">
      <c r="AG5486" s="10"/>
    </row>
    <row r="5487" spans="33:33">
      <c r="AG5487" s="10"/>
    </row>
    <row r="5488" spans="33:33">
      <c r="AG5488" s="10"/>
    </row>
    <row r="5489" spans="33:33">
      <c r="AG5489" s="10"/>
    </row>
    <row r="5490" spans="33:33">
      <c r="AG5490" s="10"/>
    </row>
    <row r="5491" spans="33:33">
      <c r="AG5491" s="10"/>
    </row>
    <row r="5492" spans="33:33">
      <c r="AG5492" s="10"/>
    </row>
    <row r="5493" spans="33:33">
      <c r="AG5493" s="10"/>
    </row>
    <row r="5494" spans="33:33">
      <c r="AG5494" s="10"/>
    </row>
    <row r="5495" spans="33:33">
      <c r="AG5495" s="10"/>
    </row>
    <row r="5496" spans="33:33">
      <c r="AG5496" s="10"/>
    </row>
    <row r="5497" spans="33:33">
      <c r="AG5497" s="10"/>
    </row>
    <row r="5498" spans="33:33">
      <c r="AG5498" s="10"/>
    </row>
    <row r="5499" spans="33:33">
      <c r="AG5499" s="10"/>
    </row>
    <row r="5500" spans="33:33">
      <c r="AG5500" s="10"/>
    </row>
    <row r="5501" spans="33:33">
      <c r="AG5501" s="10"/>
    </row>
    <row r="5502" spans="33:33">
      <c r="AG5502" s="10"/>
    </row>
    <row r="5503" spans="33:33">
      <c r="AG5503" s="10"/>
    </row>
    <row r="5504" spans="33:33">
      <c r="AG5504" s="10"/>
    </row>
    <row r="5505" spans="33:33">
      <c r="AG5505" s="10"/>
    </row>
    <row r="5506" spans="33:33">
      <c r="AG5506" s="10"/>
    </row>
    <row r="5507" spans="33:33">
      <c r="AG5507" s="10"/>
    </row>
    <row r="5508" spans="33:33">
      <c r="AG5508" s="10"/>
    </row>
    <row r="5509" spans="33:33">
      <c r="AG5509" s="10"/>
    </row>
    <row r="5510" spans="33:33">
      <c r="AG5510" s="10"/>
    </row>
    <row r="5511" spans="33:33">
      <c r="AG5511" s="10"/>
    </row>
    <row r="5512" spans="33:33">
      <c r="AG5512" s="10"/>
    </row>
    <row r="5513" spans="33:33">
      <c r="AG5513" s="10"/>
    </row>
    <row r="5514" spans="33:33">
      <c r="AG5514" s="10"/>
    </row>
    <row r="5515" spans="33:33">
      <c r="AG5515" s="10"/>
    </row>
    <row r="5516" spans="33:33">
      <c r="AG5516" s="10"/>
    </row>
    <row r="5517" spans="33:33">
      <c r="AG5517" s="10"/>
    </row>
    <row r="5518" spans="33:33">
      <c r="AG5518" s="10"/>
    </row>
    <row r="5519" spans="33:33">
      <c r="AG5519" s="10"/>
    </row>
    <row r="5520" spans="33:33">
      <c r="AG5520" s="10"/>
    </row>
    <row r="5521" spans="33:33">
      <c r="AG5521" s="10"/>
    </row>
    <row r="5522" spans="33:33">
      <c r="AG5522" s="10"/>
    </row>
    <row r="5523" spans="33:33">
      <c r="AG5523" s="10"/>
    </row>
    <row r="5524" spans="33:33">
      <c r="AG5524" s="10"/>
    </row>
    <row r="5525" spans="33:33">
      <c r="AG5525" s="10"/>
    </row>
    <row r="5526" spans="33:33">
      <c r="AG5526" s="10"/>
    </row>
    <row r="5527" spans="33:33">
      <c r="AG5527" s="10"/>
    </row>
    <row r="5528" spans="33:33">
      <c r="AG5528" s="10"/>
    </row>
    <row r="5529" spans="33:33">
      <c r="AG5529" s="10"/>
    </row>
    <row r="5530" spans="33:33">
      <c r="AG5530" s="10"/>
    </row>
    <row r="5531" spans="33:33">
      <c r="AG5531" s="10"/>
    </row>
    <row r="5532" spans="33:33">
      <c r="AG5532" s="10"/>
    </row>
    <row r="5533" spans="33:33">
      <c r="AG5533" s="10"/>
    </row>
    <row r="5534" spans="33:33">
      <c r="AG5534" s="10"/>
    </row>
    <row r="5535" spans="33:33">
      <c r="AG5535" s="10"/>
    </row>
    <row r="5536" spans="33:33">
      <c r="AG5536" s="10"/>
    </row>
    <row r="5537" spans="33:33">
      <c r="AG5537" s="10"/>
    </row>
    <row r="5538" spans="33:33">
      <c r="AG5538" s="10"/>
    </row>
    <row r="5539" spans="33:33">
      <c r="AG5539" s="10"/>
    </row>
    <row r="5540" spans="33:33">
      <c r="AG5540" s="10"/>
    </row>
    <row r="5541" spans="33:33">
      <c r="AG5541" s="10"/>
    </row>
    <row r="5542" spans="33:33">
      <c r="AG5542" s="10"/>
    </row>
    <row r="5543" spans="33:33">
      <c r="AG5543" s="10"/>
    </row>
    <row r="5544" spans="33:33">
      <c r="AG5544" s="10"/>
    </row>
    <row r="5545" spans="33:33">
      <c r="AG5545" s="10"/>
    </row>
    <row r="5546" spans="33:33">
      <c r="AG5546" s="10"/>
    </row>
    <row r="5547" spans="33:33">
      <c r="AG5547" s="10"/>
    </row>
    <row r="5548" spans="33:33">
      <c r="AG5548" s="10"/>
    </row>
    <row r="5549" spans="33:33">
      <c r="AG5549" s="10"/>
    </row>
    <row r="5550" spans="33:33">
      <c r="AG5550" s="10"/>
    </row>
    <row r="5551" spans="33:33">
      <c r="AG5551" s="10"/>
    </row>
    <row r="5552" spans="33:33">
      <c r="AG5552" s="10"/>
    </row>
    <row r="5553" spans="33:33">
      <c r="AG5553" s="10"/>
    </row>
    <row r="5554" spans="33:33">
      <c r="AG5554" s="10"/>
    </row>
    <row r="5555" spans="33:33">
      <c r="AG5555" s="10"/>
    </row>
    <row r="5556" spans="33:33">
      <c r="AG5556" s="10"/>
    </row>
    <row r="5557" spans="33:33">
      <c r="AG5557" s="10"/>
    </row>
    <row r="5558" spans="33:33">
      <c r="AG5558" s="10"/>
    </row>
    <row r="5559" spans="33:33">
      <c r="AG5559" s="10"/>
    </row>
    <row r="5560" spans="33:33">
      <c r="AG5560" s="10"/>
    </row>
    <row r="5561" spans="33:33">
      <c r="AG5561" s="10"/>
    </row>
    <row r="5562" spans="33:33">
      <c r="AG5562" s="10"/>
    </row>
    <row r="5563" spans="33:33">
      <c r="AG5563" s="10"/>
    </row>
    <row r="5564" spans="33:33">
      <c r="AG5564" s="10"/>
    </row>
    <row r="5565" spans="33:33">
      <c r="AG5565" s="10"/>
    </row>
    <row r="5566" spans="33:33">
      <c r="AG5566" s="10"/>
    </row>
    <row r="5567" spans="33:33">
      <c r="AG5567" s="10"/>
    </row>
    <row r="5568" spans="33:33">
      <c r="AG5568" s="10"/>
    </row>
    <row r="5569" spans="33:33">
      <c r="AG5569" s="10"/>
    </row>
    <row r="5570" spans="33:33">
      <c r="AG5570" s="10"/>
    </row>
    <row r="5571" spans="33:33">
      <c r="AG5571" s="10"/>
    </row>
    <row r="5572" spans="33:33">
      <c r="AG5572" s="10"/>
    </row>
    <row r="5573" spans="33:33">
      <c r="AG5573" s="10"/>
    </row>
    <row r="5574" spans="33:33">
      <c r="AG5574" s="10"/>
    </row>
    <row r="5575" spans="33:33">
      <c r="AG5575" s="10"/>
    </row>
    <row r="5576" spans="33:33">
      <c r="AG5576" s="10"/>
    </row>
    <row r="5577" spans="33:33">
      <c r="AG5577" s="10"/>
    </row>
    <row r="5578" spans="33:33">
      <c r="AG5578" s="10"/>
    </row>
    <row r="5579" spans="33:33">
      <c r="AG5579" s="10"/>
    </row>
    <row r="5580" spans="33:33">
      <c r="AG5580" s="10"/>
    </row>
    <row r="5581" spans="33:33">
      <c r="AG5581" s="10"/>
    </row>
    <row r="5582" spans="33:33">
      <c r="AG5582" s="10"/>
    </row>
    <row r="5583" spans="33:33">
      <c r="AG5583" s="10"/>
    </row>
    <row r="5584" spans="33:33">
      <c r="AG5584" s="10"/>
    </row>
    <row r="5585" spans="33:33">
      <c r="AG5585" s="10"/>
    </row>
    <row r="5586" spans="33:33">
      <c r="AG5586" s="10"/>
    </row>
    <row r="5587" spans="33:33">
      <c r="AG5587" s="10"/>
    </row>
    <row r="5588" spans="33:33">
      <c r="AG5588" s="10"/>
    </row>
    <row r="5589" spans="33:33">
      <c r="AG5589" s="10"/>
    </row>
    <row r="5590" spans="33:33">
      <c r="AG5590" s="10"/>
    </row>
    <row r="5591" spans="33:33">
      <c r="AG5591" s="10"/>
    </row>
    <row r="5592" spans="33:33">
      <c r="AG5592" s="10"/>
    </row>
    <row r="5593" spans="33:33">
      <c r="AG5593" s="10"/>
    </row>
    <row r="5594" spans="33:33">
      <c r="AG5594" s="10"/>
    </row>
    <row r="5595" spans="33:33">
      <c r="AG5595" s="10"/>
    </row>
    <row r="5596" spans="33:33">
      <c r="AG5596" s="10"/>
    </row>
    <row r="5597" spans="33:33">
      <c r="AG5597" s="10"/>
    </row>
    <row r="5598" spans="33:33">
      <c r="AG5598" s="10"/>
    </row>
    <row r="5599" spans="33:33">
      <c r="AG5599" s="10"/>
    </row>
    <row r="5600" spans="33:33">
      <c r="AG5600" s="10"/>
    </row>
    <row r="5601" spans="33:33">
      <c r="AG5601" s="10"/>
    </row>
    <row r="5602" spans="33:33">
      <c r="AG5602" s="10"/>
    </row>
    <row r="5603" spans="33:33">
      <c r="AG5603" s="10"/>
    </row>
    <row r="5604" spans="33:33">
      <c r="AG5604" s="10"/>
    </row>
    <row r="5605" spans="33:33">
      <c r="AG5605" s="10"/>
    </row>
    <row r="5606" spans="33:33">
      <c r="AG5606" s="10"/>
    </row>
    <row r="5607" spans="33:33">
      <c r="AG5607" s="10"/>
    </row>
    <row r="5608" spans="33:33">
      <c r="AG5608" s="10"/>
    </row>
    <row r="5609" spans="33:33">
      <c r="AG5609" s="10"/>
    </row>
    <row r="5610" spans="33:33">
      <c r="AG5610" s="10"/>
    </row>
    <row r="5611" spans="33:33">
      <c r="AG5611" s="10"/>
    </row>
    <row r="5612" spans="33:33">
      <c r="AG5612" s="10"/>
    </row>
    <row r="5613" spans="33:33">
      <c r="AG5613" s="10"/>
    </row>
    <row r="5614" spans="33:33">
      <c r="AG5614" s="10"/>
    </row>
    <row r="5615" spans="33:33">
      <c r="AG5615" s="10"/>
    </row>
    <row r="5616" spans="33:33">
      <c r="AG5616" s="10"/>
    </row>
    <row r="5617" spans="33:33">
      <c r="AG5617" s="10"/>
    </row>
    <row r="5618" spans="33:33">
      <c r="AG5618" s="10"/>
    </row>
    <row r="5619" spans="33:33">
      <c r="AG5619" s="10"/>
    </row>
    <row r="5620" spans="33:33">
      <c r="AG5620" s="10"/>
    </row>
    <row r="5621" spans="33:33">
      <c r="AG5621" s="10"/>
    </row>
    <row r="5622" spans="33:33">
      <c r="AG5622" s="10"/>
    </row>
    <row r="5623" spans="33:33">
      <c r="AG5623" s="10"/>
    </row>
    <row r="5624" spans="33:33">
      <c r="AG5624" s="10"/>
    </row>
    <row r="5625" spans="33:33">
      <c r="AG5625" s="10"/>
    </row>
    <row r="5626" spans="33:33">
      <c r="AG5626" s="10"/>
    </row>
    <row r="5627" spans="33:33">
      <c r="AG5627" s="10"/>
    </row>
    <row r="5628" spans="33:33">
      <c r="AG5628" s="10"/>
    </row>
    <row r="5629" spans="33:33">
      <c r="AG5629" s="10"/>
    </row>
    <row r="5630" spans="33:33">
      <c r="AG5630" s="10"/>
    </row>
    <row r="5631" spans="33:33">
      <c r="AG5631" s="10"/>
    </row>
    <row r="5632" spans="33:33">
      <c r="AG5632" s="10"/>
    </row>
    <row r="5633" spans="33:33">
      <c r="AG5633" s="10"/>
    </row>
    <row r="5634" spans="33:33">
      <c r="AG5634" s="10"/>
    </row>
    <row r="5635" spans="33:33">
      <c r="AG5635" s="10"/>
    </row>
    <row r="5636" spans="33:33">
      <c r="AG5636" s="10"/>
    </row>
    <row r="5637" spans="33:33">
      <c r="AG5637" s="10"/>
    </row>
    <row r="5638" spans="33:33">
      <c r="AG5638" s="10"/>
    </row>
    <row r="5639" spans="33:33">
      <c r="AG5639" s="10"/>
    </row>
    <row r="5640" spans="33:33">
      <c r="AG5640" s="10"/>
    </row>
    <row r="5641" spans="33:33">
      <c r="AG5641" s="10"/>
    </row>
    <row r="5642" spans="33:33">
      <c r="AG5642" s="10"/>
    </row>
    <row r="5643" spans="33:33">
      <c r="AG5643" s="10"/>
    </row>
    <row r="5644" spans="33:33">
      <c r="AG5644" s="10"/>
    </row>
    <row r="5645" spans="33:33">
      <c r="AG5645" s="10"/>
    </row>
    <row r="5646" spans="33:33">
      <c r="AG5646" s="10"/>
    </row>
    <row r="5647" spans="33:33">
      <c r="AG5647" s="10"/>
    </row>
    <row r="5648" spans="33:33">
      <c r="AG5648" s="10"/>
    </row>
    <row r="5649" spans="33:33">
      <c r="AG5649" s="10"/>
    </row>
    <row r="5650" spans="33:33">
      <c r="AG5650" s="10"/>
    </row>
    <row r="5651" spans="33:33">
      <c r="AG5651" s="10"/>
    </row>
    <row r="5652" spans="33:33">
      <c r="AG5652" s="10"/>
    </row>
    <row r="5653" spans="33:33">
      <c r="AG5653" s="10"/>
    </row>
    <row r="5654" spans="33:33">
      <c r="AG5654" s="10"/>
    </row>
    <row r="5655" spans="33:33">
      <c r="AG5655" s="10"/>
    </row>
    <row r="5656" spans="33:33">
      <c r="AG5656" s="10"/>
    </row>
    <row r="5657" spans="33:33">
      <c r="AG5657" s="10"/>
    </row>
    <row r="5658" spans="33:33">
      <c r="AG5658" s="10"/>
    </row>
    <row r="5659" spans="33:33">
      <c r="AG5659" s="10"/>
    </row>
    <row r="5660" spans="33:33">
      <c r="AG5660" s="10"/>
    </row>
    <row r="5661" spans="33:33">
      <c r="AG5661" s="10"/>
    </row>
    <row r="5662" spans="33:33">
      <c r="AG5662" s="10"/>
    </row>
    <row r="5663" spans="33:33">
      <c r="AG5663" s="10"/>
    </row>
    <row r="5664" spans="33:33">
      <c r="AG5664" s="10"/>
    </row>
    <row r="5665" spans="33:33">
      <c r="AG5665" s="10"/>
    </row>
    <row r="5666" spans="33:33">
      <c r="AG5666" s="10"/>
    </row>
    <row r="5667" spans="33:33">
      <c r="AG5667" s="10"/>
    </row>
    <row r="5668" spans="33:33">
      <c r="AG5668" s="10"/>
    </row>
    <row r="5669" spans="33:33">
      <c r="AG5669" s="10"/>
    </row>
    <row r="5670" spans="33:33">
      <c r="AG5670" s="10"/>
    </row>
    <row r="5671" spans="33:33">
      <c r="AG5671" s="10"/>
    </row>
    <row r="5672" spans="33:33">
      <c r="AG5672" s="10"/>
    </row>
    <row r="5673" spans="33:33">
      <c r="AG5673" s="10"/>
    </row>
    <row r="5674" spans="33:33">
      <c r="AG5674" s="10"/>
    </row>
    <row r="5675" spans="33:33">
      <c r="AG5675" s="10"/>
    </row>
    <row r="5676" spans="33:33">
      <c r="AG5676" s="10"/>
    </row>
    <row r="5677" spans="33:33">
      <c r="AG5677" s="10"/>
    </row>
    <row r="5678" spans="33:33">
      <c r="AG5678" s="10"/>
    </row>
    <row r="5679" spans="33:33">
      <c r="AG5679" s="10"/>
    </row>
    <row r="5680" spans="33:33">
      <c r="AG5680" s="10"/>
    </row>
    <row r="5681" spans="33:33">
      <c r="AG5681" s="10"/>
    </row>
    <row r="5682" spans="33:33">
      <c r="AG5682" s="10"/>
    </row>
    <row r="5683" spans="33:33">
      <c r="AG5683" s="10"/>
    </row>
    <row r="5684" spans="33:33">
      <c r="AG5684" s="10"/>
    </row>
    <row r="5685" spans="33:33">
      <c r="AG5685" s="10"/>
    </row>
    <row r="5686" spans="33:33">
      <c r="AG5686" s="10"/>
    </row>
    <row r="5687" spans="33:33">
      <c r="AG5687" s="10"/>
    </row>
    <row r="5688" spans="33:33">
      <c r="AG5688" s="10"/>
    </row>
    <row r="5689" spans="33:33">
      <c r="AG5689" s="10"/>
    </row>
    <row r="5690" spans="33:33">
      <c r="AG5690" s="10"/>
    </row>
    <row r="5691" spans="33:33">
      <c r="AG5691" s="10"/>
    </row>
    <row r="5692" spans="33:33">
      <c r="AG5692" s="10"/>
    </row>
    <row r="5693" spans="33:33">
      <c r="AG5693" s="10"/>
    </row>
    <row r="5694" spans="33:33">
      <c r="AG5694" s="10"/>
    </row>
    <row r="5695" spans="33:33">
      <c r="AG5695" s="10"/>
    </row>
    <row r="5696" spans="33:33">
      <c r="AG5696" s="10"/>
    </row>
    <row r="5697" spans="33:33">
      <c r="AG5697" s="10"/>
    </row>
    <row r="5698" spans="33:33">
      <c r="AG5698" s="10"/>
    </row>
    <row r="5699" spans="33:33">
      <c r="AG5699" s="10"/>
    </row>
    <row r="5700" spans="33:33">
      <c r="AG5700" s="10"/>
    </row>
    <row r="5701" spans="33:33">
      <c r="AG5701" s="10"/>
    </row>
    <row r="5702" spans="33:33">
      <c r="AG5702" s="10"/>
    </row>
    <row r="5703" spans="33:33">
      <c r="AG5703" s="10"/>
    </row>
    <row r="5704" spans="33:33">
      <c r="AG5704" s="10"/>
    </row>
    <row r="5705" spans="33:33">
      <c r="AG5705" s="10"/>
    </row>
    <row r="5706" spans="33:33">
      <c r="AG5706" s="10"/>
    </row>
    <row r="5707" spans="33:33">
      <c r="AG5707" s="10"/>
    </row>
    <row r="5708" spans="33:33">
      <c r="AG5708" s="10"/>
    </row>
    <row r="5709" spans="33:33">
      <c r="AG5709" s="10"/>
    </row>
    <row r="5710" spans="33:33">
      <c r="AG5710" s="10"/>
    </row>
    <row r="5711" spans="33:33">
      <c r="AG5711" s="10"/>
    </row>
    <row r="5712" spans="33:33">
      <c r="AG5712" s="10"/>
    </row>
    <row r="5713" spans="33:33">
      <c r="AG5713" s="10"/>
    </row>
    <row r="5714" spans="33:33">
      <c r="AG5714" s="10"/>
    </row>
    <row r="5715" spans="33:33">
      <c r="AG5715" s="10"/>
    </row>
    <row r="5716" spans="33:33">
      <c r="AG5716" s="10"/>
    </row>
    <row r="5717" spans="33:33">
      <c r="AG5717" s="10"/>
    </row>
    <row r="5718" spans="33:33">
      <c r="AG5718" s="10"/>
    </row>
    <row r="5719" spans="33:33">
      <c r="AG5719" s="10"/>
    </row>
    <row r="5720" spans="33:33">
      <c r="AG5720" s="10"/>
    </row>
    <row r="5721" spans="33:33">
      <c r="AG5721" s="10"/>
    </row>
    <row r="5722" spans="33:33">
      <c r="AG5722" s="10"/>
    </row>
    <row r="5723" spans="33:33">
      <c r="AG5723" s="10"/>
    </row>
    <row r="5724" spans="33:33">
      <c r="AG5724" s="10"/>
    </row>
    <row r="5725" spans="33:33">
      <c r="AG5725" s="10"/>
    </row>
    <row r="5726" spans="33:33">
      <c r="AG5726" s="10"/>
    </row>
    <row r="5727" spans="33:33">
      <c r="AG5727" s="10"/>
    </row>
    <row r="5728" spans="33:33">
      <c r="AG5728" s="10"/>
    </row>
    <row r="5729" spans="33:33">
      <c r="AG5729" s="10"/>
    </row>
    <row r="5730" spans="33:33">
      <c r="AG5730" s="10"/>
    </row>
    <row r="5731" spans="33:33">
      <c r="AG5731" s="10"/>
    </row>
    <row r="5732" spans="33:33">
      <c r="AG5732" s="10"/>
    </row>
    <row r="5733" spans="33:33">
      <c r="AG5733" s="10"/>
    </row>
    <row r="5734" spans="33:33">
      <c r="AG5734" s="10"/>
    </row>
    <row r="5735" spans="33:33">
      <c r="AG5735" s="10"/>
    </row>
    <row r="5736" spans="33:33">
      <c r="AG5736" s="10"/>
    </row>
    <row r="5737" spans="33:33">
      <c r="AG5737" s="10"/>
    </row>
    <row r="5738" spans="33:33">
      <c r="AG5738" s="10"/>
    </row>
    <row r="5739" spans="33:33">
      <c r="AG5739" s="10"/>
    </row>
    <row r="5740" spans="33:33">
      <c r="AG5740" s="10"/>
    </row>
    <row r="5741" spans="33:33">
      <c r="AG5741" s="10"/>
    </row>
    <row r="5742" spans="33:33">
      <c r="AG5742" s="10"/>
    </row>
    <row r="5743" spans="33:33">
      <c r="AG5743" s="10"/>
    </row>
    <row r="5744" spans="33:33">
      <c r="AG5744" s="10"/>
    </row>
    <row r="5745" spans="33:33">
      <c r="AG5745" s="10"/>
    </row>
    <row r="5746" spans="33:33">
      <c r="AG5746" s="10"/>
    </row>
    <row r="5747" spans="33:33">
      <c r="AG5747" s="10"/>
    </row>
    <row r="5748" spans="33:33">
      <c r="AG5748" s="10"/>
    </row>
    <row r="5749" spans="33:33">
      <c r="AG5749" s="10"/>
    </row>
    <row r="5750" spans="33:33">
      <c r="AG5750" s="10"/>
    </row>
    <row r="5751" spans="33:33">
      <c r="AG5751" s="10"/>
    </row>
    <row r="5752" spans="33:33">
      <c r="AG5752" s="10"/>
    </row>
    <row r="5753" spans="33:33">
      <c r="AG5753" s="10"/>
    </row>
    <row r="5754" spans="33:33">
      <c r="AG5754" s="10"/>
    </row>
    <row r="5755" spans="33:33">
      <c r="AG5755" s="10"/>
    </row>
    <row r="5756" spans="33:33">
      <c r="AG5756" s="10"/>
    </row>
    <row r="5757" spans="33:33">
      <c r="AG5757" s="10"/>
    </row>
    <row r="5758" spans="33:33">
      <c r="AG5758" s="10"/>
    </row>
    <row r="5759" spans="33:33">
      <c r="AG5759" s="10"/>
    </row>
    <row r="5760" spans="33:33">
      <c r="AG5760" s="10"/>
    </row>
    <row r="5761" spans="33:33">
      <c r="AG5761" s="10"/>
    </row>
    <row r="5762" spans="33:33">
      <c r="AG5762" s="10"/>
    </row>
    <row r="5763" spans="33:33">
      <c r="AG5763" s="10"/>
    </row>
    <row r="5764" spans="33:33">
      <c r="AG5764" s="10"/>
    </row>
    <row r="5765" spans="33:33">
      <c r="AG5765" s="10"/>
    </row>
    <row r="5766" spans="33:33">
      <c r="AG5766" s="10"/>
    </row>
    <row r="5767" spans="33:33">
      <c r="AG5767" s="10"/>
    </row>
    <row r="5768" spans="33:33">
      <c r="AG5768" s="10"/>
    </row>
    <row r="5769" spans="33:33">
      <c r="AG5769" s="10"/>
    </row>
    <row r="5770" spans="33:33">
      <c r="AG5770" s="10"/>
    </row>
    <row r="5771" spans="33:33">
      <c r="AG5771" s="10"/>
    </row>
    <row r="5772" spans="33:33">
      <c r="AG5772" s="10"/>
    </row>
    <row r="5773" spans="33:33">
      <c r="AG5773" s="10"/>
    </row>
    <row r="5774" spans="33:33">
      <c r="AG5774" s="10"/>
    </row>
    <row r="5775" spans="33:33">
      <c r="AG5775" s="10"/>
    </row>
    <row r="5776" spans="33:33">
      <c r="AG5776" s="10"/>
    </row>
    <row r="5777" spans="33:33">
      <c r="AG5777" s="10"/>
    </row>
    <row r="5778" spans="33:33">
      <c r="AG5778" s="10"/>
    </row>
    <row r="5779" spans="33:33">
      <c r="AG5779" s="10"/>
    </row>
    <row r="5780" spans="33:33">
      <c r="AG5780" s="10"/>
    </row>
    <row r="5781" spans="33:33">
      <c r="AG5781" s="10"/>
    </row>
    <row r="5782" spans="33:33">
      <c r="AG5782" s="10"/>
    </row>
    <row r="5783" spans="33:33">
      <c r="AG5783" s="10"/>
    </row>
    <row r="5784" spans="33:33">
      <c r="AG5784" s="10"/>
    </row>
    <row r="5785" spans="33:33">
      <c r="AG5785" s="10"/>
    </row>
    <row r="5786" spans="33:33">
      <c r="AG5786" s="10"/>
    </row>
    <row r="5787" spans="33:33">
      <c r="AG5787" s="10"/>
    </row>
    <row r="5788" spans="33:33">
      <c r="AG5788" s="10"/>
    </row>
    <row r="5789" spans="33:33">
      <c r="AG5789" s="10"/>
    </row>
    <row r="5790" spans="33:33">
      <c r="AG5790" s="10"/>
    </row>
    <row r="5791" spans="33:33">
      <c r="AG5791" s="10"/>
    </row>
    <row r="5792" spans="33:33">
      <c r="AG5792" s="10"/>
    </row>
    <row r="5793" spans="33:33">
      <c r="AG5793" s="10"/>
    </row>
    <row r="5794" spans="33:33">
      <c r="AG5794" s="10"/>
    </row>
    <row r="5795" spans="33:33">
      <c r="AG5795" s="10"/>
    </row>
    <row r="5796" spans="33:33">
      <c r="AG5796" s="10"/>
    </row>
    <row r="5797" spans="33:33">
      <c r="AG5797" s="10"/>
    </row>
    <row r="5798" spans="33:33">
      <c r="AG5798" s="10"/>
    </row>
    <row r="5799" spans="33:33">
      <c r="AG5799" s="10"/>
    </row>
    <row r="5800" spans="33:33">
      <c r="AG5800" s="10"/>
    </row>
    <row r="5801" spans="33:33">
      <c r="AG5801" s="10"/>
    </row>
    <row r="5802" spans="33:33">
      <c r="AG5802" s="10"/>
    </row>
    <row r="5803" spans="33:33">
      <c r="AG5803" s="10"/>
    </row>
    <row r="5804" spans="33:33">
      <c r="AG5804" s="10"/>
    </row>
    <row r="5805" spans="33:33">
      <c r="AG5805" s="10"/>
    </row>
    <row r="5806" spans="33:33">
      <c r="AG5806" s="10"/>
    </row>
    <row r="5807" spans="33:33">
      <c r="AG5807" s="10"/>
    </row>
    <row r="5808" spans="33:33">
      <c r="AG5808" s="10"/>
    </row>
    <row r="5809" spans="33:33">
      <c r="AG5809" s="10"/>
    </row>
    <row r="5810" spans="33:33">
      <c r="AG5810" s="10"/>
    </row>
    <row r="5811" spans="33:33">
      <c r="AG5811" s="10"/>
    </row>
    <row r="5812" spans="33:33">
      <c r="AG5812" s="10"/>
    </row>
    <row r="5813" spans="33:33">
      <c r="AG5813" s="10"/>
    </row>
    <row r="5814" spans="33:33">
      <c r="AG5814" s="10"/>
    </row>
    <row r="5815" spans="33:33">
      <c r="AG5815" s="10"/>
    </row>
    <row r="5816" spans="33:33">
      <c r="AG5816" s="10"/>
    </row>
    <row r="5817" spans="33:33">
      <c r="AG5817" s="10"/>
    </row>
    <row r="5818" spans="33:33">
      <c r="AG5818" s="10"/>
    </row>
    <row r="5819" spans="33:33">
      <c r="AG5819" s="10"/>
    </row>
    <row r="5820" spans="33:33">
      <c r="AG5820" s="10"/>
    </row>
    <row r="5821" spans="33:33">
      <c r="AG5821" s="10"/>
    </row>
    <row r="5822" spans="33:33">
      <c r="AG5822" s="10"/>
    </row>
    <row r="5823" spans="33:33">
      <c r="AG5823" s="10"/>
    </row>
    <row r="5824" spans="33:33">
      <c r="AG5824" s="10"/>
    </row>
    <row r="5825" spans="33:33">
      <c r="AG5825" s="10"/>
    </row>
    <row r="5826" spans="33:33">
      <c r="AG5826" s="10"/>
    </row>
    <row r="5827" spans="33:33">
      <c r="AG5827" s="10"/>
    </row>
    <row r="5828" spans="33:33">
      <c r="AG5828" s="10"/>
    </row>
    <row r="5829" spans="33:33">
      <c r="AG5829" s="10"/>
    </row>
    <row r="5830" spans="33:33">
      <c r="AG5830" s="10"/>
    </row>
    <row r="5831" spans="33:33">
      <c r="AG5831" s="10"/>
    </row>
    <row r="5832" spans="33:33">
      <c r="AG5832" s="10"/>
    </row>
    <row r="5833" spans="33:33">
      <c r="AG5833" s="10"/>
    </row>
    <row r="5834" spans="33:33">
      <c r="AG5834" s="10"/>
    </row>
    <row r="5835" spans="33:33">
      <c r="AG5835" s="10"/>
    </row>
    <row r="5836" spans="33:33">
      <c r="AG5836" s="10"/>
    </row>
    <row r="5837" spans="33:33">
      <c r="AG5837" s="10"/>
    </row>
    <row r="5838" spans="33:33">
      <c r="AG5838" s="10"/>
    </row>
    <row r="5839" spans="33:33">
      <c r="AG5839" s="10"/>
    </row>
    <row r="5840" spans="33:33">
      <c r="AG5840" s="10"/>
    </row>
    <row r="5841" spans="33:33">
      <c r="AG5841" s="10"/>
    </row>
    <row r="5842" spans="33:33">
      <c r="AG5842" s="10"/>
    </row>
    <row r="5843" spans="33:33">
      <c r="AG5843" s="10"/>
    </row>
    <row r="5844" spans="33:33">
      <c r="AG5844" s="10"/>
    </row>
    <row r="5845" spans="33:33">
      <c r="AG5845" s="10"/>
    </row>
    <row r="5846" spans="33:33">
      <c r="AG5846" s="10"/>
    </row>
    <row r="5847" spans="33:33">
      <c r="AG5847" s="10"/>
    </row>
    <row r="5848" spans="33:33">
      <c r="AG5848" s="10"/>
    </row>
    <row r="5849" spans="33:33">
      <c r="AG5849" s="10"/>
    </row>
    <row r="5850" spans="33:33">
      <c r="AG5850" s="10"/>
    </row>
    <row r="5851" spans="33:33">
      <c r="AG5851" s="10"/>
    </row>
    <row r="5852" spans="33:33">
      <c r="AG5852" s="10"/>
    </row>
    <row r="5853" spans="33:33">
      <c r="AG5853" s="10"/>
    </row>
    <row r="5854" spans="33:33">
      <c r="AG5854" s="10"/>
    </row>
    <row r="5855" spans="33:33">
      <c r="AG5855" s="10"/>
    </row>
    <row r="5856" spans="33:33">
      <c r="AG5856" s="10"/>
    </row>
    <row r="5857" spans="33:33">
      <c r="AG5857" s="10"/>
    </row>
    <row r="5858" spans="33:33">
      <c r="AG5858" s="10"/>
    </row>
    <row r="5859" spans="33:33">
      <c r="AG5859" s="10"/>
    </row>
    <row r="5860" spans="33:33">
      <c r="AG5860" s="10"/>
    </row>
    <row r="5861" spans="33:33">
      <c r="AG5861" s="10"/>
    </row>
    <row r="5862" spans="33:33">
      <c r="AG5862" s="10"/>
    </row>
    <row r="5863" spans="33:33">
      <c r="AG5863" s="10"/>
    </row>
    <row r="5864" spans="33:33">
      <c r="AG5864" s="10"/>
    </row>
    <row r="5865" spans="33:33">
      <c r="AG5865" s="10"/>
    </row>
    <row r="5866" spans="33:33">
      <c r="AG5866" s="10"/>
    </row>
    <row r="5867" spans="33:33">
      <c r="AG5867" s="10"/>
    </row>
    <row r="5868" spans="33:33">
      <c r="AG5868" s="10"/>
    </row>
    <row r="5869" spans="33:33">
      <c r="AG5869" s="10"/>
    </row>
    <row r="5870" spans="33:33">
      <c r="AG5870" s="10"/>
    </row>
    <row r="5871" spans="33:33">
      <c r="AG5871" s="10"/>
    </row>
    <row r="5872" spans="33:33">
      <c r="AG5872" s="10"/>
    </row>
    <row r="5873" spans="33:33">
      <c r="AG5873" s="10"/>
    </row>
    <row r="5874" spans="33:33">
      <c r="AG5874" s="10"/>
    </row>
    <row r="5875" spans="33:33">
      <c r="AG5875" s="10"/>
    </row>
    <row r="5876" spans="33:33">
      <c r="AG5876" s="10"/>
    </row>
    <row r="5877" spans="33:33">
      <c r="AG5877" s="10"/>
    </row>
    <row r="5878" spans="33:33">
      <c r="AG5878" s="10"/>
    </row>
    <row r="5879" spans="33:33">
      <c r="AG5879" s="10"/>
    </row>
    <row r="5880" spans="33:33">
      <c r="AG5880" s="10"/>
    </row>
    <row r="5881" spans="33:33">
      <c r="AG5881" s="10"/>
    </row>
    <row r="5882" spans="33:33">
      <c r="AG5882" s="10"/>
    </row>
    <row r="5883" spans="33:33">
      <c r="AG5883" s="10"/>
    </row>
    <row r="5884" spans="33:33">
      <c r="AG5884" s="10"/>
    </row>
    <row r="5885" spans="33:33">
      <c r="AG5885" s="10"/>
    </row>
    <row r="5886" spans="33:33">
      <c r="AG5886" s="10"/>
    </row>
    <row r="5887" spans="33:33">
      <c r="AG5887" s="10"/>
    </row>
    <row r="5888" spans="33:33">
      <c r="AG5888" s="10"/>
    </row>
    <row r="5889" spans="33:33">
      <c r="AG5889" s="10"/>
    </row>
    <row r="5890" spans="33:33">
      <c r="AG5890" s="10"/>
    </row>
    <row r="5891" spans="33:33">
      <c r="AG5891" s="10"/>
    </row>
    <row r="5892" spans="33:33">
      <c r="AG5892" s="10"/>
    </row>
    <row r="5893" spans="33:33">
      <c r="AG5893" s="10"/>
    </row>
    <row r="5894" spans="33:33">
      <c r="AG5894" s="10"/>
    </row>
    <row r="5895" spans="33:33">
      <c r="AG5895" s="10"/>
    </row>
    <row r="5896" spans="33:33">
      <c r="AG5896" s="10"/>
    </row>
    <row r="5897" spans="33:33">
      <c r="AG5897" s="10"/>
    </row>
    <row r="5898" spans="33:33">
      <c r="AG5898" s="10"/>
    </row>
    <row r="5899" spans="33:33">
      <c r="AG5899" s="10"/>
    </row>
    <row r="5900" spans="33:33">
      <c r="AG5900" s="10"/>
    </row>
    <row r="5901" spans="33:33">
      <c r="AG5901" s="10"/>
    </row>
    <row r="5902" spans="33:33">
      <c r="AG5902" s="10"/>
    </row>
    <row r="5903" spans="33:33">
      <c r="AG5903" s="10"/>
    </row>
    <row r="5904" spans="33:33">
      <c r="AG5904" s="10"/>
    </row>
    <row r="5905" spans="33:33">
      <c r="AG5905" s="10"/>
    </row>
    <row r="5906" spans="33:33">
      <c r="AG5906" s="10"/>
    </row>
    <row r="5907" spans="33:33">
      <c r="AG5907" s="10"/>
    </row>
    <row r="5908" spans="33:33">
      <c r="AG5908" s="10"/>
    </row>
    <row r="5909" spans="33:33">
      <c r="AG5909" s="10"/>
    </row>
    <row r="5910" spans="33:33">
      <c r="AG5910" s="10"/>
    </row>
    <row r="5911" spans="33:33">
      <c r="AG5911" s="10"/>
    </row>
    <row r="5912" spans="33:33">
      <c r="AG5912" s="10"/>
    </row>
    <row r="5913" spans="33:33">
      <c r="AG5913" s="10"/>
    </row>
    <row r="5914" spans="33:33">
      <c r="AG5914" s="10"/>
    </row>
    <row r="5915" spans="33:33">
      <c r="AG5915" s="10"/>
    </row>
    <row r="5916" spans="33:33">
      <c r="AG5916" s="10"/>
    </row>
    <row r="5917" spans="33:33">
      <c r="AG5917" s="10"/>
    </row>
    <row r="5918" spans="33:33">
      <c r="AG5918" s="10"/>
    </row>
    <row r="5919" spans="33:33">
      <c r="AG5919" s="10"/>
    </row>
    <row r="5920" spans="33:33">
      <c r="AG5920" s="10"/>
    </row>
    <row r="5921" spans="33:33">
      <c r="AG5921" s="10"/>
    </row>
    <row r="5922" spans="33:33">
      <c r="AG5922" s="10"/>
    </row>
    <row r="5923" spans="33:33">
      <c r="AG5923" s="10"/>
    </row>
    <row r="5924" spans="33:33">
      <c r="AG5924" s="10"/>
    </row>
    <row r="5925" spans="33:33">
      <c r="AG5925" s="10"/>
    </row>
    <row r="5926" spans="33:33">
      <c r="AG5926" s="10"/>
    </row>
    <row r="5927" spans="33:33">
      <c r="AG5927" s="10"/>
    </row>
    <row r="5928" spans="33:33">
      <c r="AG5928" s="10"/>
    </row>
    <row r="5929" spans="33:33">
      <c r="AG5929" s="10"/>
    </row>
    <row r="5930" spans="33:33">
      <c r="AG5930" s="10"/>
    </row>
    <row r="5931" spans="33:33">
      <c r="AG5931" s="10"/>
    </row>
    <row r="5932" spans="33:33">
      <c r="AG5932" s="10"/>
    </row>
    <row r="5933" spans="33:33">
      <c r="AG5933" s="10"/>
    </row>
    <row r="5934" spans="33:33">
      <c r="AG5934" s="10"/>
    </row>
    <row r="5935" spans="33:33">
      <c r="AG5935" s="10"/>
    </row>
    <row r="5936" spans="33:33">
      <c r="AG5936" s="10"/>
    </row>
    <row r="5937" spans="33:33">
      <c r="AG5937" s="10"/>
    </row>
    <row r="5938" spans="33:33">
      <c r="AG5938" s="10"/>
    </row>
    <row r="5939" spans="33:33">
      <c r="AG5939" s="10"/>
    </row>
    <row r="5940" spans="33:33">
      <c r="AG5940" s="10"/>
    </row>
    <row r="5941" spans="33:33">
      <c r="AG5941" s="10"/>
    </row>
    <row r="5942" spans="33:33">
      <c r="AG5942" s="10"/>
    </row>
    <row r="5943" spans="33:33">
      <c r="AG5943" s="10"/>
    </row>
    <row r="5944" spans="33:33">
      <c r="AG5944" s="10"/>
    </row>
    <row r="5945" spans="33:33">
      <c r="AG5945" s="10"/>
    </row>
    <row r="5946" spans="33:33">
      <c r="AG5946" s="10"/>
    </row>
    <row r="5947" spans="33:33">
      <c r="AG5947" s="10"/>
    </row>
    <row r="5948" spans="33:33">
      <c r="AG5948" s="10"/>
    </row>
    <row r="5949" spans="33:33">
      <c r="AG5949" s="10"/>
    </row>
    <row r="5950" spans="33:33">
      <c r="AG5950" s="10"/>
    </row>
    <row r="5951" spans="33:33">
      <c r="AG5951" s="10"/>
    </row>
    <row r="5952" spans="33:33">
      <c r="AG5952" s="10"/>
    </row>
    <row r="5953" spans="33:33">
      <c r="AG5953" s="10"/>
    </row>
    <row r="5954" spans="33:33">
      <c r="AG5954" s="10"/>
    </row>
    <row r="5955" spans="33:33">
      <c r="AG5955" s="10"/>
    </row>
    <row r="5956" spans="33:33">
      <c r="AG5956" s="10"/>
    </row>
    <row r="5957" spans="33:33">
      <c r="AG5957" s="10"/>
    </row>
    <row r="5958" spans="33:33">
      <c r="AG5958" s="10"/>
    </row>
    <row r="5959" spans="33:33">
      <c r="AG5959" s="10"/>
    </row>
    <row r="5960" spans="33:33">
      <c r="AG5960" s="10"/>
    </row>
    <row r="5961" spans="33:33">
      <c r="AG5961" s="10"/>
    </row>
    <row r="5962" spans="33:33">
      <c r="AG5962" s="10"/>
    </row>
    <row r="5963" spans="33:33">
      <c r="AG5963" s="10"/>
    </row>
    <row r="5964" spans="33:33">
      <c r="AG5964" s="10"/>
    </row>
    <row r="5965" spans="33:33">
      <c r="AG5965" s="10"/>
    </row>
    <row r="5966" spans="33:33">
      <c r="AG5966" s="10"/>
    </row>
    <row r="5967" spans="33:33">
      <c r="AG5967" s="10"/>
    </row>
    <row r="5968" spans="33:33">
      <c r="AG5968" s="10"/>
    </row>
    <row r="5969" spans="33:33">
      <c r="AG5969" s="10"/>
    </row>
    <row r="5970" spans="33:33">
      <c r="AG5970" s="10"/>
    </row>
    <row r="5971" spans="33:33">
      <c r="AG5971" s="10"/>
    </row>
    <row r="5972" spans="33:33">
      <c r="AG5972" s="10"/>
    </row>
    <row r="5973" spans="33:33">
      <c r="AG5973" s="10"/>
    </row>
    <row r="5974" spans="33:33">
      <c r="AG5974" s="10"/>
    </row>
    <row r="5975" spans="33:33">
      <c r="AG5975" s="10"/>
    </row>
    <row r="5976" spans="33:33">
      <c r="AG5976" s="10"/>
    </row>
    <row r="5977" spans="33:33">
      <c r="AG5977" s="10"/>
    </row>
    <row r="5978" spans="33:33">
      <c r="AG5978" s="10"/>
    </row>
    <row r="5979" spans="33:33">
      <c r="AG5979" s="10"/>
    </row>
    <row r="5980" spans="33:33">
      <c r="AG5980" s="10"/>
    </row>
    <row r="5981" spans="33:33">
      <c r="AG5981" s="10"/>
    </row>
    <row r="5982" spans="33:33">
      <c r="AG5982" s="10"/>
    </row>
    <row r="5983" spans="33:33">
      <c r="AG5983" s="10"/>
    </row>
    <row r="5984" spans="33:33">
      <c r="AG5984" s="10"/>
    </row>
    <row r="5985" spans="33:33">
      <c r="AG5985" s="10"/>
    </row>
    <row r="5986" spans="33:33">
      <c r="AG5986" s="10"/>
    </row>
    <row r="5987" spans="33:33">
      <c r="AG5987" s="10"/>
    </row>
    <row r="5988" spans="33:33">
      <c r="AG5988" s="10"/>
    </row>
    <row r="5989" spans="33:33">
      <c r="AG5989" s="10"/>
    </row>
    <row r="5990" spans="33:33">
      <c r="AG5990" s="10"/>
    </row>
    <row r="5991" spans="33:33">
      <c r="AG5991" s="10"/>
    </row>
    <row r="5992" spans="33:33">
      <c r="AG5992" s="10"/>
    </row>
    <row r="5993" spans="33:33">
      <c r="AG5993" s="10"/>
    </row>
    <row r="5994" spans="33:33">
      <c r="AG5994" s="10"/>
    </row>
    <row r="5995" spans="33:33">
      <c r="AG5995" s="10"/>
    </row>
    <row r="5996" spans="33:33">
      <c r="AG5996" s="10"/>
    </row>
    <row r="5997" spans="33:33">
      <c r="AG5997" s="10"/>
    </row>
    <row r="5998" spans="33:33">
      <c r="AG5998" s="10"/>
    </row>
    <row r="5999" spans="33:33">
      <c r="AG5999" s="10"/>
    </row>
    <row r="6000" spans="33:33">
      <c r="AG6000" s="10"/>
    </row>
    <row r="6001" spans="33:33">
      <c r="AG6001" s="10"/>
    </row>
    <row r="6002" spans="33:33">
      <c r="AG6002" s="10"/>
    </row>
    <row r="6003" spans="33:33">
      <c r="AG6003" s="10"/>
    </row>
    <row r="6004" spans="33:33">
      <c r="AG6004" s="10"/>
    </row>
    <row r="6005" spans="33:33">
      <c r="AG6005" s="10"/>
    </row>
    <row r="6006" spans="33:33">
      <c r="AG6006" s="10"/>
    </row>
    <row r="6007" spans="33:33">
      <c r="AG6007" s="10"/>
    </row>
    <row r="6008" spans="33:33">
      <c r="AG6008" s="10"/>
    </row>
    <row r="6009" spans="33:33">
      <c r="AG6009" s="10"/>
    </row>
    <row r="6010" spans="33:33">
      <c r="AG6010" s="10"/>
    </row>
    <row r="6011" spans="33:33">
      <c r="AG6011" s="10"/>
    </row>
    <row r="6012" spans="33:33">
      <c r="AG6012" s="10"/>
    </row>
    <row r="6013" spans="33:33">
      <c r="AG6013" s="10"/>
    </row>
    <row r="6014" spans="33:33">
      <c r="AG6014" s="10"/>
    </row>
    <row r="6015" spans="33:33">
      <c r="AG6015" s="10"/>
    </row>
    <row r="6016" spans="33:33">
      <c r="AG6016" s="10"/>
    </row>
    <row r="6017" spans="33:33">
      <c r="AG6017" s="10"/>
    </row>
    <row r="6018" spans="33:33">
      <c r="AG6018" s="10"/>
    </row>
    <row r="6019" spans="33:33">
      <c r="AG6019" s="10"/>
    </row>
    <row r="6020" spans="33:33">
      <c r="AG6020" s="10"/>
    </row>
    <row r="6021" spans="33:33">
      <c r="AG6021" s="10"/>
    </row>
    <row r="6022" spans="33:33">
      <c r="AG6022" s="10"/>
    </row>
    <row r="6023" spans="33:33">
      <c r="AG6023" s="10"/>
    </row>
    <row r="6024" spans="33:33">
      <c r="AG6024" s="10"/>
    </row>
    <row r="6025" spans="33:33">
      <c r="AG6025" s="10"/>
    </row>
    <row r="6026" spans="33:33">
      <c r="AG6026" s="10"/>
    </row>
    <row r="6027" spans="33:33">
      <c r="AG6027" s="10"/>
    </row>
    <row r="6028" spans="33:33">
      <c r="AG6028" s="10"/>
    </row>
    <row r="6029" spans="33:33">
      <c r="AG6029" s="10"/>
    </row>
    <row r="6030" spans="33:33">
      <c r="AG6030" s="10"/>
    </row>
    <row r="6031" spans="33:33">
      <c r="AG6031" s="10"/>
    </row>
    <row r="6032" spans="33:33">
      <c r="AG6032" s="10"/>
    </row>
    <row r="6033" spans="33:33">
      <c r="AG6033" s="10"/>
    </row>
    <row r="6034" spans="33:33">
      <c r="AG6034" s="10"/>
    </row>
    <row r="6035" spans="33:33">
      <c r="AG6035" s="10"/>
    </row>
    <row r="6036" spans="33:33">
      <c r="AG6036" s="10"/>
    </row>
    <row r="6037" spans="33:33">
      <c r="AG6037" s="10"/>
    </row>
    <row r="6038" spans="33:33">
      <c r="AG6038" s="10"/>
    </row>
    <row r="6039" spans="33:33">
      <c r="AG6039" s="10"/>
    </row>
    <row r="6040" spans="33:33">
      <c r="AG6040" s="10"/>
    </row>
    <row r="6041" spans="33:33">
      <c r="AG6041" s="10"/>
    </row>
    <row r="6042" spans="33:33">
      <c r="AG6042" s="10"/>
    </row>
    <row r="6043" spans="33:33">
      <c r="AG6043" s="10"/>
    </row>
    <row r="6044" spans="33:33">
      <c r="AG6044" s="10"/>
    </row>
    <row r="6045" spans="33:33">
      <c r="AG6045" s="10"/>
    </row>
    <row r="6046" spans="33:33">
      <c r="AG6046" s="10"/>
    </row>
    <row r="6047" spans="33:33">
      <c r="AG6047" s="10"/>
    </row>
    <row r="6048" spans="33:33">
      <c r="AG6048" s="10"/>
    </row>
    <row r="6049" spans="33:33">
      <c r="AG6049" s="10"/>
    </row>
    <row r="6050" spans="33:33">
      <c r="AG6050" s="10"/>
    </row>
    <row r="6051" spans="33:33">
      <c r="AG6051" s="10"/>
    </row>
    <row r="6052" spans="33:33">
      <c r="AG6052" s="10"/>
    </row>
    <row r="6053" spans="33:33">
      <c r="AG6053" s="10"/>
    </row>
    <row r="6054" spans="33:33">
      <c r="AG6054" s="10"/>
    </row>
    <row r="6055" spans="33:33">
      <c r="AG6055" s="10"/>
    </row>
    <row r="6056" spans="33:33">
      <c r="AG6056" s="10"/>
    </row>
    <row r="6057" spans="33:33">
      <c r="AG6057" s="10"/>
    </row>
    <row r="6058" spans="33:33">
      <c r="AG6058" s="10"/>
    </row>
    <row r="6059" spans="33:33">
      <c r="AG6059" s="10"/>
    </row>
    <row r="6060" spans="33:33">
      <c r="AG6060" s="10"/>
    </row>
    <row r="6061" spans="33:33">
      <c r="AG6061" s="10"/>
    </row>
    <row r="6062" spans="33:33">
      <c r="AG6062" s="10"/>
    </row>
    <row r="6063" spans="33:33">
      <c r="AG6063" s="10"/>
    </row>
    <row r="6064" spans="33:33">
      <c r="AG6064" s="10"/>
    </row>
    <row r="6065" spans="33:33">
      <c r="AG6065" s="10"/>
    </row>
    <row r="6066" spans="33:33">
      <c r="AG6066" s="10"/>
    </row>
    <row r="6067" spans="33:33">
      <c r="AG6067" s="10"/>
    </row>
    <row r="6068" spans="33:33">
      <c r="AG6068" s="10"/>
    </row>
    <row r="6069" spans="33:33">
      <c r="AG6069" s="10"/>
    </row>
    <row r="6070" spans="33:33">
      <c r="AG6070" s="10"/>
    </row>
    <row r="6071" spans="33:33">
      <c r="AG6071" s="10"/>
    </row>
    <row r="6072" spans="33:33">
      <c r="AG6072" s="10"/>
    </row>
    <row r="6073" spans="33:33">
      <c r="AG6073" s="10"/>
    </row>
    <row r="6074" spans="33:33">
      <c r="AG6074" s="10"/>
    </row>
    <row r="6075" spans="33:33">
      <c r="AG6075" s="10"/>
    </row>
    <row r="6076" spans="33:33">
      <c r="AG6076" s="10"/>
    </row>
    <row r="6077" spans="33:33">
      <c r="AG6077" s="10"/>
    </row>
    <row r="6078" spans="33:33">
      <c r="AG6078" s="10"/>
    </row>
    <row r="6079" spans="33:33">
      <c r="AG6079" s="10"/>
    </row>
    <row r="6080" spans="33:33">
      <c r="AG6080" s="10"/>
    </row>
    <row r="6081" spans="33:33">
      <c r="AG6081" s="10"/>
    </row>
    <row r="6082" spans="33:33">
      <c r="AG6082" s="10"/>
    </row>
    <row r="6083" spans="33:33">
      <c r="AG6083" s="10"/>
    </row>
    <row r="6084" spans="33:33">
      <c r="AG6084" s="10"/>
    </row>
    <row r="6085" spans="33:33">
      <c r="AG6085" s="10"/>
    </row>
    <row r="6086" spans="33:33">
      <c r="AG6086" s="10"/>
    </row>
    <row r="6087" spans="33:33">
      <c r="AG6087" s="10"/>
    </row>
    <row r="6088" spans="33:33">
      <c r="AG6088" s="10"/>
    </row>
    <row r="6089" spans="33:33">
      <c r="AG6089" s="10"/>
    </row>
    <row r="6090" spans="33:33">
      <c r="AG6090" s="10"/>
    </row>
    <row r="6091" spans="33:33">
      <c r="AG6091" s="10"/>
    </row>
    <row r="6092" spans="33:33">
      <c r="AG6092" s="10"/>
    </row>
    <row r="6093" spans="33:33">
      <c r="AG6093" s="10"/>
    </row>
    <row r="6094" spans="33:33">
      <c r="AG6094" s="10"/>
    </row>
    <row r="6095" spans="33:33">
      <c r="AG6095" s="10"/>
    </row>
    <row r="6096" spans="33:33">
      <c r="AG6096" s="10"/>
    </row>
    <row r="6097" spans="33:33">
      <c r="AG6097" s="10"/>
    </row>
    <row r="6098" spans="33:33">
      <c r="AG6098" s="10"/>
    </row>
    <row r="6099" spans="33:33">
      <c r="AG6099" s="10"/>
    </row>
    <row r="6100" spans="33:33">
      <c r="AG6100" s="10"/>
    </row>
    <row r="6101" spans="33:33">
      <c r="AG6101" s="10"/>
    </row>
    <row r="6102" spans="33:33">
      <c r="AG6102" s="10"/>
    </row>
    <row r="6103" spans="33:33">
      <c r="AG6103" s="10"/>
    </row>
    <row r="6104" spans="33:33">
      <c r="AG6104" s="10"/>
    </row>
    <row r="6105" spans="33:33">
      <c r="AG6105" s="10"/>
    </row>
    <row r="6106" spans="33:33">
      <c r="AG6106" s="10"/>
    </row>
    <row r="6107" spans="33:33">
      <c r="AG6107" s="10"/>
    </row>
    <row r="6108" spans="33:33">
      <c r="AG6108" s="10"/>
    </row>
    <row r="6109" spans="33:33">
      <c r="AG6109" s="10"/>
    </row>
    <row r="6110" spans="33:33">
      <c r="AG6110" s="10"/>
    </row>
    <row r="6111" spans="33:33">
      <c r="AG6111" s="10"/>
    </row>
    <row r="6112" spans="33:33">
      <c r="AG6112" s="10"/>
    </row>
    <row r="6113" spans="33:33">
      <c r="AG6113" s="10"/>
    </row>
    <row r="6114" spans="33:33">
      <c r="AG6114" s="10"/>
    </row>
    <row r="6115" spans="33:33">
      <c r="AG6115" s="10"/>
    </row>
    <row r="6116" spans="33:33">
      <c r="AG6116" s="10"/>
    </row>
    <row r="6117" spans="33:33">
      <c r="AG6117" s="10"/>
    </row>
    <row r="6118" spans="33:33">
      <c r="AG6118" s="10"/>
    </row>
    <row r="6119" spans="33:33">
      <c r="AG6119" s="10"/>
    </row>
    <row r="6120" spans="33:33">
      <c r="AG6120" s="10"/>
    </row>
    <row r="6121" spans="33:33">
      <c r="AG6121" s="10"/>
    </row>
    <row r="6122" spans="33:33">
      <c r="AG6122" s="10"/>
    </row>
    <row r="6123" spans="33:33">
      <c r="AG6123" s="10"/>
    </row>
    <row r="6124" spans="33:33">
      <c r="AG6124" s="10"/>
    </row>
    <row r="6125" spans="33:33">
      <c r="AG6125" s="10"/>
    </row>
    <row r="6126" spans="33:33">
      <c r="AG6126" s="10"/>
    </row>
    <row r="6127" spans="33:33">
      <c r="AG6127" s="10"/>
    </row>
    <row r="6128" spans="33:33">
      <c r="AG6128" s="10"/>
    </row>
    <row r="6129" spans="33:33">
      <c r="AG6129" s="10"/>
    </row>
    <row r="6130" spans="33:33">
      <c r="AG6130" s="10"/>
    </row>
    <row r="6131" spans="33:33">
      <c r="AG6131" s="10"/>
    </row>
    <row r="6132" spans="33:33">
      <c r="AG6132" s="10"/>
    </row>
    <row r="6133" spans="33:33">
      <c r="AG6133" s="10"/>
    </row>
    <row r="6134" spans="33:33">
      <c r="AG6134" s="10"/>
    </row>
    <row r="6135" spans="33:33">
      <c r="AG6135" s="10"/>
    </row>
    <row r="6136" spans="33:33">
      <c r="AG6136" s="10"/>
    </row>
    <row r="6137" spans="33:33">
      <c r="AG6137" s="10"/>
    </row>
    <row r="6138" spans="33:33">
      <c r="AG6138" s="10"/>
    </row>
    <row r="6139" spans="33:33">
      <c r="AG6139" s="10"/>
    </row>
    <row r="6140" spans="33:33">
      <c r="AG6140" s="10"/>
    </row>
    <row r="6141" spans="33:33">
      <c r="AG6141" s="10"/>
    </row>
    <row r="6142" spans="33:33">
      <c r="AG6142" s="10"/>
    </row>
    <row r="6143" spans="33:33">
      <c r="AG6143" s="10"/>
    </row>
    <row r="6144" spans="33:33">
      <c r="AG6144" s="10"/>
    </row>
    <row r="6145" spans="33:33">
      <c r="AG6145" s="10"/>
    </row>
    <row r="6146" spans="33:33">
      <c r="AG6146" s="10"/>
    </row>
    <row r="6147" spans="33:33">
      <c r="AG6147" s="10"/>
    </row>
    <row r="6148" spans="33:33">
      <c r="AG6148" s="10"/>
    </row>
    <row r="6149" spans="33:33">
      <c r="AG6149" s="10"/>
    </row>
    <row r="6150" spans="33:33">
      <c r="AG6150" s="10"/>
    </row>
    <row r="6151" spans="33:33">
      <c r="AG6151" s="10"/>
    </row>
    <row r="6152" spans="33:33">
      <c r="AG6152" s="10"/>
    </row>
    <row r="6153" spans="33:33">
      <c r="AG6153" s="10"/>
    </row>
    <row r="6154" spans="33:33">
      <c r="AG6154" s="10"/>
    </row>
    <row r="6155" spans="33:33">
      <c r="AG6155" s="10"/>
    </row>
    <row r="6156" spans="33:33">
      <c r="AG6156" s="10"/>
    </row>
    <row r="6157" spans="33:33">
      <c r="AG6157" s="10"/>
    </row>
    <row r="6158" spans="33:33">
      <c r="AG6158" s="10"/>
    </row>
    <row r="6159" spans="33:33">
      <c r="AG6159" s="10"/>
    </row>
    <row r="6160" spans="33:33">
      <c r="AG6160" s="10"/>
    </row>
    <row r="6161" spans="33:33">
      <c r="AG6161" s="10"/>
    </row>
    <row r="6162" spans="33:33">
      <c r="AG6162" s="10"/>
    </row>
    <row r="6163" spans="33:33">
      <c r="AG6163" s="10"/>
    </row>
    <row r="6164" spans="33:33">
      <c r="AG6164" s="10"/>
    </row>
    <row r="6165" spans="33:33">
      <c r="AG6165" s="10"/>
    </row>
    <row r="6166" spans="33:33">
      <c r="AG6166" s="10"/>
    </row>
    <row r="6167" spans="33:33">
      <c r="AG6167" s="10"/>
    </row>
    <row r="6168" spans="33:33">
      <c r="AG6168" s="10"/>
    </row>
    <row r="6169" spans="33:33">
      <c r="AG6169" s="10"/>
    </row>
    <row r="6170" spans="33:33">
      <c r="AG6170" s="10"/>
    </row>
    <row r="6171" spans="33:33">
      <c r="AG6171" s="10"/>
    </row>
    <row r="6172" spans="33:33">
      <c r="AG6172" s="10"/>
    </row>
    <row r="6173" spans="33:33">
      <c r="AG6173" s="10"/>
    </row>
    <row r="6174" spans="33:33">
      <c r="AG6174" s="10"/>
    </row>
    <row r="6175" spans="33:33">
      <c r="AG6175" s="10"/>
    </row>
    <row r="6176" spans="33:33">
      <c r="AG6176" s="10"/>
    </row>
    <row r="6177" spans="33:33">
      <c r="AG6177" s="10"/>
    </row>
    <row r="6178" spans="33:33">
      <c r="AG6178" s="10"/>
    </row>
    <row r="6179" spans="33:33">
      <c r="AG6179" s="10"/>
    </row>
    <row r="6180" spans="33:33">
      <c r="AG6180" s="10"/>
    </row>
    <row r="6181" spans="33:33">
      <c r="AG6181" s="10"/>
    </row>
    <row r="6182" spans="33:33">
      <c r="AG6182" s="10"/>
    </row>
    <row r="6183" spans="33:33">
      <c r="AG6183" s="10"/>
    </row>
    <row r="6184" spans="33:33">
      <c r="AG6184" s="10"/>
    </row>
    <row r="6185" spans="33:33">
      <c r="AG6185" s="10"/>
    </row>
    <row r="6186" spans="33:33">
      <c r="AG6186" s="10"/>
    </row>
    <row r="6187" spans="33:33">
      <c r="AG6187" s="10"/>
    </row>
    <row r="6188" spans="33:33">
      <c r="AG6188" s="10"/>
    </row>
    <row r="6189" spans="33:33">
      <c r="AG6189" s="10"/>
    </row>
    <row r="6190" spans="33:33">
      <c r="AG6190" s="10"/>
    </row>
    <row r="6191" spans="33:33">
      <c r="AG6191" s="10"/>
    </row>
    <row r="6192" spans="33:33">
      <c r="AG6192" s="10"/>
    </row>
    <row r="6193" spans="33:33">
      <c r="AG6193" s="10"/>
    </row>
    <row r="6194" spans="33:33">
      <c r="AG6194" s="10"/>
    </row>
    <row r="6195" spans="33:33">
      <c r="AG6195" s="10"/>
    </row>
    <row r="6196" spans="33:33">
      <c r="AG6196" s="10"/>
    </row>
    <row r="6197" spans="33:33">
      <c r="AG6197" s="10"/>
    </row>
    <row r="6198" spans="33:33">
      <c r="AG6198" s="10"/>
    </row>
    <row r="6199" spans="33:33">
      <c r="AG6199" s="10"/>
    </row>
    <row r="6200" spans="33:33">
      <c r="AG6200" s="10"/>
    </row>
    <row r="6201" spans="33:33">
      <c r="AG6201" s="10"/>
    </row>
    <row r="6202" spans="33:33">
      <c r="AG6202" s="10"/>
    </row>
    <row r="6203" spans="33:33">
      <c r="AG6203" s="10"/>
    </row>
    <row r="6204" spans="33:33">
      <c r="AG6204" s="10"/>
    </row>
    <row r="6205" spans="33:33">
      <c r="AG6205" s="10"/>
    </row>
    <row r="6206" spans="33:33">
      <c r="AG6206" s="10"/>
    </row>
    <row r="6207" spans="33:33">
      <c r="AG6207" s="10"/>
    </row>
    <row r="6208" spans="33:33">
      <c r="AG6208" s="10"/>
    </row>
    <row r="6209" spans="33:33">
      <c r="AG6209" s="10"/>
    </row>
    <row r="6210" spans="33:33">
      <c r="AG6210" s="10"/>
    </row>
    <row r="6211" spans="33:33">
      <c r="AG6211" s="10"/>
    </row>
    <row r="6212" spans="33:33">
      <c r="AG6212" s="10"/>
    </row>
    <row r="6213" spans="33:33">
      <c r="AG6213" s="10"/>
    </row>
    <row r="6214" spans="33:33">
      <c r="AG6214" s="10"/>
    </row>
    <row r="6215" spans="33:33">
      <c r="AG6215" s="10"/>
    </row>
    <row r="6216" spans="33:33">
      <c r="AG6216" s="10"/>
    </row>
    <row r="6217" spans="33:33">
      <c r="AG6217" s="10"/>
    </row>
    <row r="6218" spans="33:33">
      <c r="AG6218" s="10"/>
    </row>
    <row r="6219" spans="33:33">
      <c r="AG6219" s="10"/>
    </row>
    <row r="6220" spans="33:33">
      <c r="AG6220" s="10"/>
    </row>
    <row r="6221" spans="33:33">
      <c r="AG6221" s="10"/>
    </row>
    <row r="6222" spans="33:33">
      <c r="AG6222" s="10"/>
    </row>
    <row r="6223" spans="33:33">
      <c r="AG6223" s="10"/>
    </row>
    <row r="6224" spans="33:33">
      <c r="AG6224" s="10"/>
    </row>
    <row r="6225" spans="33:33">
      <c r="AG6225" s="10"/>
    </row>
    <row r="6226" spans="33:33">
      <c r="AG6226" s="10"/>
    </row>
    <row r="6227" spans="33:33">
      <c r="AG6227" s="10"/>
    </row>
    <row r="6228" spans="33:33">
      <c r="AG6228" s="10"/>
    </row>
    <row r="6229" spans="33:33">
      <c r="AG6229" s="10"/>
    </row>
    <row r="6230" spans="33:33">
      <c r="AG6230" s="10"/>
    </row>
    <row r="6231" spans="33:33">
      <c r="AG6231" s="10"/>
    </row>
    <row r="6232" spans="33:33">
      <c r="AG6232" s="10"/>
    </row>
    <row r="6233" spans="33:33">
      <c r="AG6233" s="10"/>
    </row>
    <row r="6234" spans="33:33">
      <c r="AG6234" s="10"/>
    </row>
    <row r="6235" spans="33:33">
      <c r="AG6235" s="10"/>
    </row>
    <row r="6236" spans="33:33">
      <c r="AG6236" s="10"/>
    </row>
    <row r="6237" spans="33:33">
      <c r="AG6237" s="10"/>
    </row>
    <row r="6238" spans="33:33">
      <c r="AG6238" s="10"/>
    </row>
    <row r="6239" spans="33:33">
      <c r="AG6239" s="10"/>
    </row>
    <row r="6240" spans="33:33">
      <c r="AG6240" s="10"/>
    </row>
    <row r="6241" spans="33:33">
      <c r="AG6241" s="10"/>
    </row>
    <row r="6242" spans="33:33">
      <c r="AG6242" s="10"/>
    </row>
    <row r="6243" spans="33:33">
      <c r="AG6243" s="10"/>
    </row>
    <row r="6244" spans="33:33">
      <c r="AG6244" s="10"/>
    </row>
    <row r="6245" spans="33:33">
      <c r="AG6245" s="10"/>
    </row>
    <row r="6246" spans="33:33">
      <c r="AG6246" s="10"/>
    </row>
    <row r="6247" spans="33:33">
      <c r="AG6247" s="10"/>
    </row>
    <row r="6248" spans="33:33">
      <c r="AG6248" s="10"/>
    </row>
    <row r="6249" spans="33:33">
      <c r="AG6249" s="10"/>
    </row>
    <row r="6250" spans="33:33">
      <c r="AG6250" s="10"/>
    </row>
    <row r="6251" spans="33:33">
      <c r="AG6251" s="10"/>
    </row>
    <row r="6252" spans="33:33">
      <c r="AG6252" s="10"/>
    </row>
    <row r="6253" spans="33:33">
      <c r="AG6253" s="10"/>
    </row>
    <row r="6254" spans="33:33">
      <c r="AG6254" s="10"/>
    </row>
    <row r="6255" spans="33:33">
      <c r="AG6255" s="10"/>
    </row>
    <row r="6256" spans="33:33">
      <c r="AG6256" s="10"/>
    </row>
    <row r="6257" spans="33:33">
      <c r="AG6257" s="10"/>
    </row>
    <row r="6258" spans="33:33">
      <c r="AG6258" s="10"/>
    </row>
    <row r="6259" spans="33:33">
      <c r="AG6259" s="10"/>
    </row>
    <row r="6260" spans="33:33">
      <c r="AG6260" s="10"/>
    </row>
    <row r="6261" spans="33:33">
      <c r="AG6261" s="10"/>
    </row>
    <row r="6262" spans="33:33">
      <c r="AG6262" s="10"/>
    </row>
    <row r="6263" spans="33:33">
      <c r="AG6263" s="10"/>
    </row>
    <row r="6264" spans="33:33">
      <c r="AG6264" s="10"/>
    </row>
    <row r="6265" spans="33:33">
      <c r="AG6265" s="10"/>
    </row>
    <row r="6266" spans="33:33">
      <c r="AG6266" s="10"/>
    </row>
    <row r="6267" spans="33:33">
      <c r="AG6267" s="10"/>
    </row>
    <row r="6268" spans="33:33">
      <c r="AG6268" s="10"/>
    </row>
    <row r="6269" spans="33:33">
      <c r="AG6269" s="10"/>
    </row>
    <row r="6270" spans="33:33">
      <c r="AG6270" s="10"/>
    </row>
    <row r="6271" spans="33:33">
      <c r="AG6271" s="10"/>
    </row>
    <row r="6272" spans="33:33">
      <c r="AG6272" s="10"/>
    </row>
    <row r="6273" spans="33:33">
      <c r="AG6273" s="10"/>
    </row>
    <row r="6274" spans="33:33">
      <c r="AG6274" s="10"/>
    </row>
    <row r="6275" spans="33:33">
      <c r="AG6275" s="10"/>
    </row>
    <row r="6276" spans="33:33">
      <c r="AG6276" s="10"/>
    </row>
    <row r="6277" spans="33:33">
      <c r="AG6277" s="10"/>
    </row>
    <row r="6278" spans="33:33">
      <c r="AG6278" s="10"/>
    </row>
    <row r="6279" spans="33:33">
      <c r="AG6279" s="10"/>
    </row>
    <row r="6280" spans="33:33">
      <c r="AG6280" s="10"/>
    </row>
    <row r="6281" spans="33:33">
      <c r="AG6281" s="10"/>
    </row>
    <row r="6282" spans="33:33">
      <c r="AG6282" s="10"/>
    </row>
    <row r="6283" spans="33:33">
      <c r="AG6283" s="10"/>
    </row>
    <row r="6284" spans="33:33">
      <c r="AG6284" s="10"/>
    </row>
    <row r="6285" spans="33:33">
      <c r="AG6285" s="10"/>
    </row>
    <row r="6286" spans="33:33">
      <c r="AG6286" s="10"/>
    </row>
    <row r="6287" spans="33:33">
      <c r="AG6287" s="10"/>
    </row>
    <row r="6288" spans="33:33">
      <c r="AG6288" s="10"/>
    </row>
    <row r="6289" spans="33:33">
      <c r="AG6289" s="10"/>
    </row>
    <row r="6290" spans="33:33">
      <c r="AG6290" s="10"/>
    </row>
    <row r="6291" spans="33:33">
      <c r="AG6291" s="10"/>
    </row>
    <row r="6292" spans="33:33">
      <c r="AG6292" s="10"/>
    </row>
    <row r="6293" spans="33:33">
      <c r="AG6293" s="10"/>
    </row>
    <row r="6294" spans="33:33">
      <c r="AG6294" s="10"/>
    </row>
    <row r="6295" spans="33:33">
      <c r="AG6295" s="10"/>
    </row>
    <row r="6296" spans="33:33">
      <c r="AG6296" s="10"/>
    </row>
    <row r="6297" spans="33:33">
      <c r="AG6297" s="10"/>
    </row>
    <row r="6298" spans="33:33">
      <c r="AG6298" s="10"/>
    </row>
    <row r="6299" spans="33:33">
      <c r="AG6299" s="10"/>
    </row>
    <row r="6300" spans="33:33">
      <c r="AG6300" s="10"/>
    </row>
    <row r="6301" spans="33:33">
      <c r="AG6301" s="10"/>
    </row>
    <row r="6302" spans="33:33">
      <c r="AG6302" s="10"/>
    </row>
    <row r="6303" spans="33:33">
      <c r="AG6303" s="10"/>
    </row>
    <row r="6304" spans="33:33">
      <c r="AG6304" s="10"/>
    </row>
    <row r="6305" spans="33:33">
      <c r="AG6305" s="10"/>
    </row>
    <row r="6306" spans="33:33">
      <c r="AG6306" s="10"/>
    </row>
    <row r="6307" spans="33:33">
      <c r="AG6307" s="10"/>
    </row>
    <row r="6308" spans="33:33">
      <c r="AG6308" s="10"/>
    </row>
    <row r="6309" spans="33:33">
      <c r="AG6309" s="10"/>
    </row>
    <row r="6310" spans="33:33">
      <c r="AG6310" s="10"/>
    </row>
    <row r="6311" spans="33:33">
      <c r="AG6311" s="10"/>
    </row>
    <row r="6312" spans="33:33">
      <c r="AG6312" s="10"/>
    </row>
    <row r="6313" spans="33:33">
      <c r="AG6313" s="10"/>
    </row>
    <row r="6314" spans="33:33">
      <c r="AG6314" s="10"/>
    </row>
    <row r="6315" spans="33:33">
      <c r="AG6315" s="10"/>
    </row>
    <row r="6316" spans="33:33">
      <c r="AG6316" s="10"/>
    </row>
    <row r="6317" spans="33:33">
      <c r="AG6317" s="10"/>
    </row>
    <row r="6318" spans="33:33">
      <c r="AG6318" s="10"/>
    </row>
    <row r="6319" spans="33:33">
      <c r="AG6319" s="10"/>
    </row>
    <row r="6320" spans="33:33">
      <c r="AG6320" s="10"/>
    </row>
    <row r="6321" spans="33:33">
      <c r="AG6321" s="10"/>
    </row>
    <row r="6322" spans="33:33">
      <c r="AG6322" s="10"/>
    </row>
    <row r="6323" spans="33:33">
      <c r="AG6323" s="10"/>
    </row>
    <row r="6324" spans="33:33">
      <c r="AG6324" s="10"/>
    </row>
    <row r="6325" spans="33:33">
      <c r="AG6325" s="10"/>
    </row>
    <row r="6326" spans="33:33">
      <c r="AG6326" s="10"/>
    </row>
    <row r="6327" spans="33:33">
      <c r="AG6327" s="10"/>
    </row>
    <row r="6328" spans="33:33">
      <c r="AG6328" s="10"/>
    </row>
    <row r="6329" spans="33:33">
      <c r="AG6329" s="10"/>
    </row>
    <row r="6330" spans="33:33">
      <c r="AG6330" s="10"/>
    </row>
    <row r="6331" spans="33:33">
      <c r="AG6331" s="10"/>
    </row>
    <row r="6332" spans="33:33">
      <c r="AG6332" s="10"/>
    </row>
    <row r="6333" spans="33:33">
      <c r="AG6333" s="10"/>
    </row>
    <row r="6334" spans="33:33">
      <c r="AG6334" s="10"/>
    </row>
    <row r="6335" spans="33:33">
      <c r="AG6335" s="10"/>
    </row>
    <row r="6336" spans="33:33">
      <c r="AG6336" s="10"/>
    </row>
    <row r="6337" spans="33:33">
      <c r="AG6337" s="10"/>
    </row>
    <row r="6338" spans="33:33">
      <c r="AG6338" s="10"/>
    </row>
    <row r="6339" spans="33:33">
      <c r="AG6339" s="10"/>
    </row>
    <row r="6340" spans="33:33">
      <c r="AG6340" s="10"/>
    </row>
    <row r="6341" spans="33:33">
      <c r="AG6341" s="10"/>
    </row>
    <row r="6342" spans="33:33">
      <c r="AG6342" s="10"/>
    </row>
    <row r="6343" spans="33:33">
      <c r="AG6343" s="10"/>
    </row>
    <row r="6344" spans="33:33">
      <c r="AG6344" s="10"/>
    </row>
    <row r="6345" spans="33:33">
      <c r="AG6345" s="10"/>
    </row>
    <row r="6346" spans="33:33">
      <c r="AG6346" s="10"/>
    </row>
    <row r="6347" spans="33:33">
      <c r="AG6347" s="10"/>
    </row>
    <row r="6348" spans="33:33">
      <c r="AG6348" s="10"/>
    </row>
    <row r="6349" spans="33:33">
      <c r="AG6349" s="10"/>
    </row>
    <row r="6350" spans="33:33">
      <c r="AG6350" s="10"/>
    </row>
    <row r="6351" spans="33:33">
      <c r="AG6351" s="10"/>
    </row>
    <row r="6352" spans="33:33">
      <c r="AG6352" s="10"/>
    </row>
    <row r="6353" spans="33:33">
      <c r="AG6353" s="10"/>
    </row>
    <row r="6354" spans="33:33">
      <c r="AG6354" s="10"/>
    </row>
    <row r="6355" spans="33:33">
      <c r="AG6355" s="10"/>
    </row>
    <row r="6356" spans="33:33">
      <c r="AG6356" s="10"/>
    </row>
    <row r="6357" spans="33:33">
      <c r="AG6357" s="10"/>
    </row>
    <row r="6358" spans="33:33">
      <c r="AG6358" s="10"/>
    </row>
    <row r="6359" spans="33:33">
      <c r="AG6359" s="10"/>
    </row>
    <row r="6360" spans="33:33">
      <c r="AG6360" s="10"/>
    </row>
    <row r="6361" spans="33:33">
      <c r="AG6361" s="10"/>
    </row>
    <row r="6362" spans="33:33">
      <c r="AG6362" s="10"/>
    </row>
    <row r="6363" spans="33:33">
      <c r="AG6363" s="10"/>
    </row>
    <row r="6364" spans="33:33">
      <c r="AG6364" s="10"/>
    </row>
    <row r="6365" spans="33:33">
      <c r="AG6365" s="10"/>
    </row>
    <row r="6366" spans="33:33">
      <c r="AG6366" s="10"/>
    </row>
    <row r="6367" spans="33:33">
      <c r="AG6367" s="10"/>
    </row>
    <row r="6368" spans="33:33">
      <c r="AG6368" s="10"/>
    </row>
    <row r="6369" spans="33:33">
      <c r="AG6369" s="10"/>
    </row>
    <row r="6370" spans="33:33">
      <c r="AG6370" s="10"/>
    </row>
    <row r="6371" spans="33:33">
      <c r="AG6371" s="10"/>
    </row>
    <row r="6372" spans="33:33">
      <c r="AG6372" s="10"/>
    </row>
    <row r="6373" spans="33:33">
      <c r="AG6373" s="10"/>
    </row>
    <row r="6374" spans="33:33">
      <c r="AG6374" s="10"/>
    </row>
    <row r="6375" spans="33:33">
      <c r="AG6375" s="10"/>
    </row>
    <row r="6376" spans="33:33">
      <c r="AG6376" s="10"/>
    </row>
    <row r="6377" spans="33:33">
      <c r="AG6377" s="10"/>
    </row>
    <row r="6378" spans="33:33">
      <c r="AG6378" s="10"/>
    </row>
    <row r="6379" spans="33:33">
      <c r="AG6379" s="10"/>
    </row>
    <row r="6380" spans="33:33">
      <c r="AG6380" s="10"/>
    </row>
    <row r="6381" spans="33:33">
      <c r="AG6381" s="10"/>
    </row>
    <row r="6382" spans="33:33">
      <c r="AG6382" s="10"/>
    </row>
    <row r="6383" spans="33:33">
      <c r="AG6383" s="10"/>
    </row>
    <row r="6384" spans="33:33">
      <c r="AG6384" s="10"/>
    </row>
    <row r="6385" spans="33:33">
      <c r="AG6385" s="10"/>
    </row>
    <row r="6386" spans="33:33">
      <c r="AG6386" s="10"/>
    </row>
    <row r="6387" spans="33:33">
      <c r="AG6387" s="10"/>
    </row>
    <row r="6388" spans="33:33">
      <c r="AG6388" s="10"/>
    </row>
    <row r="6389" spans="33:33">
      <c r="AG6389" s="10"/>
    </row>
    <row r="6390" spans="33:33">
      <c r="AG6390" s="10"/>
    </row>
    <row r="6391" spans="33:33">
      <c r="AG6391" s="10"/>
    </row>
    <row r="6392" spans="33:33">
      <c r="AG6392" s="10"/>
    </row>
    <row r="6393" spans="33:33">
      <c r="AG6393" s="10"/>
    </row>
    <row r="6394" spans="33:33">
      <c r="AG6394" s="10"/>
    </row>
    <row r="6395" spans="33:33">
      <c r="AG6395" s="10"/>
    </row>
    <row r="6396" spans="33:33">
      <c r="AG6396" s="10"/>
    </row>
    <row r="6397" spans="33:33">
      <c r="AG6397" s="10"/>
    </row>
    <row r="6398" spans="33:33">
      <c r="AG6398" s="10"/>
    </row>
    <row r="6399" spans="33:33">
      <c r="AG6399" s="10"/>
    </row>
    <row r="6400" spans="33:33">
      <c r="AG6400" s="10"/>
    </row>
    <row r="6401" spans="33:33">
      <c r="AG6401" s="10"/>
    </row>
    <row r="6402" spans="33:33">
      <c r="AG6402" s="10"/>
    </row>
    <row r="6403" spans="33:33">
      <c r="AG6403" s="10"/>
    </row>
    <row r="6404" spans="33:33">
      <c r="AG6404" s="10"/>
    </row>
    <row r="6405" spans="33:33">
      <c r="AG6405" s="10"/>
    </row>
    <row r="6406" spans="33:33">
      <c r="AG6406" s="10"/>
    </row>
    <row r="6407" spans="33:33">
      <c r="AG6407" s="10"/>
    </row>
    <row r="6408" spans="33:33">
      <c r="AG6408" s="10"/>
    </row>
    <row r="6409" spans="33:33">
      <c r="AG6409" s="10"/>
    </row>
    <row r="6410" spans="33:33">
      <c r="AG6410" s="10"/>
    </row>
    <row r="6411" spans="33:33">
      <c r="AG6411" s="10"/>
    </row>
    <row r="6412" spans="33:33">
      <c r="AG6412" s="10"/>
    </row>
    <row r="6413" spans="33:33">
      <c r="AG6413" s="10"/>
    </row>
    <row r="6414" spans="33:33">
      <c r="AG6414" s="10"/>
    </row>
    <row r="6415" spans="33:33">
      <c r="AG6415" s="10"/>
    </row>
    <row r="6416" spans="33:33">
      <c r="AG6416" s="10"/>
    </row>
    <row r="6417" spans="33:33">
      <c r="AG6417" s="10"/>
    </row>
    <row r="6418" spans="33:33">
      <c r="AG6418" s="10"/>
    </row>
    <row r="6419" spans="33:33">
      <c r="AG6419" s="10"/>
    </row>
    <row r="6420" spans="33:33">
      <c r="AG6420" s="10"/>
    </row>
    <row r="6421" spans="33:33">
      <c r="AG6421" s="10"/>
    </row>
    <row r="6422" spans="33:33">
      <c r="AG6422" s="10"/>
    </row>
    <row r="6423" spans="33:33">
      <c r="AG6423" s="10"/>
    </row>
    <row r="6424" spans="33:33">
      <c r="AG6424" s="10"/>
    </row>
    <row r="6425" spans="33:33">
      <c r="AG6425" s="10"/>
    </row>
    <row r="6426" spans="33:33">
      <c r="AG6426" s="10"/>
    </row>
    <row r="6427" spans="33:33">
      <c r="AG6427" s="10"/>
    </row>
    <row r="6428" spans="33:33">
      <c r="AG6428" s="10"/>
    </row>
    <row r="6429" spans="33:33">
      <c r="AG6429" s="10"/>
    </row>
    <row r="6430" spans="33:33">
      <c r="AG6430" s="10"/>
    </row>
    <row r="6431" spans="33:33">
      <c r="AG6431" s="10"/>
    </row>
    <row r="6432" spans="33:33">
      <c r="AG6432" s="10"/>
    </row>
    <row r="6433" spans="33:33">
      <c r="AG6433" s="10"/>
    </row>
    <row r="6434" spans="33:33">
      <c r="AG6434" s="10"/>
    </row>
    <row r="6435" spans="33:33">
      <c r="AG6435" s="10"/>
    </row>
    <row r="6436" spans="33:33">
      <c r="AG6436" s="10"/>
    </row>
    <row r="6437" spans="33:33">
      <c r="AG6437" s="10"/>
    </row>
    <row r="6438" spans="33:33">
      <c r="AG6438" s="10"/>
    </row>
    <row r="6439" spans="33:33">
      <c r="AG6439" s="10"/>
    </row>
    <row r="6440" spans="33:33">
      <c r="AG6440" s="10"/>
    </row>
    <row r="6441" spans="33:33">
      <c r="AG6441" s="10"/>
    </row>
    <row r="6442" spans="33:33">
      <c r="AG6442" s="10"/>
    </row>
    <row r="6443" spans="33:33">
      <c r="AG6443" s="10"/>
    </row>
    <row r="6444" spans="33:33">
      <c r="AG6444" s="10"/>
    </row>
    <row r="6445" spans="33:33">
      <c r="AG6445" s="10"/>
    </row>
    <row r="6446" spans="33:33">
      <c r="AG6446" s="10"/>
    </row>
    <row r="6447" spans="33:33">
      <c r="AG6447" s="10"/>
    </row>
    <row r="6448" spans="33:33">
      <c r="AG6448" s="10"/>
    </row>
    <row r="6449" spans="33:33">
      <c r="AG6449" s="10"/>
    </row>
    <row r="6450" spans="33:33">
      <c r="AG6450" s="10"/>
    </row>
    <row r="6451" spans="33:33">
      <c r="AG6451" s="10"/>
    </row>
    <row r="6452" spans="33:33">
      <c r="AG6452" s="10"/>
    </row>
    <row r="6453" spans="33:33">
      <c r="AG6453" s="10"/>
    </row>
    <row r="6454" spans="33:33">
      <c r="AG6454" s="10"/>
    </row>
    <row r="6455" spans="33:33">
      <c r="AG6455" s="10"/>
    </row>
    <row r="6456" spans="33:33">
      <c r="AG6456" s="10"/>
    </row>
    <row r="6457" spans="33:33">
      <c r="AG6457" s="10"/>
    </row>
    <row r="6458" spans="33:33">
      <c r="AG6458" s="10"/>
    </row>
    <row r="6459" spans="33:33">
      <c r="AG6459" s="10"/>
    </row>
    <row r="6460" spans="33:33">
      <c r="AG6460" s="10"/>
    </row>
    <row r="6461" spans="33:33">
      <c r="AG6461" s="10"/>
    </row>
    <row r="6462" spans="33:33">
      <c r="AG6462" s="10"/>
    </row>
    <row r="6463" spans="33:33">
      <c r="AG6463" s="10"/>
    </row>
    <row r="6464" spans="33:33">
      <c r="AG6464" s="10"/>
    </row>
    <row r="6465" spans="33:33">
      <c r="AG6465" s="10"/>
    </row>
    <row r="6466" spans="33:33">
      <c r="AG6466" s="10"/>
    </row>
    <row r="6467" spans="33:33">
      <c r="AG6467" s="10"/>
    </row>
    <row r="6468" spans="33:33">
      <c r="AG6468" s="10"/>
    </row>
    <row r="6469" spans="33:33">
      <c r="AG6469" s="10"/>
    </row>
    <row r="6470" spans="33:33">
      <c r="AG6470" s="10"/>
    </row>
    <row r="6471" spans="33:33">
      <c r="AG6471" s="10"/>
    </row>
    <row r="6472" spans="33:33">
      <c r="AG6472" s="10"/>
    </row>
    <row r="6473" spans="33:33">
      <c r="AG6473" s="10"/>
    </row>
    <row r="6474" spans="33:33">
      <c r="AG6474" s="10"/>
    </row>
    <row r="6475" spans="33:33">
      <c r="AG6475" s="10"/>
    </row>
    <row r="6476" spans="33:33">
      <c r="AG6476" s="10"/>
    </row>
    <row r="6477" spans="33:33">
      <c r="AG6477" s="10"/>
    </row>
    <row r="6478" spans="33:33">
      <c r="AG6478" s="10"/>
    </row>
    <row r="6479" spans="33:33">
      <c r="AG6479" s="10"/>
    </row>
    <row r="6480" spans="33:33">
      <c r="AG6480" s="10"/>
    </row>
    <row r="6481" spans="33:33">
      <c r="AG6481" s="10"/>
    </row>
    <row r="6482" spans="33:33">
      <c r="AG6482" s="10"/>
    </row>
    <row r="6483" spans="33:33">
      <c r="AG6483" s="10"/>
    </row>
    <row r="6484" spans="33:33">
      <c r="AG6484" s="10"/>
    </row>
    <row r="6485" spans="33:33">
      <c r="AG6485" s="10"/>
    </row>
    <row r="6486" spans="33:33">
      <c r="AG6486" s="10"/>
    </row>
    <row r="6487" spans="33:33">
      <c r="AG6487" s="10"/>
    </row>
    <row r="6488" spans="33:33">
      <c r="AG6488" s="10"/>
    </row>
    <row r="6489" spans="33:33">
      <c r="AG6489" s="10"/>
    </row>
    <row r="6490" spans="33:33">
      <c r="AG6490" s="10"/>
    </row>
    <row r="6491" spans="33:33">
      <c r="AG6491" s="10"/>
    </row>
    <row r="6492" spans="33:33">
      <c r="AG6492" s="10"/>
    </row>
    <row r="6493" spans="33:33">
      <c r="AG6493" s="10"/>
    </row>
    <row r="6494" spans="33:33">
      <c r="AG6494" s="10"/>
    </row>
    <row r="6495" spans="33:33">
      <c r="AG6495" s="10"/>
    </row>
    <row r="6496" spans="33:33">
      <c r="AG6496" s="10"/>
    </row>
    <row r="6497" spans="33:33">
      <c r="AG6497" s="10"/>
    </row>
    <row r="6498" spans="33:33">
      <c r="AG6498" s="10"/>
    </row>
    <row r="6499" spans="33:33">
      <c r="AG6499" s="10"/>
    </row>
    <row r="6500" spans="33:33">
      <c r="AG6500" s="10"/>
    </row>
    <row r="6501" spans="33:33">
      <c r="AG6501" s="10"/>
    </row>
    <row r="6502" spans="33:33">
      <c r="AG6502" s="10"/>
    </row>
    <row r="6503" spans="33:33">
      <c r="AG6503" s="10"/>
    </row>
    <row r="6504" spans="33:33">
      <c r="AG6504" s="10"/>
    </row>
    <row r="6505" spans="33:33">
      <c r="AG6505" s="10"/>
    </row>
    <row r="6506" spans="33:33">
      <c r="AG6506" s="10"/>
    </row>
    <row r="6507" spans="33:33">
      <c r="AG6507" s="10"/>
    </row>
    <row r="6508" spans="33:33">
      <c r="AG6508" s="10"/>
    </row>
    <row r="6509" spans="33:33">
      <c r="AG6509" s="10"/>
    </row>
    <row r="6510" spans="33:33">
      <c r="AG6510" s="10"/>
    </row>
    <row r="6511" spans="33:33">
      <c r="AG6511" s="10"/>
    </row>
    <row r="6512" spans="33:33">
      <c r="AG6512" s="10"/>
    </row>
    <row r="6513" spans="33:33">
      <c r="AG6513" s="10"/>
    </row>
    <row r="6514" spans="33:33">
      <c r="AG6514" s="10"/>
    </row>
    <row r="6515" spans="33:33">
      <c r="AG6515" s="10"/>
    </row>
    <row r="6516" spans="33:33">
      <c r="AG6516" s="10"/>
    </row>
    <row r="6517" spans="33:33">
      <c r="AG6517" s="10"/>
    </row>
    <row r="6518" spans="33:33">
      <c r="AG6518" s="10"/>
    </row>
    <row r="6519" spans="33:33">
      <c r="AG6519" s="10"/>
    </row>
    <row r="6520" spans="33:33">
      <c r="AG6520" s="10"/>
    </row>
    <row r="6521" spans="33:33">
      <c r="AG6521" s="10"/>
    </row>
    <row r="6522" spans="33:33">
      <c r="AG6522" s="10"/>
    </row>
    <row r="6523" spans="33:33">
      <c r="AG6523" s="10"/>
    </row>
    <row r="6524" spans="33:33">
      <c r="AG6524" s="10"/>
    </row>
    <row r="6525" spans="33:33">
      <c r="AG6525" s="10"/>
    </row>
    <row r="6526" spans="33:33">
      <c r="AG6526" s="10"/>
    </row>
    <row r="6527" spans="33:33">
      <c r="AG6527" s="10"/>
    </row>
    <row r="6528" spans="33:33">
      <c r="AG6528" s="10"/>
    </row>
    <row r="6529" spans="33:33">
      <c r="AG6529" s="10"/>
    </row>
    <row r="6530" spans="33:33">
      <c r="AG6530" s="10"/>
    </row>
    <row r="6531" spans="33:33">
      <c r="AG6531" s="10"/>
    </row>
    <row r="6532" spans="33:33">
      <c r="AG6532" s="10"/>
    </row>
    <row r="6533" spans="33:33">
      <c r="AG6533" s="10"/>
    </row>
    <row r="6534" spans="33:33">
      <c r="AG6534" s="10"/>
    </row>
    <row r="6535" spans="33:33">
      <c r="AG6535" s="10"/>
    </row>
    <row r="6536" spans="33:33">
      <c r="AG6536" s="10"/>
    </row>
    <row r="6537" spans="33:33">
      <c r="AG6537" s="10"/>
    </row>
    <row r="6538" spans="33:33">
      <c r="AG6538" s="10"/>
    </row>
    <row r="6539" spans="33:33">
      <c r="AG6539" s="10"/>
    </row>
    <row r="6540" spans="33:33">
      <c r="AG6540" s="10"/>
    </row>
    <row r="6541" spans="33:33">
      <c r="AG6541" s="10"/>
    </row>
    <row r="6542" spans="33:33">
      <c r="AG6542" s="10"/>
    </row>
    <row r="6543" spans="33:33">
      <c r="AG6543" s="10"/>
    </row>
    <row r="6544" spans="33:33">
      <c r="AG6544" s="10"/>
    </row>
    <row r="6545" spans="33:33">
      <c r="AG6545" s="10"/>
    </row>
    <row r="6546" spans="33:33">
      <c r="AG6546" s="10"/>
    </row>
    <row r="6547" spans="33:33">
      <c r="AG6547" s="10"/>
    </row>
    <row r="6548" spans="33:33">
      <c r="AG6548" s="10"/>
    </row>
    <row r="6549" spans="33:33">
      <c r="AG6549" s="10"/>
    </row>
    <row r="6550" spans="33:33">
      <c r="AG6550" s="10"/>
    </row>
    <row r="6551" spans="33:33">
      <c r="AG6551" s="10"/>
    </row>
    <row r="6552" spans="33:33">
      <c r="AG6552" s="10"/>
    </row>
    <row r="6553" spans="33:33">
      <c r="AG6553" s="10"/>
    </row>
    <row r="6554" spans="33:33">
      <c r="AG6554" s="10"/>
    </row>
    <row r="6555" spans="33:33">
      <c r="AG6555" s="10"/>
    </row>
    <row r="6556" spans="33:33">
      <c r="AG6556" s="10"/>
    </row>
    <row r="6557" spans="33:33">
      <c r="AG6557" s="10"/>
    </row>
    <row r="6558" spans="33:33">
      <c r="AG6558" s="10"/>
    </row>
    <row r="6559" spans="33:33">
      <c r="AG6559" s="10"/>
    </row>
    <row r="6560" spans="33:33">
      <c r="AG6560" s="10"/>
    </row>
    <row r="6561" spans="33:33">
      <c r="AG6561" s="10"/>
    </row>
    <row r="6562" spans="33:33">
      <c r="AG6562" s="10"/>
    </row>
    <row r="6563" spans="33:33">
      <c r="AG6563" s="10"/>
    </row>
    <row r="6564" spans="33:33">
      <c r="AG6564" s="10"/>
    </row>
    <row r="6565" spans="33:33">
      <c r="AG6565" s="10"/>
    </row>
    <row r="6566" spans="33:33">
      <c r="AG6566" s="10"/>
    </row>
    <row r="6567" spans="33:33">
      <c r="AG6567" s="10"/>
    </row>
    <row r="6568" spans="33:33">
      <c r="AG6568" s="10"/>
    </row>
    <row r="6569" spans="33:33">
      <c r="AG6569" s="10"/>
    </row>
    <row r="6570" spans="33:33">
      <c r="AG6570" s="10"/>
    </row>
    <row r="6571" spans="33:33">
      <c r="AG6571" s="10"/>
    </row>
    <row r="6572" spans="33:33">
      <c r="AG6572" s="10"/>
    </row>
    <row r="6573" spans="33:33">
      <c r="AG6573" s="10"/>
    </row>
    <row r="6574" spans="33:33">
      <c r="AG6574" s="10"/>
    </row>
    <row r="6575" spans="33:33">
      <c r="AG6575" s="10"/>
    </row>
    <row r="6576" spans="33:33">
      <c r="AG6576" s="10"/>
    </row>
    <row r="6577" spans="33:33">
      <c r="AG6577" s="10"/>
    </row>
    <row r="6578" spans="33:33">
      <c r="AG6578" s="10"/>
    </row>
    <row r="6579" spans="33:33">
      <c r="AG6579" s="10"/>
    </row>
    <row r="6580" spans="33:33">
      <c r="AG6580" s="10"/>
    </row>
    <row r="6581" spans="33:33">
      <c r="AG6581" s="10"/>
    </row>
    <row r="6582" spans="33:33">
      <c r="AG6582" s="10"/>
    </row>
    <row r="6583" spans="33:33">
      <c r="AG6583" s="10"/>
    </row>
    <row r="6584" spans="33:33">
      <c r="AG6584" s="10"/>
    </row>
    <row r="6585" spans="33:33">
      <c r="AG6585" s="10"/>
    </row>
    <row r="6586" spans="33:33">
      <c r="AG6586" s="10"/>
    </row>
    <row r="6587" spans="33:33">
      <c r="AG6587" s="10"/>
    </row>
    <row r="6588" spans="33:33">
      <c r="AG6588" s="10"/>
    </row>
    <row r="6589" spans="33:33">
      <c r="AG6589" s="10"/>
    </row>
    <row r="6590" spans="33:33">
      <c r="AG6590" s="10"/>
    </row>
    <row r="6591" spans="33:33">
      <c r="AG6591" s="10"/>
    </row>
    <row r="6592" spans="33:33">
      <c r="AG6592" s="10"/>
    </row>
    <row r="6593" spans="33:33">
      <c r="AG6593" s="10"/>
    </row>
    <row r="6594" spans="33:33">
      <c r="AG6594" s="10"/>
    </row>
    <row r="6595" spans="33:33">
      <c r="AG6595" s="10"/>
    </row>
    <row r="6596" spans="33:33">
      <c r="AG6596" s="10"/>
    </row>
    <row r="6597" spans="33:33">
      <c r="AG6597" s="10"/>
    </row>
    <row r="6598" spans="33:33">
      <c r="AG6598" s="10"/>
    </row>
    <row r="6599" spans="33:33">
      <c r="AG6599" s="10"/>
    </row>
    <row r="6600" spans="33:33">
      <c r="AG6600" s="10"/>
    </row>
    <row r="6601" spans="33:33">
      <c r="AG6601" s="10"/>
    </row>
    <row r="6602" spans="33:33">
      <c r="AG6602" s="10"/>
    </row>
    <row r="6603" spans="33:33">
      <c r="AG6603" s="10"/>
    </row>
    <row r="6604" spans="33:33">
      <c r="AG6604" s="10"/>
    </row>
    <row r="6605" spans="33:33">
      <c r="AG6605" s="10"/>
    </row>
    <row r="6606" spans="33:33">
      <c r="AG6606" s="10"/>
    </row>
    <row r="6607" spans="33:33">
      <c r="AG6607" s="10"/>
    </row>
    <row r="6608" spans="33:33">
      <c r="AG6608" s="10"/>
    </row>
    <row r="6609" spans="33:33">
      <c r="AG6609" s="10"/>
    </row>
    <row r="6610" spans="33:33">
      <c r="AG6610" s="10"/>
    </row>
    <row r="6611" spans="33:33">
      <c r="AG6611" s="10"/>
    </row>
    <row r="6612" spans="33:33">
      <c r="AG6612" s="10"/>
    </row>
    <row r="6613" spans="33:33">
      <c r="AG6613" s="10"/>
    </row>
    <row r="6614" spans="33:33">
      <c r="AG6614" s="10"/>
    </row>
    <row r="6615" spans="33:33">
      <c r="AG6615" s="10"/>
    </row>
    <row r="6616" spans="33:33">
      <c r="AG6616" s="10"/>
    </row>
    <row r="6617" spans="33:33">
      <c r="AG6617" s="10"/>
    </row>
    <row r="6618" spans="33:33">
      <c r="AG6618" s="10"/>
    </row>
    <row r="6619" spans="33:33">
      <c r="AG6619" s="10"/>
    </row>
    <row r="6620" spans="33:33">
      <c r="AG6620" s="10"/>
    </row>
    <row r="6621" spans="33:33">
      <c r="AG6621" s="10"/>
    </row>
    <row r="6622" spans="33:33">
      <c r="AG6622" s="10"/>
    </row>
    <row r="6623" spans="33:33">
      <c r="AG6623" s="10"/>
    </row>
    <row r="6624" spans="33:33">
      <c r="AG6624" s="10"/>
    </row>
    <row r="6625" spans="33:33">
      <c r="AG6625" s="10"/>
    </row>
    <row r="6626" spans="33:33">
      <c r="AG6626" s="10"/>
    </row>
    <row r="6627" spans="33:33">
      <c r="AG6627" s="10"/>
    </row>
    <row r="6628" spans="33:33">
      <c r="AG6628" s="10"/>
    </row>
    <row r="6629" spans="33:33">
      <c r="AG6629" s="10"/>
    </row>
    <row r="6630" spans="33:33">
      <c r="AG6630" s="10"/>
    </row>
    <row r="6631" spans="33:33">
      <c r="AG6631" s="10"/>
    </row>
    <row r="6632" spans="33:33">
      <c r="AG6632" s="10"/>
    </row>
    <row r="6633" spans="33:33">
      <c r="AG6633" s="10"/>
    </row>
    <row r="6634" spans="33:33">
      <c r="AG6634" s="10"/>
    </row>
    <row r="6635" spans="33:33">
      <c r="AG6635" s="10"/>
    </row>
    <row r="6636" spans="33:33">
      <c r="AG6636" s="10"/>
    </row>
    <row r="6637" spans="33:33">
      <c r="AG6637" s="10"/>
    </row>
    <row r="6638" spans="33:33">
      <c r="AG6638" s="10"/>
    </row>
    <row r="6639" spans="33:33">
      <c r="AG6639" s="10"/>
    </row>
    <row r="6640" spans="33:33">
      <c r="AG6640" s="10"/>
    </row>
    <row r="6641" spans="33:33">
      <c r="AG6641" s="10"/>
    </row>
    <row r="6642" spans="33:33">
      <c r="AG6642" s="10"/>
    </row>
    <row r="6643" spans="33:33">
      <c r="AG6643" s="10"/>
    </row>
    <row r="6644" spans="33:33">
      <c r="AG6644" s="10"/>
    </row>
    <row r="6645" spans="33:33">
      <c r="AG6645" s="10"/>
    </row>
    <row r="6646" spans="33:33">
      <c r="AG6646" s="10"/>
    </row>
    <row r="6647" spans="33:33">
      <c r="AG6647" s="10"/>
    </row>
    <row r="6648" spans="33:33">
      <c r="AG6648" s="10"/>
    </row>
    <row r="6649" spans="33:33">
      <c r="AG6649" s="10"/>
    </row>
    <row r="6650" spans="33:33">
      <c r="AG6650" s="10"/>
    </row>
    <row r="6651" spans="33:33">
      <c r="AG6651" s="10"/>
    </row>
    <row r="6652" spans="33:33">
      <c r="AG6652" s="10"/>
    </row>
    <row r="6653" spans="33:33">
      <c r="AG6653" s="10"/>
    </row>
    <row r="6654" spans="33:33">
      <c r="AG6654" s="10"/>
    </row>
    <row r="6655" spans="33:33">
      <c r="AG6655" s="10"/>
    </row>
    <row r="6656" spans="33:33">
      <c r="AG6656" s="10"/>
    </row>
    <row r="6657" spans="33:33">
      <c r="AG6657" s="10"/>
    </row>
    <row r="6658" spans="33:33">
      <c r="AG6658" s="10"/>
    </row>
    <row r="6659" spans="33:33">
      <c r="AG6659" s="10"/>
    </row>
    <row r="6660" spans="33:33">
      <c r="AG6660" s="10"/>
    </row>
    <row r="6661" spans="33:33">
      <c r="AG6661" s="10"/>
    </row>
    <row r="6662" spans="33:33">
      <c r="AG6662" s="10"/>
    </row>
    <row r="6663" spans="33:33">
      <c r="AG6663" s="10"/>
    </row>
    <row r="6664" spans="33:33">
      <c r="AG6664" s="10"/>
    </row>
    <row r="6665" spans="33:33">
      <c r="AG6665" s="10"/>
    </row>
    <row r="6666" spans="33:33">
      <c r="AG6666" s="10"/>
    </row>
    <row r="6667" spans="33:33">
      <c r="AG6667" s="10"/>
    </row>
    <row r="6668" spans="33:33">
      <c r="AG6668" s="10"/>
    </row>
    <row r="6669" spans="33:33">
      <c r="AG6669" s="10"/>
    </row>
    <row r="6670" spans="33:33">
      <c r="AG6670" s="10"/>
    </row>
    <row r="6671" spans="33:33">
      <c r="AG6671" s="10"/>
    </row>
    <row r="6672" spans="33:33">
      <c r="AG6672" s="10"/>
    </row>
    <row r="6673" spans="33:33">
      <c r="AG6673" s="10"/>
    </row>
    <row r="6674" spans="33:33">
      <c r="AG6674" s="10"/>
    </row>
    <row r="6675" spans="33:33">
      <c r="AG6675" s="10"/>
    </row>
    <row r="6676" spans="33:33">
      <c r="AG6676" s="10"/>
    </row>
    <row r="6677" spans="33:33">
      <c r="AG6677" s="10"/>
    </row>
    <row r="6678" spans="33:33">
      <c r="AG6678" s="10"/>
    </row>
    <row r="6679" spans="33:33">
      <c r="AG6679" s="10"/>
    </row>
    <row r="6680" spans="33:33">
      <c r="AG6680" s="10"/>
    </row>
    <row r="6681" spans="33:33">
      <c r="AG6681" s="10"/>
    </row>
    <row r="6682" spans="33:33">
      <c r="AG6682" s="10"/>
    </row>
    <row r="6683" spans="33:33">
      <c r="AG6683" s="10"/>
    </row>
    <row r="6684" spans="33:33">
      <c r="AG6684" s="10"/>
    </row>
    <row r="6685" spans="33:33">
      <c r="AG6685" s="10"/>
    </row>
    <row r="6686" spans="33:33">
      <c r="AG6686" s="10"/>
    </row>
    <row r="6687" spans="33:33">
      <c r="AG6687" s="10"/>
    </row>
    <row r="6688" spans="33:33">
      <c r="AG6688" s="10"/>
    </row>
    <row r="6689" spans="33:33">
      <c r="AG6689" s="10"/>
    </row>
    <row r="6690" spans="33:33">
      <c r="AG6690" s="10"/>
    </row>
    <row r="6691" spans="33:33">
      <c r="AG6691" s="10"/>
    </row>
    <row r="6692" spans="33:33">
      <c r="AG6692" s="10"/>
    </row>
    <row r="6693" spans="33:33">
      <c r="AG6693" s="10"/>
    </row>
    <row r="6694" spans="33:33">
      <c r="AG6694" s="10"/>
    </row>
    <row r="6695" spans="33:33">
      <c r="AG6695" s="10"/>
    </row>
    <row r="6696" spans="33:33">
      <c r="AG6696" s="10"/>
    </row>
    <row r="6697" spans="33:33">
      <c r="AG6697" s="10"/>
    </row>
    <row r="6698" spans="33:33">
      <c r="AG6698" s="10"/>
    </row>
    <row r="6699" spans="33:33">
      <c r="AG6699" s="10"/>
    </row>
    <row r="6700" spans="33:33">
      <c r="AG6700" s="10"/>
    </row>
    <row r="6701" spans="33:33">
      <c r="AG6701" s="10"/>
    </row>
    <row r="6702" spans="33:33">
      <c r="AG6702" s="10"/>
    </row>
    <row r="6703" spans="33:33">
      <c r="AG6703" s="10"/>
    </row>
    <row r="6704" spans="33:33">
      <c r="AG6704" s="10"/>
    </row>
    <row r="6705" spans="33:33">
      <c r="AG6705" s="10"/>
    </row>
    <row r="6706" spans="33:33">
      <c r="AG6706" s="10"/>
    </row>
    <row r="6707" spans="33:33">
      <c r="AG6707" s="10"/>
    </row>
    <row r="6708" spans="33:33">
      <c r="AG6708" s="10"/>
    </row>
    <row r="6709" spans="33:33">
      <c r="AG6709" s="10"/>
    </row>
    <row r="6710" spans="33:33">
      <c r="AG6710" s="10"/>
    </row>
    <row r="6711" spans="33:33">
      <c r="AG6711" s="10"/>
    </row>
    <row r="6712" spans="33:33">
      <c r="AG6712" s="10"/>
    </row>
    <row r="6713" spans="33:33">
      <c r="AG6713" s="10"/>
    </row>
    <row r="6714" spans="33:33">
      <c r="AG6714" s="10"/>
    </row>
    <row r="6715" spans="33:33">
      <c r="AG6715" s="10"/>
    </row>
    <row r="6716" spans="33:33">
      <c r="AG6716" s="10"/>
    </row>
    <row r="6717" spans="33:33">
      <c r="AG6717" s="10"/>
    </row>
    <row r="6718" spans="33:33">
      <c r="AG6718" s="10"/>
    </row>
    <row r="6719" spans="33:33">
      <c r="AG6719" s="10"/>
    </row>
    <row r="6720" spans="33:33">
      <c r="AG6720" s="10"/>
    </row>
    <row r="6721" spans="33:33">
      <c r="AG6721" s="10"/>
    </row>
    <row r="6722" spans="33:33">
      <c r="AG6722" s="10"/>
    </row>
    <row r="6723" spans="33:33">
      <c r="AG6723" s="10"/>
    </row>
    <row r="6724" spans="33:33">
      <c r="AG6724" s="10"/>
    </row>
    <row r="6725" spans="33:33">
      <c r="AG6725" s="10"/>
    </row>
    <row r="6726" spans="33:33">
      <c r="AG6726" s="10"/>
    </row>
    <row r="6727" spans="33:33">
      <c r="AG6727" s="10"/>
    </row>
    <row r="6728" spans="33:33">
      <c r="AG6728" s="10"/>
    </row>
    <row r="6729" spans="33:33">
      <c r="AG6729" s="10"/>
    </row>
    <row r="6730" spans="33:33">
      <c r="AG6730" s="10"/>
    </row>
    <row r="6731" spans="33:33">
      <c r="AG6731" s="10"/>
    </row>
    <row r="6732" spans="33:33">
      <c r="AG6732" s="10"/>
    </row>
    <row r="6733" spans="33:33">
      <c r="AG6733" s="10"/>
    </row>
    <row r="6734" spans="33:33">
      <c r="AG6734" s="10"/>
    </row>
    <row r="6735" spans="33:33">
      <c r="AG6735" s="10"/>
    </row>
    <row r="6736" spans="33:33">
      <c r="AG6736" s="10"/>
    </row>
    <row r="6737" spans="33:33">
      <c r="AG6737" s="10"/>
    </row>
    <row r="6738" spans="33:33">
      <c r="AG6738" s="10"/>
    </row>
    <row r="6739" spans="33:33">
      <c r="AG6739" s="10"/>
    </row>
    <row r="6740" spans="33:33">
      <c r="AG6740" s="10"/>
    </row>
    <row r="6741" spans="33:33">
      <c r="AG6741" s="10"/>
    </row>
    <row r="6742" spans="33:33">
      <c r="AG6742" s="10"/>
    </row>
    <row r="6743" spans="33:33">
      <c r="AG6743" s="10"/>
    </row>
    <row r="6744" spans="33:33">
      <c r="AG6744" s="10"/>
    </row>
    <row r="6745" spans="33:33">
      <c r="AG6745" s="10"/>
    </row>
    <row r="6746" spans="33:33">
      <c r="AG6746" s="10"/>
    </row>
    <row r="6747" spans="33:33">
      <c r="AG6747" s="10"/>
    </row>
    <row r="6748" spans="33:33">
      <c r="AG6748" s="10"/>
    </row>
    <row r="6749" spans="33:33">
      <c r="AG6749" s="10"/>
    </row>
    <row r="6750" spans="33:33">
      <c r="AG6750" s="10"/>
    </row>
    <row r="6751" spans="33:33">
      <c r="AG6751" s="10"/>
    </row>
    <row r="6752" spans="33:33">
      <c r="AG6752" s="10"/>
    </row>
    <row r="6753" spans="33:33">
      <c r="AG6753" s="10"/>
    </row>
    <row r="6754" spans="33:33">
      <c r="AG6754" s="10"/>
    </row>
    <row r="6755" spans="33:33">
      <c r="AG6755" s="10"/>
    </row>
    <row r="6756" spans="33:33">
      <c r="AG6756" s="10"/>
    </row>
    <row r="6757" spans="33:33">
      <c r="AG6757" s="10"/>
    </row>
    <row r="6758" spans="33:33">
      <c r="AG6758" s="10"/>
    </row>
    <row r="6759" spans="33:33">
      <c r="AG6759" s="10"/>
    </row>
    <row r="6760" spans="33:33">
      <c r="AG6760" s="10"/>
    </row>
    <row r="6761" spans="33:33">
      <c r="AG6761" s="10"/>
    </row>
    <row r="6762" spans="33:33">
      <c r="AG6762" s="10"/>
    </row>
    <row r="6763" spans="33:33">
      <c r="AG6763" s="10"/>
    </row>
    <row r="6764" spans="33:33">
      <c r="AG6764" s="10"/>
    </row>
    <row r="6765" spans="33:33">
      <c r="AG6765" s="10"/>
    </row>
    <row r="6766" spans="33:33">
      <c r="AG6766" s="10"/>
    </row>
    <row r="6767" spans="33:33">
      <c r="AG6767" s="10"/>
    </row>
    <row r="6768" spans="33:33">
      <c r="AG6768" s="10"/>
    </row>
    <row r="6769" spans="33:33">
      <c r="AG6769" s="10"/>
    </row>
    <row r="6770" spans="33:33">
      <c r="AG6770" s="10"/>
    </row>
    <row r="6771" spans="33:33">
      <c r="AG6771" s="10"/>
    </row>
    <row r="6772" spans="33:33">
      <c r="AG6772" s="10"/>
    </row>
    <row r="6773" spans="33:33">
      <c r="AG6773" s="10"/>
    </row>
    <row r="6774" spans="33:33">
      <c r="AG6774" s="10"/>
    </row>
    <row r="6775" spans="33:33">
      <c r="AG6775" s="10"/>
    </row>
    <row r="6776" spans="33:33">
      <c r="AG6776" s="10"/>
    </row>
    <row r="6777" spans="33:33">
      <c r="AG6777" s="10"/>
    </row>
    <row r="6778" spans="33:33">
      <c r="AG6778" s="10"/>
    </row>
    <row r="6779" spans="33:33">
      <c r="AG6779" s="10"/>
    </row>
    <row r="6780" spans="33:33">
      <c r="AG6780" s="10"/>
    </row>
    <row r="6781" spans="33:33">
      <c r="AG6781" s="10"/>
    </row>
    <row r="6782" spans="33:33">
      <c r="AG6782" s="10"/>
    </row>
    <row r="6783" spans="33:33">
      <c r="AG6783" s="10"/>
    </row>
    <row r="6784" spans="33:33">
      <c r="AG6784" s="10"/>
    </row>
    <row r="6785" spans="33:33">
      <c r="AG6785" s="10"/>
    </row>
    <row r="6786" spans="33:33">
      <c r="AG6786" s="10"/>
    </row>
    <row r="6787" spans="33:33">
      <c r="AG6787" s="10"/>
    </row>
    <row r="6788" spans="33:33">
      <c r="AG6788" s="10"/>
    </row>
    <row r="6789" spans="33:33">
      <c r="AG6789" s="10"/>
    </row>
    <row r="6790" spans="33:33">
      <c r="AG6790" s="10"/>
    </row>
    <row r="6791" spans="33:33">
      <c r="AG6791" s="10"/>
    </row>
    <row r="6792" spans="33:33">
      <c r="AG6792" s="10"/>
    </row>
    <row r="6793" spans="33:33">
      <c r="AG6793" s="10"/>
    </row>
    <row r="6794" spans="33:33">
      <c r="AG6794" s="10"/>
    </row>
    <row r="6795" spans="33:33">
      <c r="AG6795" s="10"/>
    </row>
    <row r="6796" spans="33:33">
      <c r="AG6796" s="10"/>
    </row>
    <row r="6797" spans="33:33">
      <c r="AG6797" s="10"/>
    </row>
    <row r="6798" spans="33:33">
      <c r="AG6798" s="10"/>
    </row>
    <row r="6799" spans="33:33">
      <c r="AG6799" s="10"/>
    </row>
    <row r="6800" spans="33:33">
      <c r="AG6800" s="10"/>
    </row>
    <row r="6801" spans="33:33">
      <c r="AG6801" s="10"/>
    </row>
    <row r="6802" spans="33:33">
      <c r="AG6802" s="10"/>
    </row>
    <row r="6803" spans="33:33">
      <c r="AG6803" s="10"/>
    </row>
    <row r="6804" spans="33:33">
      <c r="AG6804" s="10"/>
    </row>
    <row r="6805" spans="33:33">
      <c r="AG6805" s="10"/>
    </row>
    <row r="6806" spans="33:33">
      <c r="AG6806" s="10"/>
    </row>
    <row r="6807" spans="33:33">
      <c r="AG6807" s="10"/>
    </row>
    <row r="6808" spans="33:33">
      <c r="AG6808" s="10"/>
    </row>
    <row r="6809" spans="33:33">
      <c r="AG6809" s="10"/>
    </row>
    <row r="6810" spans="33:33">
      <c r="AG6810" s="10"/>
    </row>
    <row r="6811" spans="33:33">
      <c r="AG6811" s="10"/>
    </row>
    <row r="6812" spans="33:33">
      <c r="AG6812" s="10"/>
    </row>
    <row r="6813" spans="33:33">
      <c r="AG6813" s="10"/>
    </row>
    <row r="6814" spans="33:33">
      <c r="AG6814" s="10"/>
    </row>
    <row r="6815" spans="33:33">
      <c r="AG6815" s="10"/>
    </row>
    <row r="6816" spans="33:33">
      <c r="AG6816" s="10"/>
    </row>
    <row r="6817" spans="33:33">
      <c r="AG6817" s="10"/>
    </row>
    <row r="6818" spans="33:33">
      <c r="AG6818" s="10"/>
    </row>
    <row r="6819" spans="33:33">
      <c r="AG6819" s="10"/>
    </row>
    <row r="6820" spans="33:33">
      <c r="AG6820" s="10"/>
    </row>
    <row r="6821" spans="33:33">
      <c r="AG6821" s="10"/>
    </row>
    <row r="6822" spans="33:33">
      <c r="AG6822" s="10"/>
    </row>
    <row r="6823" spans="33:33">
      <c r="AG6823" s="10"/>
    </row>
    <row r="6824" spans="33:33">
      <c r="AG6824" s="10"/>
    </row>
    <row r="6825" spans="33:33">
      <c r="AG6825" s="10"/>
    </row>
    <row r="6826" spans="33:33">
      <c r="AG6826" s="10"/>
    </row>
    <row r="6827" spans="33:33">
      <c r="AG6827" s="10"/>
    </row>
    <row r="6828" spans="33:33">
      <c r="AG6828" s="10"/>
    </row>
    <row r="6829" spans="33:33">
      <c r="AG6829" s="10"/>
    </row>
    <row r="6830" spans="33:33">
      <c r="AG6830" s="10"/>
    </row>
    <row r="6831" spans="33:33">
      <c r="AG6831" s="10"/>
    </row>
    <row r="6832" spans="33:33">
      <c r="AG6832" s="10"/>
    </row>
    <row r="6833" spans="33:33">
      <c r="AG6833" s="10"/>
    </row>
    <row r="6834" spans="33:33">
      <c r="AG6834" s="10"/>
    </row>
    <row r="6835" spans="33:33">
      <c r="AG6835" s="10"/>
    </row>
    <row r="6836" spans="33:33">
      <c r="AG6836" s="10"/>
    </row>
    <row r="6837" spans="33:33">
      <c r="AG6837" s="10"/>
    </row>
    <row r="6838" spans="33:33">
      <c r="AG6838" s="10"/>
    </row>
    <row r="6839" spans="33:33">
      <c r="AG6839" s="10"/>
    </row>
    <row r="6840" spans="33:33">
      <c r="AG6840" s="10"/>
    </row>
    <row r="6841" spans="33:33">
      <c r="AG6841" s="10"/>
    </row>
    <row r="6842" spans="33:33">
      <c r="AG6842" s="10"/>
    </row>
    <row r="6843" spans="33:33">
      <c r="AG6843" s="10"/>
    </row>
    <row r="6844" spans="33:33">
      <c r="AG6844" s="10"/>
    </row>
    <row r="6845" spans="33:33">
      <c r="AG6845" s="10"/>
    </row>
    <row r="6846" spans="33:33">
      <c r="AG6846" s="10"/>
    </row>
    <row r="6847" spans="33:33">
      <c r="AG6847" s="10"/>
    </row>
    <row r="6848" spans="33:33">
      <c r="AG6848" s="10"/>
    </row>
    <row r="6849" spans="33:33">
      <c r="AG6849" s="10"/>
    </row>
    <row r="6850" spans="33:33">
      <c r="AG6850" s="10"/>
    </row>
    <row r="6851" spans="33:33">
      <c r="AG6851" s="10"/>
    </row>
    <row r="6852" spans="33:33">
      <c r="AG6852" s="10"/>
    </row>
    <row r="6853" spans="33:33">
      <c r="AG6853" s="10"/>
    </row>
    <row r="6854" spans="33:33">
      <c r="AG6854" s="10"/>
    </row>
    <row r="6855" spans="33:33">
      <c r="AG6855" s="10"/>
    </row>
    <row r="6856" spans="33:33">
      <c r="AG6856" s="10"/>
    </row>
    <row r="6857" spans="33:33">
      <c r="AG6857" s="10"/>
    </row>
    <row r="6858" spans="33:33">
      <c r="AG6858" s="10"/>
    </row>
    <row r="6859" spans="33:33">
      <c r="AG6859" s="10"/>
    </row>
    <row r="6860" spans="33:33">
      <c r="AG6860" s="10"/>
    </row>
    <row r="6861" spans="33:33">
      <c r="AG6861" s="10"/>
    </row>
    <row r="6862" spans="33:33">
      <c r="AG6862" s="10"/>
    </row>
    <row r="6863" spans="33:33">
      <c r="AG6863" s="10"/>
    </row>
    <row r="6864" spans="33:33">
      <c r="AG6864" s="10"/>
    </row>
    <row r="6865" spans="33:33">
      <c r="AG6865" s="10"/>
    </row>
    <row r="6866" spans="33:33">
      <c r="AG6866" s="10"/>
    </row>
    <row r="6867" spans="33:33">
      <c r="AG6867" s="10"/>
    </row>
    <row r="6868" spans="33:33">
      <c r="AG6868" s="10"/>
    </row>
    <row r="6869" spans="33:33">
      <c r="AG6869" s="10"/>
    </row>
    <row r="6870" spans="33:33">
      <c r="AG6870" s="10"/>
    </row>
    <row r="6871" spans="33:33">
      <c r="AG6871" s="10"/>
    </row>
    <row r="6872" spans="33:33">
      <c r="AG6872" s="10"/>
    </row>
    <row r="6873" spans="33:33">
      <c r="AG6873" s="10"/>
    </row>
    <row r="6874" spans="33:33">
      <c r="AG6874" s="10"/>
    </row>
    <row r="6875" spans="33:33">
      <c r="AG6875" s="10"/>
    </row>
    <row r="6876" spans="33:33">
      <c r="AG6876" s="10"/>
    </row>
    <row r="6877" spans="33:33">
      <c r="AG6877" s="10"/>
    </row>
    <row r="6878" spans="33:33">
      <c r="AG6878" s="10"/>
    </row>
    <row r="6879" spans="33:33">
      <c r="AG6879" s="10"/>
    </row>
    <row r="6880" spans="33:33">
      <c r="AG6880" s="10"/>
    </row>
    <row r="6881" spans="33:33">
      <c r="AG6881" s="10"/>
    </row>
    <row r="6882" spans="33:33">
      <c r="AG6882" s="10"/>
    </row>
    <row r="6883" spans="33:33">
      <c r="AG6883" s="10"/>
    </row>
    <row r="6884" spans="33:33">
      <c r="AG6884" s="10"/>
    </row>
    <row r="6885" spans="33:33">
      <c r="AG6885" s="10"/>
    </row>
    <row r="6886" spans="33:33">
      <c r="AG6886" s="10"/>
    </row>
    <row r="6887" spans="33:33">
      <c r="AG6887" s="10"/>
    </row>
    <row r="6888" spans="33:33">
      <c r="AG6888" s="10"/>
    </row>
    <row r="6889" spans="33:33">
      <c r="AG6889" s="10"/>
    </row>
    <row r="6890" spans="33:33">
      <c r="AG6890" s="10"/>
    </row>
    <row r="6891" spans="33:33">
      <c r="AG6891" s="10"/>
    </row>
    <row r="6892" spans="33:33">
      <c r="AG6892" s="10"/>
    </row>
    <row r="6893" spans="33:33">
      <c r="AG6893" s="10"/>
    </row>
    <row r="6894" spans="33:33">
      <c r="AG6894" s="10"/>
    </row>
    <row r="6895" spans="33:33">
      <c r="AG6895" s="10"/>
    </row>
    <row r="6896" spans="33:33">
      <c r="AG6896" s="10"/>
    </row>
    <row r="6897" spans="33:33">
      <c r="AG6897" s="10"/>
    </row>
    <row r="6898" spans="33:33">
      <c r="AG6898" s="10"/>
    </row>
    <row r="6899" spans="33:33">
      <c r="AG6899" s="10"/>
    </row>
    <row r="6900" spans="33:33">
      <c r="AG6900" s="10"/>
    </row>
    <row r="6901" spans="33:33">
      <c r="AG6901" s="10"/>
    </row>
    <row r="6902" spans="33:33">
      <c r="AG6902" s="10"/>
    </row>
    <row r="6903" spans="33:33">
      <c r="AG6903" s="10"/>
    </row>
    <row r="6904" spans="33:33">
      <c r="AG6904" s="10"/>
    </row>
    <row r="6905" spans="33:33">
      <c r="AG6905" s="10"/>
    </row>
    <row r="6906" spans="33:33">
      <c r="AG6906" s="10"/>
    </row>
    <row r="6907" spans="33:33">
      <c r="AG6907" s="10"/>
    </row>
    <row r="6908" spans="33:33">
      <c r="AG6908" s="10"/>
    </row>
    <row r="6909" spans="33:33">
      <c r="AG6909" s="10"/>
    </row>
    <row r="6910" spans="33:33">
      <c r="AG6910" s="10"/>
    </row>
    <row r="6911" spans="33:33">
      <c r="AG6911" s="10"/>
    </row>
    <row r="6912" spans="33:33">
      <c r="AG6912" s="10"/>
    </row>
    <row r="6913" spans="33:33">
      <c r="AG6913" s="10"/>
    </row>
    <row r="6914" spans="33:33">
      <c r="AG6914" s="10"/>
    </row>
    <row r="6915" spans="33:33">
      <c r="AG6915" s="10"/>
    </row>
    <row r="6916" spans="33:33">
      <c r="AG6916" s="10"/>
    </row>
    <row r="6917" spans="33:33">
      <c r="AG6917" s="10"/>
    </row>
    <row r="6918" spans="33:33">
      <c r="AG6918" s="10"/>
    </row>
    <row r="6919" spans="33:33">
      <c r="AG6919" s="10"/>
    </row>
    <row r="6920" spans="33:33">
      <c r="AG6920" s="10"/>
    </row>
    <row r="6921" spans="33:33">
      <c r="AG6921" s="10"/>
    </row>
    <row r="6922" spans="33:33">
      <c r="AG6922" s="10"/>
    </row>
    <row r="6923" spans="33:33">
      <c r="AG6923" s="10"/>
    </row>
    <row r="6924" spans="33:33">
      <c r="AG6924" s="10"/>
    </row>
    <row r="6925" spans="33:33">
      <c r="AG6925" s="10"/>
    </row>
    <row r="6926" spans="33:33">
      <c r="AG6926" s="10"/>
    </row>
    <row r="6927" spans="33:33">
      <c r="AG6927" s="10"/>
    </row>
    <row r="6928" spans="33:33">
      <c r="AG6928" s="10"/>
    </row>
    <row r="6929" spans="33:33">
      <c r="AG6929" s="10"/>
    </row>
    <row r="6930" spans="33:33">
      <c r="AG6930" s="10"/>
    </row>
    <row r="6931" spans="33:33">
      <c r="AG6931" s="10"/>
    </row>
    <row r="6932" spans="33:33">
      <c r="AG6932" s="10"/>
    </row>
    <row r="6933" spans="33:33">
      <c r="AG6933" s="10"/>
    </row>
    <row r="6934" spans="33:33">
      <c r="AG6934" s="10"/>
    </row>
    <row r="6935" spans="33:33">
      <c r="AG6935" s="10"/>
    </row>
    <row r="6936" spans="33:33">
      <c r="AG6936" s="10"/>
    </row>
    <row r="6937" spans="33:33">
      <c r="AG6937" s="10"/>
    </row>
    <row r="6938" spans="33:33">
      <c r="AG6938" s="10"/>
    </row>
    <row r="6939" spans="33:33">
      <c r="AG6939" s="10"/>
    </row>
    <row r="6940" spans="33:33">
      <c r="AG6940" s="10"/>
    </row>
    <row r="6941" spans="33:33">
      <c r="AG6941" s="10"/>
    </row>
    <row r="6942" spans="33:33">
      <c r="AG6942" s="10"/>
    </row>
    <row r="6943" spans="33:33">
      <c r="AG6943" s="10"/>
    </row>
    <row r="6944" spans="33:33">
      <c r="AG6944" s="10"/>
    </row>
    <row r="6945" spans="33:33">
      <c r="AG6945" s="10"/>
    </row>
    <row r="6946" spans="33:33">
      <c r="AG6946" s="10"/>
    </row>
    <row r="6947" spans="33:33">
      <c r="AG6947" s="10"/>
    </row>
    <row r="6948" spans="33:33">
      <c r="AG6948" s="10"/>
    </row>
    <row r="6949" spans="33:33">
      <c r="AG6949" s="10"/>
    </row>
    <row r="6950" spans="33:33">
      <c r="AG6950" s="10"/>
    </row>
    <row r="6951" spans="33:33">
      <c r="AG6951" s="10"/>
    </row>
    <row r="6952" spans="33:33">
      <c r="AG6952" s="10"/>
    </row>
    <row r="6953" spans="33:33">
      <c r="AG6953" s="10"/>
    </row>
    <row r="6954" spans="33:33">
      <c r="AG6954" s="10"/>
    </row>
    <row r="6955" spans="33:33">
      <c r="AG6955" s="10"/>
    </row>
    <row r="6956" spans="33:33">
      <c r="AG6956" s="10"/>
    </row>
    <row r="6957" spans="33:33">
      <c r="AG6957" s="10"/>
    </row>
    <row r="6958" spans="33:33">
      <c r="AG6958" s="10"/>
    </row>
    <row r="6959" spans="33:33">
      <c r="AG6959" s="10"/>
    </row>
    <row r="6960" spans="33:33">
      <c r="AG6960" s="10"/>
    </row>
    <row r="6961" spans="33:33">
      <c r="AG6961" s="10"/>
    </row>
    <row r="6962" spans="33:33">
      <c r="AG6962" s="10"/>
    </row>
    <row r="6963" spans="33:33">
      <c r="AG6963" s="10"/>
    </row>
    <row r="6964" spans="33:33">
      <c r="AG6964" s="10"/>
    </row>
    <row r="6965" spans="33:33">
      <c r="AG6965" s="10"/>
    </row>
    <row r="6966" spans="33:33">
      <c r="AG6966" s="10"/>
    </row>
    <row r="6967" spans="33:33">
      <c r="AG6967" s="10"/>
    </row>
    <row r="6968" spans="33:33">
      <c r="AG6968" s="10"/>
    </row>
    <row r="6969" spans="33:33">
      <c r="AG6969" s="10"/>
    </row>
    <row r="6970" spans="33:33">
      <c r="AG6970" s="10"/>
    </row>
    <row r="6971" spans="33:33">
      <c r="AG6971" s="10"/>
    </row>
    <row r="6972" spans="33:33">
      <c r="AG6972" s="10"/>
    </row>
    <row r="6973" spans="33:33">
      <c r="AG6973" s="10"/>
    </row>
    <row r="6974" spans="33:33">
      <c r="AG6974" s="10"/>
    </row>
    <row r="6975" spans="33:33">
      <c r="AG6975" s="10"/>
    </row>
    <row r="6976" spans="33:33">
      <c r="AG6976" s="10"/>
    </row>
    <row r="6977" spans="33:33">
      <c r="AG6977" s="10"/>
    </row>
    <row r="6978" spans="33:33">
      <c r="AG6978" s="10"/>
    </row>
    <row r="6979" spans="33:33">
      <c r="AG6979" s="10"/>
    </row>
    <row r="6980" spans="33:33">
      <c r="AG6980" s="10"/>
    </row>
    <row r="6981" spans="33:33">
      <c r="AG6981" s="10"/>
    </row>
    <row r="6982" spans="33:33">
      <c r="AG6982" s="10"/>
    </row>
    <row r="6983" spans="33:33">
      <c r="AG6983" s="10"/>
    </row>
    <row r="6984" spans="33:33">
      <c r="AG6984" s="10"/>
    </row>
    <row r="6985" spans="33:33">
      <c r="AG6985" s="10"/>
    </row>
    <row r="6986" spans="33:33">
      <c r="AG6986" s="10"/>
    </row>
    <row r="6987" spans="33:33">
      <c r="AG6987" s="10"/>
    </row>
    <row r="6988" spans="33:33">
      <c r="AG6988" s="10"/>
    </row>
    <row r="6989" spans="33:33">
      <c r="AG6989" s="10"/>
    </row>
    <row r="6990" spans="33:33">
      <c r="AG6990" s="10"/>
    </row>
    <row r="6991" spans="33:33">
      <c r="AG6991" s="10"/>
    </row>
    <row r="6992" spans="33:33">
      <c r="AG6992" s="10"/>
    </row>
    <row r="6993" spans="33:33">
      <c r="AG6993" s="10"/>
    </row>
    <row r="6994" spans="33:33">
      <c r="AG6994" s="10"/>
    </row>
    <row r="6995" spans="33:33">
      <c r="AG6995" s="10"/>
    </row>
    <row r="6996" spans="33:33">
      <c r="AG6996" s="10"/>
    </row>
    <row r="6997" spans="33:33">
      <c r="AG6997" s="10"/>
    </row>
    <row r="6998" spans="33:33">
      <c r="AG6998" s="10"/>
    </row>
    <row r="6999" spans="33:33">
      <c r="AG6999" s="10"/>
    </row>
    <row r="7000" spans="33:33">
      <c r="AG7000" s="10"/>
    </row>
    <row r="7001" spans="33:33">
      <c r="AG7001" s="10"/>
    </row>
    <row r="7002" spans="33:33">
      <c r="AG7002" s="10"/>
    </row>
    <row r="7003" spans="33:33">
      <c r="AG7003" s="10"/>
    </row>
    <row r="7004" spans="33:33">
      <c r="AG7004" s="10"/>
    </row>
    <row r="7005" spans="33:33">
      <c r="AG7005" s="10"/>
    </row>
    <row r="7006" spans="33:33">
      <c r="AG7006" s="10"/>
    </row>
    <row r="7007" spans="33:33">
      <c r="AG7007" s="10"/>
    </row>
    <row r="7008" spans="33:33">
      <c r="AG7008" s="10"/>
    </row>
    <row r="7009" spans="33:33">
      <c r="AG7009" s="10"/>
    </row>
    <row r="7010" spans="33:33">
      <c r="AG7010" s="10"/>
    </row>
    <row r="7011" spans="33:33">
      <c r="AG7011" s="10"/>
    </row>
    <row r="7012" spans="33:33">
      <c r="AG7012" s="10"/>
    </row>
    <row r="7013" spans="33:33">
      <c r="AG7013" s="10"/>
    </row>
    <row r="7014" spans="33:33">
      <c r="AG7014" s="10"/>
    </row>
    <row r="7015" spans="33:33">
      <c r="AG7015" s="10"/>
    </row>
    <row r="7016" spans="33:33">
      <c r="AG7016" s="10"/>
    </row>
    <row r="7017" spans="33:33">
      <c r="AG7017" s="10"/>
    </row>
    <row r="7018" spans="33:33">
      <c r="AG7018" s="10"/>
    </row>
    <row r="7019" spans="33:33">
      <c r="AG7019" s="10"/>
    </row>
    <row r="7020" spans="33:33">
      <c r="AG7020" s="10"/>
    </row>
    <row r="7021" spans="33:33">
      <c r="AG7021" s="10"/>
    </row>
    <row r="7022" spans="33:33">
      <c r="AG7022" s="10"/>
    </row>
    <row r="7023" spans="33:33">
      <c r="AG7023" s="10"/>
    </row>
    <row r="7024" spans="33:33">
      <c r="AG7024" s="10"/>
    </row>
    <row r="7025" spans="33:33">
      <c r="AG7025" s="10"/>
    </row>
    <row r="7026" spans="33:33">
      <c r="AG7026" s="10"/>
    </row>
    <row r="7027" spans="33:33">
      <c r="AG7027" s="10"/>
    </row>
    <row r="7028" spans="33:33">
      <c r="AG7028" s="10"/>
    </row>
    <row r="7029" spans="33:33">
      <c r="AG7029" s="10"/>
    </row>
    <row r="7030" spans="33:33">
      <c r="AG7030" s="10"/>
    </row>
    <row r="7031" spans="33:33">
      <c r="AG7031" s="10"/>
    </row>
    <row r="7032" spans="33:33">
      <c r="AG7032" s="10"/>
    </row>
    <row r="7033" spans="33:33">
      <c r="AG7033" s="10"/>
    </row>
    <row r="7034" spans="33:33">
      <c r="AG7034" s="10"/>
    </row>
    <row r="7035" spans="33:33">
      <c r="AG7035" s="10"/>
    </row>
    <row r="7036" spans="33:33">
      <c r="AG7036" s="10"/>
    </row>
    <row r="7037" spans="33:33">
      <c r="AG7037" s="10"/>
    </row>
    <row r="7038" spans="33:33">
      <c r="AG7038" s="10"/>
    </row>
    <row r="7039" spans="33:33">
      <c r="AG7039" s="10"/>
    </row>
    <row r="7040" spans="33:33">
      <c r="AG7040" s="10"/>
    </row>
    <row r="7041" spans="33:33">
      <c r="AG7041" s="10"/>
    </row>
    <row r="7042" spans="33:33">
      <c r="AG7042" s="10"/>
    </row>
    <row r="7043" spans="33:33">
      <c r="AG7043" s="10"/>
    </row>
    <row r="7044" spans="33:33">
      <c r="AG7044" s="10"/>
    </row>
    <row r="7045" spans="33:33">
      <c r="AG7045" s="10"/>
    </row>
    <row r="7046" spans="33:33">
      <c r="AG7046" s="10"/>
    </row>
    <row r="7047" spans="33:33">
      <c r="AG7047" s="10"/>
    </row>
    <row r="7048" spans="33:33">
      <c r="AG7048" s="10"/>
    </row>
    <row r="7049" spans="33:33">
      <c r="AG7049" s="10"/>
    </row>
    <row r="7050" spans="33:33">
      <c r="AG7050" s="10"/>
    </row>
    <row r="7051" spans="33:33">
      <c r="AG7051" s="10"/>
    </row>
    <row r="7052" spans="33:33">
      <c r="AG7052" s="10"/>
    </row>
    <row r="7053" spans="33:33">
      <c r="AG7053" s="10"/>
    </row>
    <row r="7054" spans="33:33">
      <c r="AG7054" s="10"/>
    </row>
    <row r="7055" spans="33:33">
      <c r="AG7055" s="10"/>
    </row>
    <row r="7056" spans="33:33">
      <c r="AG7056" s="10"/>
    </row>
    <row r="7057" spans="33:33">
      <c r="AG7057" s="10"/>
    </row>
    <row r="7058" spans="33:33">
      <c r="AG7058" s="10"/>
    </row>
    <row r="7059" spans="33:33">
      <c r="AG7059" s="10"/>
    </row>
    <row r="7060" spans="33:33">
      <c r="AG7060" s="10"/>
    </row>
    <row r="7061" spans="33:33">
      <c r="AG7061" s="10"/>
    </row>
    <row r="7062" spans="33:33">
      <c r="AG7062" s="10"/>
    </row>
    <row r="7063" spans="33:33">
      <c r="AG7063" s="10"/>
    </row>
    <row r="7064" spans="33:33">
      <c r="AG7064" s="10"/>
    </row>
    <row r="7065" spans="33:33">
      <c r="AG7065" s="10"/>
    </row>
    <row r="7066" spans="33:33">
      <c r="AG7066" s="10"/>
    </row>
    <row r="7067" spans="33:33">
      <c r="AG7067" s="10"/>
    </row>
    <row r="7068" spans="33:33">
      <c r="AG7068" s="10"/>
    </row>
    <row r="7069" spans="33:33">
      <c r="AG7069" s="10"/>
    </row>
    <row r="7070" spans="33:33">
      <c r="AG7070" s="10"/>
    </row>
    <row r="7071" spans="33:33">
      <c r="AG7071" s="10"/>
    </row>
    <row r="7072" spans="33:33">
      <c r="AG7072" s="10"/>
    </row>
    <row r="7073" spans="33:33">
      <c r="AG7073" s="10"/>
    </row>
    <row r="7074" spans="33:33">
      <c r="AG7074" s="10"/>
    </row>
    <row r="7075" spans="33:33">
      <c r="AG7075" s="10"/>
    </row>
    <row r="7076" spans="33:33">
      <c r="AG7076" s="10"/>
    </row>
    <row r="7077" spans="33:33">
      <c r="AG7077" s="10"/>
    </row>
    <row r="7078" spans="33:33">
      <c r="AG7078" s="10"/>
    </row>
    <row r="7079" spans="33:33">
      <c r="AG7079" s="10"/>
    </row>
    <row r="7080" spans="33:33">
      <c r="AG7080" s="10"/>
    </row>
    <row r="7081" spans="33:33">
      <c r="AG7081" s="10"/>
    </row>
    <row r="7082" spans="33:33">
      <c r="AG7082" s="10"/>
    </row>
    <row r="7083" spans="33:33">
      <c r="AG7083" s="10"/>
    </row>
    <row r="7084" spans="33:33">
      <c r="AG7084" s="10"/>
    </row>
    <row r="7085" spans="33:33">
      <c r="AG7085" s="10"/>
    </row>
    <row r="7086" spans="33:33">
      <c r="AG7086" s="10"/>
    </row>
    <row r="7087" spans="33:33">
      <c r="AG7087" s="10"/>
    </row>
    <row r="7088" spans="33:33">
      <c r="AG7088" s="10"/>
    </row>
    <row r="7089" spans="33:33">
      <c r="AG7089" s="10"/>
    </row>
    <row r="7090" spans="33:33">
      <c r="AG7090" s="10"/>
    </row>
    <row r="7091" spans="33:33">
      <c r="AG7091" s="10"/>
    </row>
    <row r="7092" spans="33:33">
      <c r="AG7092" s="10"/>
    </row>
    <row r="7093" spans="33:33">
      <c r="AG7093" s="10"/>
    </row>
    <row r="7094" spans="33:33">
      <c r="AG7094" s="10"/>
    </row>
    <row r="7095" spans="33:33">
      <c r="AG7095" s="10"/>
    </row>
    <row r="7096" spans="33:33">
      <c r="AG7096" s="10"/>
    </row>
    <row r="7097" spans="33:33">
      <c r="AG7097" s="10"/>
    </row>
    <row r="7098" spans="33:33">
      <c r="AG7098" s="10"/>
    </row>
    <row r="7099" spans="33:33">
      <c r="AG7099" s="10"/>
    </row>
    <row r="7100" spans="33:33">
      <c r="AG7100" s="10"/>
    </row>
    <row r="7101" spans="33:33">
      <c r="AG7101" s="10"/>
    </row>
    <row r="7102" spans="33:33">
      <c r="AG7102" s="10"/>
    </row>
    <row r="7103" spans="33:33">
      <c r="AG7103" s="10"/>
    </row>
    <row r="7104" spans="33:33">
      <c r="AG7104" s="10"/>
    </row>
    <row r="7105" spans="33:33">
      <c r="AG7105" s="10"/>
    </row>
    <row r="7106" spans="33:33">
      <c r="AG7106" s="10"/>
    </row>
    <row r="7107" spans="33:33">
      <c r="AG7107" s="10"/>
    </row>
    <row r="7108" spans="33:33">
      <c r="AG7108" s="10"/>
    </row>
    <row r="7109" spans="33:33">
      <c r="AG7109" s="10"/>
    </row>
    <row r="7110" spans="33:33">
      <c r="AG7110" s="10"/>
    </row>
    <row r="7111" spans="33:33">
      <c r="AG7111" s="10"/>
    </row>
    <row r="7112" spans="33:33">
      <c r="AG7112" s="10"/>
    </row>
    <row r="7113" spans="33:33">
      <c r="AG7113" s="10"/>
    </row>
    <row r="7114" spans="33:33">
      <c r="AG7114" s="10"/>
    </row>
    <row r="7115" spans="33:33">
      <c r="AG7115" s="10"/>
    </row>
    <row r="7116" spans="33:33">
      <c r="AG7116" s="10"/>
    </row>
    <row r="7117" spans="33:33">
      <c r="AG7117" s="10"/>
    </row>
    <row r="7118" spans="33:33">
      <c r="AG7118" s="10"/>
    </row>
    <row r="7119" spans="33:33">
      <c r="AG7119" s="10"/>
    </row>
    <row r="7120" spans="33:33">
      <c r="AG7120" s="10"/>
    </row>
    <row r="7121" spans="33:33">
      <c r="AG7121" s="10"/>
    </row>
    <row r="7122" spans="33:33">
      <c r="AG7122" s="10"/>
    </row>
    <row r="7123" spans="33:33">
      <c r="AG7123" s="10"/>
    </row>
    <row r="7124" spans="33:33">
      <c r="AG7124" s="10"/>
    </row>
    <row r="7125" spans="33:33">
      <c r="AG7125" s="10"/>
    </row>
    <row r="7126" spans="33:33">
      <c r="AG7126" s="10"/>
    </row>
    <row r="7127" spans="33:33">
      <c r="AG7127" s="10"/>
    </row>
    <row r="7128" spans="33:33">
      <c r="AG7128" s="10"/>
    </row>
    <row r="7129" spans="33:33">
      <c r="AG7129" s="10"/>
    </row>
    <row r="7130" spans="33:33">
      <c r="AG7130" s="10"/>
    </row>
    <row r="7131" spans="33:33">
      <c r="AG7131" s="10"/>
    </row>
    <row r="7132" spans="33:33">
      <c r="AG7132" s="10"/>
    </row>
    <row r="7133" spans="33:33">
      <c r="AG7133" s="10"/>
    </row>
    <row r="7134" spans="33:33">
      <c r="AG7134" s="10"/>
    </row>
    <row r="7135" spans="33:33">
      <c r="AG7135" s="10"/>
    </row>
    <row r="7136" spans="33:33">
      <c r="AG7136" s="10"/>
    </row>
    <row r="7137" spans="33:33">
      <c r="AG7137" s="10"/>
    </row>
    <row r="7138" spans="33:33">
      <c r="AG7138" s="10"/>
    </row>
    <row r="7139" spans="33:33">
      <c r="AG7139" s="10"/>
    </row>
    <row r="7140" spans="33:33">
      <c r="AG7140" s="10"/>
    </row>
    <row r="7141" spans="33:33">
      <c r="AG7141" s="10"/>
    </row>
    <row r="7142" spans="33:33">
      <c r="AG7142" s="10"/>
    </row>
    <row r="7143" spans="33:33">
      <c r="AG7143" s="10"/>
    </row>
    <row r="7144" spans="33:33">
      <c r="AG7144" s="10"/>
    </row>
    <row r="7145" spans="33:33">
      <c r="AG7145" s="10"/>
    </row>
    <row r="7146" spans="33:33">
      <c r="AG7146" s="10"/>
    </row>
    <row r="7147" spans="33:33">
      <c r="AG7147" s="10"/>
    </row>
    <row r="7148" spans="33:33">
      <c r="AG7148" s="10"/>
    </row>
    <row r="7149" spans="33:33">
      <c r="AG7149" s="10"/>
    </row>
    <row r="7150" spans="33:33">
      <c r="AG7150" s="10"/>
    </row>
    <row r="7151" spans="33:33">
      <c r="AG7151" s="10"/>
    </row>
    <row r="7152" spans="33:33">
      <c r="AG7152" s="10"/>
    </row>
    <row r="7153" spans="33:33">
      <c r="AG7153" s="10"/>
    </row>
    <row r="7154" spans="33:33">
      <c r="AG7154" s="10"/>
    </row>
    <row r="7155" spans="33:33">
      <c r="AG7155" s="10"/>
    </row>
    <row r="7156" spans="33:33">
      <c r="AG7156" s="10"/>
    </row>
    <row r="7157" spans="33:33">
      <c r="AG7157" s="10"/>
    </row>
    <row r="7158" spans="33:33">
      <c r="AG7158" s="10"/>
    </row>
    <row r="7159" spans="33:33">
      <c r="AG7159" s="10"/>
    </row>
    <row r="7160" spans="33:33">
      <c r="AG7160" s="10"/>
    </row>
    <row r="7161" spans="33:33">
      <c r="AG7161" s="10"/>
    </row>
    <row r="7162" spans="33:33">
      <c r="AG7162" s="10"/>
    </row>
    <row r="7163" spans="33:33">
      <c r="AG7163" s="10"/>
    </row>
    <row r="7164" spans="33:33">
      <c r="AG7164" s="10"/>
    </row>
    <row r="7165" spans="33:33">
      <c r="AG7165" s="10"/>
    </row>
    <row r="7166" spans="33:33">
      <c r="AG7166" s="10"/>
    </row>
    <row r="7167" spans="33:33">
      <c r="AG7167" s="10"/>
    </row>
    <row r="7168" spans="33:33">
      <c r="AG7168" s="10"/>
    </row>
    <row r="7169" spans="33:33">
      <c r="AG7169" s="10"/>
    </row>
    <row r="7170" spans="33:33">
      <c r="AG7170" s="10"/>
    </row>
    <row r="7171" spans="33:33">
      <c r="AG7171" s="10"/>
    </row>
    <row r="7172" spans="33:33">
      <c r="AG7172" s="10"/>
    </row>
    <row r="7173" spans="33:33">
      <c r="AG7173" s="10"/>
    </row>
    <row r="7174" spans="33:33">
      <c r="AG7174" s="10"/>
    </row>
    <row r="7175" spans="33:33">
      <c r="AG7175" s="10"/>
    </row>
    <row r="7176" spans="33:33">
      <c r="AG7176" s="10"/>
    </row>
    <row r="7177" spans="33:33">
      <c r="AG7177" s="10"/>
    </row>
    <row r="7178" spans="33:33">
      <c r="AG7178" s="10"/>
    </row>
    <row r="7179" spans="33:33">
      <c r="AG7179" s="10"/>
    </row>
    <row r="7180" spans="33:33">
      <c r="AG7180" s="10"/>
    </row>
    <row r="7181" spans="33:33">
      <c r="AG7181" s="10"/>
    </row>
    <row r="7182" spans="33:33">
      <c r="AG7182" s="10"/>
    </row>
    <row r="7183" spans="33:33">
      <c r="AG7183" s="10"/>
    </row>
    <row r="7184" spans="33:33">
      <c r="AG7184" s="10"/>
    </row>
    <row r="7185" spans="33:33">
      <c r="AG7185" s="10"/>
    </row>
    <row r="7186" spans="33:33">
      <c r="AG7186" s="10"/>
    </row>
    <row r="7187" spans="33:33">
      <c r="AG7187" s="10"/>
    </row>
    <row r="7188" spans="33:33">
      <c r="AG7188" s="10"/>
    </row>
    <row r="7189" spans="33:33">
      <c r="AG7189" s="10"/>
    </row>
    <row r="7190" spans="33:33">
      <c r="AG7190" s="10"/>
    </row>
    <row r="7191" spans="33:33">
      <c r="AG7191" s="10"/>
    </row>
    <row r="7192" spans="33:33">
      <c r="AG7192" s="10"/>
    </row>
    <row r="7193" spans="33:33">
      <c r="AG7193" s="10"/>
    </row>
    <row r="7194" spans="33:33">
      <c r="AG7194" s="10"/>
    </row>
    <row r="7195" spans="33:33">
      <c r="AG7195" s="10"/>
    </row>
    <row r="7196" spans="33:33">
      <c r="AG7196" s="10"/>
    </row>
    <row r="7197" spans="33:33">
      <c r="AG7197" s="10"/>
    </row>
    <row r="7198" spans="33:33">
      <c r="AG7198" s="10"/>
    </row>
    <row r="7199" spans="33:33">
      <c r="AG7199" s="10"/>
    </row>
    <row r="7200" spans="33:33">
      <c r="AG7200" s="10"/>
    </row>
    <row r="7201" spans="33:33">
      <c r="AG7201" s="10"/>
    </row>
    <row r="7202" spans="33:33">
      <c r="AG7202" s="10"/>
    </row>
    <row r="7203" spans="33:33">
      <c r="AG7203" s="10"/>
    </row>
    <row r="7204" spans="33:33">
      <c r="AG7204" s="10"/>
    </row>
    <row r="7205" spans="33:33">
      <c r="AG7205" s="10"/>
    </row>
    <row r="7206" spans="33:33">
      <c r="AG7206" s="10"/>
    </row>
    <row r="7207" spans="33:33">
      <c r="AG7207" s="10"/>
    </row>
    <row r="7208" spans="33:33">
      <c r="AG7208" s="10"/>
    </row>
    <row r="7209" spans="33:33">
      <c r="AG7209" s="10"/>
    </row>
    <row r="7210" spans="33:33">
      <c r="AG7210" s="10"/>
    </row>
    <row r="7211" spans="33:33">
      <c r="AG7211" s="10"/>
    </row>
    <row r="7212" spans="33:33">
      <c r="AG7212" s="10"/>
    </row>
    <row r="7213" spans="33:33">
      <c r="AG7213" s="10"/>
    </row>
    <row r="7214" spans="33:33">
      <c r="AG7214" s="10"/>
    </row>
    <row r="7215" spans="33:33">
      <c r="AG7215" s="10"/>
    </row>
    <row r="7216" spans="33:33">
      <c r="AG7216" s="10"/>
    </row>
    <row r="7217" spans="33:33">
      <c r="AG7217" s="10"/>
    </row>
    <row r="7218" spans="33:33">
      <c r="AG7218" s="10"/>
    </row>
    <row r="7219" spans="33:33">
      <c r="AG7219" s="10"/>
    </row>
    <row r="7220" spans="33:33">
      <c r="AG7220" s="10"/>
    </row>
    <row r="7221" spans="33:33">
      <c r="AG7221" s="10"/>
    </row>
    <row r="7222" spans="33:33">
      <c r="AG7222" s="10"/>
    </row>
    <row r="7223" spans="33:33">
      <c r="AG7223" s="10"/>
    </row>
    <row r="7224" spans="33:33">
      <c r="AG7224" s="10"/>
    </row>
    <row r="7225" spans="33:33">
      <c r="AG7225" s="10"/>
    </row>
    <row r="7226" spans="33:33">
      <c r="AG7226" s="10"/>
    </row>
    <row r="7227" spans="33:33">
      <c r="AG7227" s="10"/>
    </row>
    <row r="7228" spans="33:33">
      <c r="AG7228" s="10"/>
    </row>
    <row r="7229" spans="33:33">
      <c r="AG7229" s="10"/>
    </row>
    <row r="7230" spans="33:33">
      <c r="AG7230" s="10"/>
    </row>
    <row r="7231" spans="33:33">
      <c r="AG7231" s="10"/>
    </row>
    <row r="7232" spans="33:33">
      <c r="AG7232" s="10"/>
    </row>
    <row r="7233" spans="33:33">
      <c r="AG7233" s="10"/>
    </row>
    <row r="7234" spans="33:33">
      <c r="AG7234" s="10"/>
    </row>
    <row r="7235" spans="33:33">
      <c r="AG7235" s="10"/>
    </row>
    <row r="7236" spans="33:33">
      <c r="AG7236" s="10"/>
    </row>
    <row r="7237" spans="33:33">
      <c r="AG7237" s="10"/>
    </row>
    <row r="7238" spans="33:33">
      <c r="AG7238" s="10"/>
    </row>
    <row r="7239" spans="33:33">
      <c r="AG7239" s="10"/>
    </row>
    <row r="7240" spans="33:33">
      <c r="AG7240" s="10"/>
    </row>
    <row r="7241" spans="33:33">
      <c r="AG7241" s="10"/>
    </row>
    <row r="7242" spans="33:33">
      <c r="AG7242" s="10"/>
    </row>
    <row r="7243" spans="33:33">
      <c r="AG7243" s="10"/>
    </row>
    <row r="7244" spans="33:33">
      <c r="AG7244" s="10"/>
    </row>
    <row r="7245" spans="33:33">
      <c r="AG7245" s="10"/>
    </row>
    <row r="7246" spans="33:33">
      <c r="AG7246" s="10"/>
    </row>
    <row r="7247" spans="33:33">
      <c r="AG7247" s="10"/>
    </row>
    <row r="7248" spans="33:33">
      <c r="AG7248" s="10"/>
    </row>
    <row r="7249" spans="33:33">
      <c r="AG7249" s="10"/>
    </row>
    <row r="7250" spans="33:33">
      <c r="AG7250" s="10"/>
    </row>
    <row r="7251" spans="33:33">
      <c r="AG7251" s="10"/>
    </row>
    <row r="7252" spans="33:33">
      <c r="AG7252" s="10"/>
    </row>
    <row r="7253" spans="33:33">
      <c r="AG7253" s="10"/>
    </row>
    <row r="7254" spans="33:33">
      <c r="AG7254" s="10"/>
    </row>
    <row r="7255" spans="33:33">
      <c r="AG7255" s="10"/>
    </row>
    <row r="7256" spans="33:33">
      <c r="AG7256" s="10"/>
    </row>
    <row r="7257" spans="33:33">
      <c r="AG7257" s="10"/>
    </row>
    <row r="7258" spans="33:33">
      <c r="AG7258" s="10"/>
    </row>
    <row r="7259" spans="33:33">
      <c r="AG7259" s="10"/>
    </row>
    <row r="7260" spans="33:33">
      <c r="AG7260" s="10"/>
    </row>
    <row r="7261" spans="33:33">
      <c r="AG7261" s="10"/>
    </row>
    <row r="7262" spans="33:33">
      <c r="AG7262" s="10"/>
    </row>
    <row r="7263" spans="33:33">
      <c r="AG7263" s="10"/>
    </row>
    <row r="7264" spans="33:33">
      <c r="AG7264" s="10"/>
    </row>
    <row r="7265" spans="33:33">
      <c r="AG7265" s="10"/>
    </row>
    <row r="7266" spans="33:33">
      <c r="AG7266" s="10"/>
    </row>
    <row r="7267" spans="33:33">
      <c r="AG7267" s="10"/>
    </row>
    <row r="7268" spans="33:33">
      <c r="AG7268" s="10"/>
    </row>
    <row r="7269" spans="33:33">
      <c r="AG7269" s="10"/>
    </row>
    <row r="7270" spans="33:33">
      <c r="AG7270" s="10"/>
    </row>
    <row r="7271" spans="33:33">
      <c r="AG7271" s="10"/>
    </row>
    <row r="7272" spans="33:33">
      <c r="AG7272" s="10"/>
    </row>
    <row r="7273" spans="33:33">
      <c r="AG7273" s="10"/>
    </row>
    <row r="7274" spans="33:33">
      <c r="AG7274" s="10"/>
    </row>
    <row r="7275" spans="33:33">
      <c r="AG7275" s="10"/>
    </row>
    <row r="7276" spans="33:33">
      <c r="AG7276" s="10"/>
    </row>
    <row r="7277" spans="33:33">
      <c r="AG7277" s="10"/>
    </row>
    <row r="7278" spans="33:33">
      <c r="AG7278" s="10"/>
    </row>
    <row r="7279" spans="33:33">
      <c r="AG7279" s="10"/>
    </row>
    <row r="7280" spans="33:33">
      <c r="AG7280" s="10"/>
    </row>
    <row r="7281" spans="33:33">
      <c r="AG7281" s="10"/>
    </row>
    <row r="7282" spans="33:33">
      <c r="AG7282" s="10"/>
    </row>
    <row r="7283" spans="33:33">
      <c r="AG7283" s="10"/>
    </row>
    <row r="7284" spans="33:33">
      <c r="AG7284" s="10"/>
    </row>
    <row r="7285" spans="33:33">
      <c r="AG7285" s="10"/>
    </row>
    <row r="7286" spans="33:33">
      <c r="AG7286" s="10"/>
    </row>
    <row r="7287" spans="33:33">
      <c r="AG7287" s="10"/>
    </row>
    <row r="7288" spans="33:33">
      <c r="AG7288" s="10"/>
    </row>
    <row r="7289" spans="33:33">
      <c r="AG7289" s="10"/>
    </row>
    <row r="7290" spans="33:33">
      <c r="AG7290" s="10"/>
    </row>
    <row r="7291" spans="33:33">
      <c r="AG7291" s="10"/>
    </row>
    <row r="7292" spans="33:33">
      <c r="AG7292" s="10"/>
    </row>
    <row r="7293" spans="33:33">
      <c r="AG7293" s="10"/>
    </row>
    <row r="7294" spans="33:33">
      <c r="AG7294" s="10"/>
    </row>
    <row r="7295" spans="33:33">
      <c r="AG7295" s="10"/>
    </row>
    <row r="7296" spans="33:33">
      <c r="AG7296" s="10"/>
    </row>
    <row r="7297" spans="33:33">
      <c r="AG7297" s="10"/>
    </row>
    <row r="7298" spans="33:33">
      <c r="AG7298" s="10"/>
    </row>
    <row r="7299" spans="33:33">
      <c r="AG7299" s="10"/>
    </row>
    <row r="7300" spans="33:33">
      <c r="AG7300" s="10"/>
    </row>
    <row r="7301" spans="33:33">
      <c r="AG7301" s="10"/>
    </row>
    <row r="7302" spans="33:33">
      <c r="AG7302" s="10"/>
    </row>
    <row r="7303" spans="33:33">
      <c r="AG7303" s="10"/>
    </row>
    <row r="7304" spans="33:33">
      <c r="AG7304" s="10"/>
    </row>
    <row r="7305" spans="33:33">
      <c r="AG7305" s="10"/>
    </row>
    <row r="7306" spans="33:33">
      <c r="AG7306" s="10"/>
    </row>
    <row r="7307" spans="33:33">
      <c r="AG7307" s="10"/>
    </row>
    <row r="7308" spans="33:33">
      <c r="AG7308" s="10"/>
    </row>
    <row r="7309" spans="33:33">
      <c r="AG7309" s="10"/>
    </row>
    <row r="7310" spans="33:33">
      <c r="AG7310" s="10"/>
    </row>
    <row r="7311" spans="33:33">
      <c r="AG7311" s="10"/>
    </row>
    <row r="7312" spans="33:33">
      <c r="AG7312" s="10"/>
    </row>
    <row r="7313" spans="33:33">
      <c r="AG7313" s="10"/>
    </row>
    <row r="7314" spans="33:33">
      <c r="AG7314" s="10"/>
    </row>
    <row r="7315" spans="33:33">
      <c r="AG7315" s="10"/>
    </row>
    <row r="7316" spans="33:33">
      <c r="AG7316" s="10"/>
    </row>
    <row r="7317" spans="33:33">
      <c r="AG7317" s="10"/>
    </row>
    <row r="7318" spans="33:33">
      <c r="AG7318" s="10"/>
    </row>
    <row r="7319" spans="33:33">
      <c r="AG7319" s="10"/>
    </row>
    <row r="7320" spans="33:33">
      <c r="AG7320" s="10"/>
    </row>
    <row r="7321" spans="33:33">
      <c r="AG7321" s="10"/>
    </row>
    <row r="7322" spans="33:33">
      <c r="AG7322" s="10"/>
    </row>
    <row r="7323" spans="33:33">
      <c r="AG7323" s="10"/>
    </row>
    <row r="7324" spans="33:33">
      <c r="AG7324" s="10"/>
    </row>
    <row r="7325" spans="33:33">
      <c r="AG7325" s="10"/>
    </row>
    <row r="7326" spans="33:33">
      <c r="AG7326" s="10"/>
    </row>
    <row r="7327" spans="33:33">
      <c r="AG7327" s="10"/>
    </row>
    <row r="7328" spans="33:33">
      <c r="AG7328" s="10"/>
    </row>
    <row r="7329" spans="33:33">
      <c r="AG7329" s="10"/>
    </row>
    <row r="7330" spans="33:33">
      <c r="AG7330" s="10"/>
    </row>
    <row r="7331" spans="33:33">
      <c r="AG7331" s="10"/>
    </row>
    <row r="7332" spans="33:33">
      <c r="AG7332" s="10"/>
    </row>
    <row r="7333" spans="33:33">
      <c r="AG7333" s="10"/>
    </row>
    <row r="7334" spans="33:33">
      <c r="AG7334" s="10"/>
    </row>
    <row r="7335" spans="33:33">
      <c r="AG7335" s="10"/>
    </row>
    <row r="7336" spans="33:33">
      <c r="AG7336" s="10"/>
    </row>
    <row r="7337" spans="33:33">
      <c r="AG7337" s="10"/>
    </row>
    <row r="7338" spans="33:33">
      <c r="AG7338" s="10"/>
    </row>
    <row r="7339" spans="33:33">
      <c r="AG7339" s="10"/>
    </row>
    <row r="7340" spans="33:33">
      <c r="AG7340" s="10"/>
    </row>
    <row r="7341" spans="33:33">
      <c r="AG7341" s="10"/>
    </row>
    <row r="7342" spans="33:33">
      <c r="AG7342" s="10"/>
    </row>
    <row r="7343" spans="33:33">
      <c r="AG7343" s="10"/>
    </row>
    <row r="7344" spans="33:33">
      <c r="AG7344" s="10"/>
    </row>
    <row r="7345" spans="33:33">
      <c r="AG7345" s="10"/>
    </row>
    <row r="7346" spans="33:33">
      <c r="AG7346" s="10"/>
    </row>
    <row r="7347" spans="33:33">
      <c r="AG7347" s="10"/>
    </row>
    <row r="7348" spans="33:33">
      <c r="AG7348" s="10"/>
    </row>
    <row r="7349" spans="33:33">
      <c r="AG7349" s="10"/>
    </row>
    <row r="7350" spans="33:33">
      <c r="AG7350" s="10"/>
    </row>
    <row r="7351" spans="33:33">
      <c r="AG7351" s="10"/>
    </row>
    <row r="7352" spans="33:33">
      <c r="AG7352" s="10"/>
    </row>
    <row r="7353" spans="33:33">
      <c r="AG7353" s="10"/>
    </row>
    <row r="7354" spans="33:33">
      <c r="AG7354" s="10"/>
    </row>
    <row r="7355" spans="33:33">
      <c r="AG7355" s="10"/>
    </row>
    <row r="7356" spans="33:33">
      <c r="AG7356" s="10"/>
    </row>
    <row r="7357" spans="33:33">
      <c r="AG7357" s="10"/>
    </row>
    <row r="7358" spans="33:33">
      <c r="AG7358" s="10"/>
    </row>
    <row r="7359" spans="33:33">
      <c r="AG7359" s="10"/>
    </row>
    <row r="7360" spans="33:33">
      <c r="AG7360" s="10"/>
    </row>
    <row r="7361" spans="33:33">
      <c r="AG7361" s="10"/>
    </row>
    <row r="7362" spans="33:33">
      <c r="AG7362" s="10"/>
    </row>
    <row r="7363" spans="33:33">
      <c r="AG7363" s="10"/>
    </row>
    <row r="7364" spans="33:33">
      <c r="AG7364" s="10"/>
    </row>
    <row r="7365" spans="33:33">
      <c r="AG7365" s="10"/>
    </row>
    <row r="7366" spans="33:33">
      <c r="AG7366" s="10"/>
    </row>
    <row r="7367" spans="33:33">
      <c r="AG7367" s="10"/>
    </row>
    <row r="7368" spans="33:33">
      <c r="AG7368" s="10"/>
    </row>
    <row r="7369" spans="33:33">
      <c r="AG7369" s="10"/>
    </row>
    <row r="7370" spans="33:33">
      <c r="AG7370" s="10"/>
    </row>
    <row r="7371" spans="33:33">
      <c r="AG7371" s="10"/>
    </row>
    <row r="7372" spans="33:33">
      <c r="AG7372" s="10"/>
    </row>
    <row r="7373" spans="33:33">
      <c r="AG7373" s="10"/>
    </row>
    <row r="7374" spans="33:33">
      <c r="AG7374" s="10"/>
    </row>
    <row r="7375" spans="33:33">
      <c r="AG7375" s="10"/>
    </row>
    <row r="7376" spans="33:33">
      <c r="AG7376" s="10"/>
    </row>
    <row r="7377" spans="33:33">
      <c r="AG7377" s="10"/>
    </row>
    <row r="7378" spans="33:33">
      <c r="AG7378" s="10"/>
    </row>
    <row r="7379" spans="33:33">
      <c r="AG7379" s="10"/>
    </row>
    <row r="7380" spans="33:33">
      <c r="AG7380" s="10"/>
    </row>
    <row r="7381" spans="33:33">
      <c r="AG7381" s="10"/>
    </row>
    <row r="7382" spans="33:33">
      <c r="AG7382" s="10"/>
    </row>
    <row r="7383" spans="33:33">
      <c r="AG7383" s="10"/>
    </row>
    <row r="7384" spans="33:33">
      <c r="AG7384" s="10"/>
    </row>
    <row r="7385" spans="33:33">
      <c r="AG7385" s="10"/>
    </row>
    <row r="7386" spans="33:33">
      <c r="AG7386" s="10"/>
    </row>
    <row r="7387" spans="33:33">
      <c r="AG7387" s="10"/>
    </row>
    <row r="7388" spans="33:33">
      <c r="AG7388" s="10"/>
    </row>
    <row r="7389" spans="33:33">
      <c r="AG7389" s="10"/>
    </row>
    <row r="7390" spans="33:33">
      <c r="AG7390" s="10"/>
    </row>
    <row r="7391" spans="33:33">
      <c r="AG7391" s="10"/>
    </row>
    <row r="7392" spans="33:33">
      <c r="AG7392" s="10"/>
    </row>
    <row r="7393" spans="33:33">
      <c r="AG7393" s="10"/>
    </row>
    <row r="7394" spans="33:33">
      <c r="AG7394" s="10"/>
    </row>
    <row r="7395" spans="33:33">
      <c r="AG7395" s="10"/>
    </row>
    <row r="7396" spans="33:33">
      <c r="AG7396" s="10"/>
    </row>
    <row r="7397" spans="33:33">
      <c r="AG7397" s="10"/>
    </row>
    <row r="7398" spans="33:33">
      <c r="AG7398" s="10"/>
    </row>
    <row r="7399" spans="33:33">
      <c r="AG7399" s="10"/>
    </row>
    <row r="7400" spans="33:33">
      <c r="AG7400" s="10"/>
    </row>
    <row r="7401" spans="33:33">
      <c r="AG7401" s="10"/>
    </row>
    <row r="7402" spans="33:33">
      <c r="AG7402" s="10"/>
    </row>
    <row r="7403" spans="33:33">
      <c r="AG7403" s="10"/>
    </row>
    <row r="7404" spans="33:33">
      <c r="AG7404" s="10"/>
    </row>
    <row r="7405" spans="33:33">
      <c r="AG7405" s="10"/>
    </row>
    <row r="7406" spans="33:33">
      <c r="AG7406" s="10"/>
    </row>
    <row r="7407" spans="33:33">
      <c r="AG7407" s="10"/>
    </row>
    <row r="7408" spans="33:33">
      <c r="AG7408" s="10"/>
    </row>
    <row r="7409" spans="33:33">
      <c r="AG7409" s="10"/>
    </row>
    <row r="7410" spans="33:33">
      <c r="AG7410" s="10"/>
    </row>
    <row r="7411" spans="33:33">
      <c r="AG7411" s="10"/>
    </row>
    <row r="7412" spans="33:33">
      <c r="AG7412" s="10"/>
    </row>
    <row r="7413" spans="33:33">
      <c r="AG7413" s="10"/>
    </row>
    <row r="7414" spans="33:33">
      <c r="AG7414" s="10"/>
    </row>
    <row r="7415" spans="33:33">
      <c r="AG7415" s="10"/>
    </row>
    <row r="7416" spans="33:33">
      <c r="AG7416" s="10"/>
    </row>
    <row r="7417" spans="33:33">
      <c r="AG7417" s="10"/>
    </row>
    <row r="7418" spans="33:33">
      <c r="AG7418" s="10"/>
    </row>
    <row r="7419" spans="33:33">
      <c r="AG7419" s="10"/>
    </row>
    <row r="7420" spans="33:33">
      <c r="AG7420" s="10"/>
    </row>
    <row r="7421" spans="33:33">
      <c r="AG7421" s="10"/>
    </row>
    <row r="7422" spans="33:33">
      <c r="AG7422" s="10"/>
    </row>
    <row r="7423" spans="33:33">
      <c r="AG7423" s="10"/>
    </row>
    <row r="7424" spans="33:33">
      <c r="AG7424" s="10"/>
    </row>
    <row r="7425" spans="33:33">
      <c r="AG7425" s="10"/>
    </row>
    <row r="7426" spans="33:33">
      <c r="AG7426" s="10"/>
    </row>
    <row r="7427" spans="33:33">
      <c r="AG7427" s="10"/>
    </row>
    <row r="7428" spans="33:33">
      <c r="AG7428" s="10"/>
    </row>
    <row r="7429" spans="33:33">
      <c r="AG7429" s="10"/>
    </row>
    <row r="7430" spans="33:33">
      <c r="AG7430" s="10"/>
    </row>
    <row r="7431" spans="33:33">
      <c r="AG7431" s="10"/>
    </row>
    <row r="7432" spans="33:33">
      <c r="AG7432" s="10"/>
    </row>
    <row r="7433" spans="33:33">
      <c r="AG7433" s="10"/>
    </row>
    <row r="7434" spans="33:33">
      <c r="AG7434" s="10"/>
    </row>
    <row r="7435" spans="33:33">
      <c r="AG7435" s="10"/>
    </row>
    <row r="7436" spans="33:33">
      <c r="AG7436" s="10"/>
    </row>
    <row r="7437" spans="33:33">
      <c r="AG7437" s="10"/>
    </row>
    <row r="7438" spans="33:33">
      <c r="AG7438" s="10"/>
    </row>
    <row r="7439" spans="33:33">
      <c r="AG7439" s="10"/>
    </row>
    <row r="7440" spans="33:33">
      <c r="AG7440" s="10"/>
    </row>
    <row r="7441" spans="33:33">
      <c r="AG7441" s="10"/>
    </row>
    <row r="7442" spans="33:33">
      <c r="AG7442" s="10"/>
    </row>
    <row r="7443" spans="33:33">
      <c r="AG7443" s="10"/>
    </row>
    <row r="7444" spans="33:33">
      <c r="AG7444" s="10"/>
    </row>
    <row r="7445" spans="33:33">
      <c r="AG7445" s="10"/>
    </row>
    <row r="7446" spans="33:33">
      <c r="AG7446" s="10"/>
    </row>
    <row r="7447" spans="33:33">
      <c r="AG7447" s="10"/>
    </row>
    <row r="7448" spans="33:33">
      <c r="AG7448" s="10"/>
    </row>
    <row r="7449" spans="33:33">
      <c r="AG7449" s="10"/>
    </row>
    <row r="7450" spans="33:33">
      <c r="AG7450" s="10"/>
    </row>
    <row r="7451" spans="33:33">
      <c r="AG7451" s="10"/>
    </row>
    <row r="7452" spans="33:33">
      <c r="AG7452" s="10"/>
    </row>
    <row r="7453" spans="33:33">
      <c r="AG7453" s="10"/>
    </row>
    <row r="7454" spans="33:33">
      <c r="AG7454" s="10"/>
    </row>
    <row r="7455" spans="33:33">
      <c r="AG7455" s="10"/>
    </row>
    <row r="7456" spans="33:33">
      <c r="AG7456" s="10"/>
    </row>
    <row r="7457" spans="33:33">
      <c r="AG7457" s="10"/>
    </row>
    <row r="7458" spans="33:33">
      <c r="AG7458" s="10"/>
    </row>
    <row r="7459" spans="33:33">
      <c r="AG7459" s="10"/>
    </row>
    <row r="7460" spans="33:33">
      <c r="AG7460" s="10"/>
    </row>
    <row r="7461" spans="33:33">
      <c r="AG7461" s="10"/>
    </row>
    <row r="7462" spans="33:33">
      <c r="AG7462" s="10"/>
    </row>
    <row r="7463" spans="33:33">
      <c r="AG7463" s="10"/>
    </row>
    <row r="7464" spans="33:33">
      <c r="AG7464" s="10"/>
    </row>
    <row r="7465" spans="33:33">
      <c r="AG7465" s="10"/>
    </row>
    <row r="7466" spans="33:33">
      <c r="AG7466" s="10"/>
    </row>
    <row r="7467" spans="33:33">
      <c r="AG7467" s="10"/>
    </row>
    <row r="7468" spans="33:33">
      <c r="AG7468" s="10"/>
    </row>
    <row r="7469" spans="33:33">
      <c r="AG7469" s="10"/>
    </row>
    <row r="7470" spans="33:33">
      <c r="AG7470" s="10"/>
    </row>
    <row r="7471" spans="33:33">
      <c r="AG7471" s="10"/>
    </row>
    <row r="7472" spans="33:33">
      <c r="AG7472" s="10"/>
    </row>
    <row r="7473" spans="33:33">
      <c r="AG7473" s="10"/>
    </row>
    <row r="7474" spans="33:33">
      <c r="AG7474" s="10"/>
    </row>
    <row r="7475" spans="33:33">
      <c r="AG7475" s="10"/>
    </row>
    <row r="7476" spans="33:33">
      <c r="AG7476" s="10"/>
    </row>
    <row r="7477" spans="33:33">
      <c r="AG7477" s="10"/>
    </row>
    <row r="7478" spans="33:33">
      <c r="AG7478" s="10"/>
    </row>
    <row r="7479" spans="33:33">
      <c r="AG7479" s="10"/>
    </row>
    <row r="7480" spans="33:33">
      <c r="AG7480" s="10"/>
    </row>
    <row r="7481" spans="33:33">
      <c r="AG7481" s="10"/>
    </row>
    <row r="7482" spans="33:33">
      <c r="AG7482" s="10"/>
    </row>
    <row r="7483" spans="33:33">
      <c r="AG7483" s="10"/>
    </row>
    <row r="7484" spans="33:33">
      <c r="AG7484" s="10"/>
    </row>
    <row r="7485" spans="33:33">
      <c r="AG7485" s="10"/>
    </row>
    <row r="7486" spans="33:33">
      <c r="AG7486" s="10"/>
    </row>
    <row r="7487" spans="33:33">
      <c r="AG7487" s="10"/>
    </row>
    <row r="7488" spans="33:33">
      <c r="AG7488" s="10"/>
    </row>
    <row r="7489" spans="33:33">
      <c r="AG7489" s="10"/>
    </row>
    <row r="7490" spans="33:33">
      <c r="AG7490" s="10"/>
    </row>
    <row r="7491" spans="33:33">
      <c r="AG7491" s="10"/>
    </row>
    <row r="7492" spans="33:33">
      <c r="AG7492" s="10"/>
    </row>
    <row r="7493" spans="33:33">
      <c r="AG7493" s="10"/>
    </row>
    <row r="7494" spans="33:33">
      <c r="AG7494" s="10"/>
    </row>
    <row r="7495" spans="33:33">
      <c r="AG7495" s="10"/>
    </row>
    <row r="7496" spans="33:33">
      <c r="AG7496" s="10"/>
    </row>
    <row r="7497" spans="33:33">
      <c r="AG7497" s="10"/>
    </row>
    <row r="7498" spans="33:33">
      <c r="AG7498" s="10"/>
    </row>
    <row r="7499" spans="33:33">
      <c r="AG7499" s="10"/>
    </row>
    <row r="7500" spans="33:33">
      <c r="AG7500" s="10"/>
    </row>
    <row r="7501" spans="33:33">
      <c r="AG7501" s="10"/>
    </row>
    <row r="7502" spans="33:33">
      <c r="AG7502" s="10"/>
    </row>
    <row r="7503" spans="33:33">
      <c r="AG7503" s="10"/>
    </row>
    <row r="7504" spans="33:33">
      <c r="AG7504" s="10"/>
    </row>
    <row r="7505" spans="33:33">
      <c r="AG7505" s="10"/>
    </row>
    <row r="7506" spans="33:33">
      <c r="AG7506" s="10"/>
    </row>
    <row r="7507" spans="33:33">
      <c r="AG7507" s="10"/>
    </row>
    <row r="7508" spans="33:33">
      <c r="AG7508" s="10"/>
    </row>
    <row r="7509" spans="33:33">
      <c r="AG7509" s="10"/>
    </row>
    <row r="7510" spans="33:33">
      <c r="AG7510" s="10"/>
    </row>
    <row r="7511" spans="33:33">
      <c r="AG7511" s="10"/>
    </row>
    <row r="7512" spans="33:33">
      <c r="AG7512" s="10"/>
    </row>
    <row r="7513" spans="33:33">
      <c r="AG7513" s="10"/>
    </row>
    <row r="7514" spans="33:33">
      <c r="AG7514" s="10"/>
    </row>
    <row r="7515" spans="33:33">
      <c r="AG7515" s="10"/>
    </row>
    <row r="7516" spans="33:33">
      <c r="AG7516" s="10"/>
    </row>
    <row r="7517" spans="33:33">
      <c r="AG7517" s="10"/>
    </row>
    <row r="7518" spans="33:33">
      <c r="AG7518" s="10"/>
    </row>
    <row r="7519" spans="33:33">
      <c r="AG7519" s="10"/>
    </row>
    <row r="7520" spans="33:33">
      <c r="AG7520" s="10"/>
    </row>
    <row r="7521" spans="33:33">
      <c r="AG7521" s="10"/>
    </row>
    <row r="7522" spans="33:33">
      <c r="AG7522" s="10"/>
    </row>
    <row r="7523" spans="33:33">
      <c r="AG7523" s="10"/>
    </row>
    <row r="7524" spans="33:33">
      <c r="AG7524" s="10"/>
    </row>
    <row r="7525" spans="33:33">
      <c r="AG7525" s="10"/>
    </row>
    <row r="7526" spans="33:33">
      <c r="AG7526" s="10"/>
    </row>
    <row r="7527" spans="33:33">
      <c r="AG7527" s="10"/>
    </row>
    <row r="7528" spans="33:33">
      <c r="AG7528" s="10"/>
    </row>
    <row r="7529" spans="33:33">
      <c r="AG7529" s="10"/>
    </row>
    <row r="7530" spans="33:33">
      <c r="AG7530" s="10"/>
    </row>
    <row r="7531" spans="33:33">
      <c r="AG7531" s="10"/>
    </row>
    <row r="7532" spans="33:33">
      <c r="AG7532" s="10"/>
    </row>
    <row r="7533" spans="33:33">
      <c r="AG7533" s="10"/>
    </row>
    <row r="7534" spans="33:33">
      <c r="AG7534" s="10"/>
    </row>
    <row r="7535" spans="33:33">
      <c r="AG7535" s="10"/>
    </row>
    <row r="7536" spans="33:33">
      <c r="AG7536" s="10"/>
    </row>
    <row r="7537" spans="33:33">
      <c r="AG7537" s="10"/>
    </row>
    <row r="7538" spans="33:33">
      <c r="AG7538" s="10"/>
    </row>
    <row r="7539" spans="33:33">
      <c r="AG7539" s="10"/>
    </row>
    <row r="7540" spans="33:33">
      <c r="AG7540" s="10"/>
    </row>
    <row r="7541" spans="33:33">
      <c r="AG7541" s="10"/>
    </row>
    <row r="7542" spans="33:33">
      <c r="AG7542" s="10"/>
    </row>
    <row r="7543" spans="33:33">
      <c r="AG7543" s="10"/>
    </row>
    <row r="7544" spans="33:33">
      <c r="AG7544" s="10"/>
    </row>
    <row r="7545" spans="33:33">
      <c r="AG7545" s="10"/>
    </row>
    <row r="7546" spans="33:33">
      <c r="AG7546" s="10"/>
    </row>
    <row r="7547" spans="33:33">
      <c r="AG7547" s="10"/>
    </row>
    <row r="7548" spans="33:33">
      <c r="AG7548" s="10"/>
    </row>
    <row r="7549" spans="33:33">
      <c r="AG7549" s="10"/>
    </row>
    <row r="7550" spans="33:33">
      <c r="AG7550" s="10"/>
    </row>
    <row r="7551" spans="33:33">
      <c r="AG7551" s="10"/>
    </row>
    <row r="7552" spans="33:33">
      <c r="AG7552" s="10"/>
    </row>
    <row r="7553" spans="33:33">
      <c r="AG7553" s="10"/>
    </row>
    <row r="7554" spans="33:33">
      <c r="AG7554" s="10"/>
    </row>
    <row r="7555" spans="33:33">
      <c r="AG7555" s="10"/>
    </row>
    <row r="7556" spans="33:33">
      <c r="AG7556" s="10"/>
    </row>
    <row r="7557" spans="33:33">
      <c r="AG7557" s="10"/>
    </row>
    <row r="7558" spans="33:33">
      <c r="AG7558" s="10"/>
    </row>
    <row r="7559" spans="33:33">
      <c r="AG7559" s="10"/>
    </row>
    <row r="7560" spans="33:33">
      <c r="AG7560" s="10"/>
    </row>
    <row r="7561" spans="33:33">
      <c r="AG7561" s="10"/>
    </row>
    <row r="7562" spans="33:33">
      <c r="AG7562" s="10"/>
    </row>
    <row r="7563" spans="33:33">
      <c r="AG7563" s="10"/>
    </row>
    <row r="7564" spans="33:33">
      <c r="AG7564" s="10"/>
    </row>
    <row r="7565" spans="33:33">
      <c r="AG7565" s="10"/>
    </row>
    <row r="7566" spans="33:33">
      <c r="AG7566" s="10"/>
    </row>
    <row r="7567" spans="33:33">
      <c r="AG7567" s="10"/>
    </row>
    <row r="7568" spans="33:33">
      <c r="AG7568" s="10"/>
    </row>
    <row r="7569" spans="33:33">
      <c r="AG7569" s="10"/>
    </row>
    <row r="7570" spans="33:33">
      <c r="AG7570" s="10"/>
    </row>
    <row r="7571" spans="33:33">
      <c r="AG7571" s="10"/>
    </row>
    <row r="7572" spans="33:33">
      <c r="AG7572" s="10"/>
    </row>
    <row r="7573" spans="33:33">
      <c r="AG7573" s="10"/>
    </row>
    <row r="7574" spans="33:33">
      <c r="AG7574" s="10"/>
    </row>
    <row r="7575" spans="33:33">
      <c r="AG7575" s="10"/>
    </row>
    <row r="7576" spans="33:33">
      <c r="AG7576" s="10"/>
    </row>
    <row r="7577" spans="33:33">
      <c r="AG7577" s="10"/>
    </row>
    <row r="7578" spans="33:33">
      <c r="AG7578" s="10"/>
    </row>
    <row r="7579" spans="33:33">
      <c r="AG7579" s="10"/>
    </row>
    <row r="7580" spans="33:33">
      <c r="AG7580" s="10"/>
    </row>
    <row r="7581" spans="33:33">
      <c r="AG7581" s="10"/>
    </row>
    <row r="7582" spans="33:33">
      <c r="AG7582" s="10"/>
    </row>
    <row r="7583" spans="33:33">
      <c r="AG7583" s="10"/>
    </row>
    <row r="7584" spans="33:33">
      <c r="AG7584" s="10"/>
    </row>
    <row r="7585" spans="33:33">
      <c r="AG7585" s="10"/>
    </row>
    <row r="7586" spans="33:33">
      <c r="AG7586" s="10"/>
    </row>
    <row r="7587" spans="33:33">
      <c r="AG7587" s="10"/>
    </row>
    <row r="7588" spans="33:33">
      <c r="AG7588" s="10"/>
    </row>
    <row r="7589" spans="33:33">
      <c r="AG7589" s="10"/>
    </row>
    <row r="7590" spans="33:33">
      <c r="AG7590" s="10"/>
    </row>
    <row r="7591" spans="33:33">
      <c r="AG7591" s="10"/>
    </row>
    <row r="7592" spans="33:33">
      <c r="AG7592" s="10"/>
    </row>
    <row r="7593" spans="33:33">
      <c r="AG7593" s="10"/>
    </row>
    <row r="7594" spans="33:33">
      <c r="AG7594" s="10"/>
    </row>
    <row r="7595" spans="33:33">
      <c r="AG7595" s="10"/>
    </row>
    <row r="7596" spans="33:33">
      <c r="AG7596" s="10"/>
    </row>
    <row r="7597" spans="33:33">
      <c r="AG7597" s="10"/>
    </row>
    <row r="7598" spans="33:33">
      <c r="AG7598" s="10"/>
    </row>
    <row r="7599" spans="33:33">
      <c r="AG7599" s="10"/>
    </row>
    <row r="7600" spans="33:33">
      <c r="AG7600" s="10"/>
    </row>
    <row r="7601" spans="33:33">
      <c r="AG7601" s="10"/>
    </row>
    <row r="7602" spans="33:33">
      <c r="AG7602" s="10"/>
    </row>
    <row r="7603" spans="33:33">
      <c r="AG7603" s="10"/>
    </row>
    <row r="7604" spans="33:33">
      <c r="AG7604" s="10"/>
    </row>
    <row r="7605" spans="33:33">
      <c r="AG7605" s="10"/>
    </row>
    <row r="7606" spans="33:33">
      <c r="AG7606" s="10"/>
    </row>
    <row r="7607" spans="33:33">
      <c r="AG7607" s="10"/>
    </row>
    <row r="7608" spans="33:33">
      <c r="AG7608" s="10"/>
    </row>
    <row r="7609" spans="33:33">
      <c r="AG7609" s="10"/>
    </row>
    <row r="7610" spans="33:33">
      <c r="AG7610" s="10"/>
    </row>
    <row r="7611" spans="33:33">
      <c r="AG7611" s="10"/>
    </row>
    <row r="7612" spans="33:33">
      <c r="AG7612" s="10"/>
    </row>
    <row r="7613" spans="33:33">
      <c r="AG7613" s="10"/>
    </row>
    <row r="7614" spans="33:33">
      <c r="AG7614" s="10"/>
    </row>
    <row r="7615" spans="33:33">
      <c r="AG7615" s="10"/>
    </row>
    <row r="7616" spans="33:33">
      <c r="AG7616" s="10"/>
    </row>
    <row r="7617" spans="33:33">
      <c r="AG7617" s="10"/>
    </row>
    <row r="7618" spans="33:33">
      <c r="AG7618" s="10"/>
    </row>
    <row r="7619" spans="33:33">
      <c r="AG7619" s="10"/>
    </row>
    <row r="7620" spans="33:33">
      <c r="AG7620" s="10"/>
    </row>
    <row r="7621" spans="33:33">
      <c r="AG7621" s="10"/>
    </row>
    <row r="7622" spans="33:33">
      <c r="AG7622" s="10"/>
    </row>
    <row r="7623" spans="33:33">
      <c r="AG7623" s="10"/>
    </row>
    <row r="7624" spans="33:33">
      <c r="AG7624" s="10"/>
    </row>
    <row r="7625" spans="33:33">
      <c r="AG7625" s="10"/>
    </row>
    <row r="7626" spans="33:33">
      <c r="AG7626" s="10"/>
    </row>
    <row r="7627" spans="33:33">
      <c r="AG7627" s="10"/>
    </row>
    <row r="7628" spans="33:33">
      <c r="AG7628" s="10"/>
    </row>
    <row r="7629" spans="33:33">
      <c r="AG7629" s="10"/>
    </row>
    <row r="7630" spans="33:33">
      <c r="AG7630" s="10"/>
    </row>
    <row r="7631" spans="33:33">
      <c r="AG7631" s="10"/>
    </row>
    <row r="7632" spans="33:33">
      <c r="AG7632" s="10"/>
    </row>
    <row r="7633" spans="33:33">
      <c r="AG7633" s="10"/>
    </row>
    <row r="7634" spans="33:33">
      <c r="AG7634" s="10"/>
    </row>
    <row r="7635" spans="33:33">
      <c r="AG7635" s="10"/>
    </row>
    <row r="7636" spans="33:33">
      <c r="AG7636" s="10"/>
    </row>
    <row r="7637" spans="33:33">
      <c r="AG7637" s="10"/>
    </row>
    <row r="7638" spans="33:33">
      <c r="AG7638" s="10"/>
    </row>
    <row r="7639" spans="33:33">
      <c r="AG7639" s="10"/>
    </row>
    <row r="7640" spans="33:33">
      <c r="AG7640" s="10"/>
    </row>
    <row r="7641" spans="33:33">
      <c r="AG7641" s="10"/>
    </row>
    <row r="7642" spans="33:33">
      <c r="AG7642" s="10"/>
    </row>
    <row r="7643" spans="33:33">
      <c r="AG7643" s="10"/>
    </row>
    <row r="7644" spans="33:33">
      <c r="AG7644" s="10"/>
    </row>
    <row r="7645" spans="33:33">
      <c r="AG7645" s="10"/>
    </row>
    <row r="7646" spans="33:33">
      <c r="AG7646" s="10"/>
    </row>
    <row r="7647" spans="33:33">
      <c r="AG7647" s="10"/>
    </row>
    <row r="7648" spans="33:33">
      <c r="AG7648" s="10"/>
    </row>
    <row r="7649" spans="33:33">
      <c r="AG7649" s="10"/>
    </row>
    <row r="7650" spans="33:33">
      <c r="AG7650" s="10"/>
    </row>
    <row r="7651" spans="33:33">
      <c r="AG7651" s="10"/>
    </row>
    <row r="7652" spans="33:33">
      <c r="AG7652" s="10"/>
    </row>
    <row r="7653" spans="33:33">
      <c r="AG7653" s="10"/>
    </row>
    <row r="7654" spans="33:33">
      <c r="AG7654" s="10"/>
    </row>
    <row r="7655" spans="33:33">
      <c r="AG7655" s="10"/>
    </row>
    <row r="7656" spans="33:33">
      <c r="AG7656" s="10"/>
    </row>
    <row r="7657" spans="33:33">
      <c r="AG7657" s="10"/>
    </row>
    <row r="7658" spans="33:33">
      <c r="AG7658" s="10"/>
    </row>
    <row r="7659" spans="33:33">
      <c r="AG7659" s="10"/>
    </row>
    <row r="7660" spans="33:33">
      <c r="AG7660" s="10"/>
    </row>
    <row r="7661" spans="33:33">
      <c r="AG7661" s="10"/>
    </row>
    <row r="7662" spans="33:33">
      <c r="AG7662" s="10"/>
    </row>
    <row r="7663" spans="33:33">
      <c r="AG7663" s="10"/>
    </row>
    <row r="7664" spans="33:33">
      <c r="AG7664" s="10"/>
    </row>
    <row r="7665" spans="33:33">
      <c r="AG7665" s="10"/>
    </row>
    <row r="7666" spans="33:33">
      <c r="AG7666" s="10"/>
    </row>
    <row r="7667" spans="33:33">
      <c r="AG7667" s="10"/>
    </row>
    <row r="7668" spans="33:33">
      <c r="AG7668" s="10"/>
    </row>
    <row r="7669" spans="33:33">
      <c r="AG7669" s="10"/>
    </row>
    <row r="7670" spans="33:33">
      <c r="AG7670" s="10"/>
    </row>
    <row r="7671" spans="33:33">
      <c r="AG7671" s="10"/>
    </row>
    <row r="7672" spans="33:33">
      <c r="AG7672" s="10"/>
    </row>
    <row r="7673" spans="33:33">
      <c r="AG7673" s="10"/>
    </row>
    <row r="7674" spans="33:33">
      <c r="AG7674" s="10"/>
    </row>
    <row r="7675" spans="33:33">
      <c r="AG7675" s="10"/>
    </row>
    <row r="7676" spans="33:33">
      <c r="AG7676" s="10"/>
    </row>
    <row r="7677" spans="33:33">
      <c r="AG7677" s="10"/>
    </row>
    <row r="7678" spans="33:33">
      <c r="AG7678" s="10"/>
    </row>
    <row r="7679" spans="33:33">
      <c r="AG7679" s="10"/>
    </row>
    <row r="7680" spans="33:33">
      <c r="AG7680" s="10"/>
    </row>
    <row r="7681" spans="33:33">
      <c r="AG7681" s="10"/>
    </row>
    <row r="7682" spans="33:33">
      <c r="AG7682" s="10"/>
    </row>
    <row r="7683" spans="33:33">
      <c r="AG7683" s="10"/>
    </row>
    <row r="7684" spans="33:33">
      <c r="AG7684" s="10"/>
    </row>
    <row r="7685" spans="33:33">
      <c r="AG7685" s="10"/>
    </row>
    <row r="7686" spans="33:33">
      <c r="AG7686" s="10"/>
    </row>
    <row r="7687" spans="33:33">
      <c r="AG7687" s="10"/>
    </row>
    <row r="7688" spans="33:33">
      <c r="AG7688" s="10"/>
    </row>
    <row r="7689" spans="33:33">
      <c r="AG7689" s="10"/>
    </row>
    <row r="7690" spans="33:33">
      <c r="AG7690" s="10"/>
    </row>
    <row r="7691" spans="33:33">
      <c r="AG7691" s="10"/>
    </row>
    <row r="7692" spans="33:33">
      <c r="AG7692" s="10"/>
    </row>
    <row r="7693" spans="33:33">
      <c r="AG7693" s="10"/>
    </row>
    <row r="7694" spans="33:33">
      <c r="AG7694" s="10"/>
    </row>
    <row r="7695" spans="33:33">
      <c r="AG7695" s="10"/>
    </row>
    <row r="7696" spans="33:33">
      <c r="AG7696" s="10"/>
    </row>
    <row r="7697" spans="33:33">
      <c r="AG7697" s="10"/>
    </row>
    <row r="7698" spans="33:33">
      <c r="AG7698" s="10"/>
    </row>
    <row r="7699" spans="33:33">
      <c r="AG7699" s="10"/>
    </row>
    <row r="7700" spans="33:33">
      <c r="AG7700" s="10"/>
    </row>
    <row r="7701" spans="33:33">
      <c r="AG7701" s="10"/>
    </row>
    <row r="7702" spans="33:33">
      <c r="AG7702" s="10"/>
    </row>
    <row r="7703" spans="33:33">
      <c r="AG7703" s="10"/>
    </row>
    <row r="7704" spans="33:33">
      <c r="AG7704" s="10"/>
    </row>
    <row r="7705" spans="33:33">
      <c r="AG7705" s="10"/>
    </row>
    <row r="7706" spans="33:33">
      <c r="AG7706" s="10"/>
    </row>
    <row r="7707" spans="33:33">
      <c r="AG7707" s="10"/>
    </row>
    <row r="7708" spans="33:33">
      <c r="AG7708" s="10"/>
    </row>
    <row r="7709" spans="33:33">
      <c r="AG7709" s="10"/>
    </row>
    <row r="7710" spans="33:33">
      <c r="AG7710" s="10"/>
    </row>
    <row r="7711" spans="33:33">
      <c r="AG7711" s="10"/>
    </row>
    <row r="7712" spans="33:33">
      <c r="AG7712" s="10"/>
    </row>
    <row r="7713" spans="33:33">
      <c r="AG7713" s="10"/>
    </row>
    <row r="7714" spans="33:33">
      <c r="AG7714" s="10"/>
    </row>
    <row r="7715" spans="33:33">
      <c r="AG7715" s="10"/>
    </row>
    <row r="7716" spans="33:33">
      <c r="AG7716" s="10"/>
    </row>
    <row r="7717" spans="33:33">
      <c r="AG7717" s="10"/>
    </row>
    <row r="7718" spans="33:33">
      <c r="AG7718" s="10"/>
    </row>
    <row r="7719" spans="33:33">
      <c r="AG7719" s="10"/>
    </row>
    <row r="7720" spans="33:33">
      <c r="AG7720" s="10"/>
    </row>
    <row r="7721" spans="33:33">
      <c r="AG7721" s="10"/>
    </row>
    <row r="7722" spans="33:33">
      <c r="AG7722" s="10"/>
    </row>
    <row r="7723" spans="33:33">
      <c r="AG7723" s="10"/>
    </row>
    <row r="7724" spans="33:33">
      <c r="AG7724" s="10"/>
    </row>
    <row r="7725" spans="33:33">
      <c r="AG7725" s="10"/>
    </row>
    <row r="7726" spans="33:33">
      <c r="AG7726" s="10"/>
    </row>
    <row r="7727" spans="33:33">
      <c r="AG7727" s="10"/>
    </row>
    <row r="7728" spans="33:33">
      <c r="AG7728" s="10"/>
    </row>
    <row r="7729" spans="33:33">
      <c r="AG7729" s="10"/>
    </row>
    <row r="7730" spans="33:33">
      <c r="AG7730" s="10"/>
    </row>
    <row r="7731" spans="33:33">
      <c r="AG7731" s="10"/>
    </row>
    <row r="7732" spans="33:33">
      <c r="AG7732" s="10"/>
    </row>
    <row r="7733" spans="33:33">
      <c r="AG7733" s="10"/>
    </row>
    <row r="7734" spans="33:33">
      <c r="AG7734" s="10"/>
    </row>
    <row r="7735" spans="33:33">
      <c r="AG7735" s="10"/>
    </row>
    <row r="7736" spans="33:33">
      <c r="AG7736" s="10"/>
    </row>
    <row r="7737" spans="33:33">
      <c r="AG7737" s="10"/>
    </row>
    <row r="7738" spans="33:33">
      <c r="AG7738" s="10"/>
    </row>
    <row r="7739" spans="33:33">
      <c r="AG7739" s="10"/>
    </row>
    <row r="7740" spans="33:33">
      <c r="AG7740" s="10"/>
    </row>
    <row r="7741" spans="33:33">
      <c r="AG7741" s="10"/>
    </row>
    <row r="7742" spans="33:33">
      <c r="AG7742" s="10"/>
    </row>
    <row r="7743" spans="33:33">
      <c r="AG7743" s="10"/>
    </row>
    <row r="7744" spans="33:33">
      <c r="AG7744" s="10"/>
    </row>
    <row r="7745" spans="33:33">
      <c r="AG7745" s="10"/>
    </row>
    <row r="7746" spans="33:33">
      <c r="AG7746" s="10"/>
    </row>
    <row r="7747" spans="33:33">
      <c r="AG7747" s="10"/>
    </row>
    <row r="7748" spans="33:33">
      <c r="AG7748" s="10"/>
    </row>
    <row r="7749" spans="33:33">
      <c r="AG7749" s="10"/>
    </row>
    <row r="7750" spans="33:33">
      <c r="AG7750" s="10"/>
    </row>
    <row r="7751" spans="33:33">
      <c r="AG7751" s="10"/>
    </row>
    <row r="7752" spans="33:33">
      <c r="AG7752" s="10"/>
    </row>
    <row r="7753" spans="33:33">
      <c r="AG7753" s="10"/>
    </row>
    <row r="7754" spans="33:33">
      <c r="AG7754" s="10"/>
    </row>
    <row r="7755" spans="33:33">
      <c r="AG7755" s="10"/>
    </row>
    <row r="7756" spans="33:33">
      <c r="AG7756" s="10"/>
    </row>
    <row r="7757" spans="33:33">
      <c r="AG7757" s="10"/>
    </row>
    <row r="7758" spans="33:33">
      <c r="AG7758" s="10"/>
    </row>
    <row r="7759" spans="33:33">
      <c r="AG7759" s="10"/>
    </row>
    <row r="7760" spans="33:33">
      <c r="AG7760" s="10"/>
    </row>
    <row r="7761" spans="33:33">
      <c r="AG7761" s="10"/>
    </row>
    <row r="7762" spans="33:33">
      <c r="AG7762" s="10"/>
    </row>
    <row r="7763" spans="33:33">
      <c r="AG7763" s="10"/>
    </row>
    <row r="7764" spans="33:33">
      <c r="AG7764" s="10"/>
    </row>
    <row r="7765" spans="33:33">
      <c r="AG7765" s="10"/>
    </row>
    <row r="7766" spans="33:33">
      <c r="AG7766" s="10"/>
    </row>
    <row r="7767" spans="33:33">
      <c r="AG7767" s="10"/>
    </row>
    <row r="7768" spans="33:33">
      <c r="AG7768" s="10"/>
    </row>
    <row r="7769" spans="33:33">
      <c r="AG7769" s="10"/>
    </row>
    <row r="7770" spans="33:33">
      <c r="AG7770" s="10"/>
    </row>
    <row r="7771" spans="33:33">
      <c r="AG7771" s="10"/>
    </row>
    <row r="7772" spans="33:33">
      <c r="AG7772" s="10"/>
    </row>
    <row r="7773" spans="33:33">
      <c r="AG7773" s="10"/>
    </row>
    <row r="7774" spans="33:33">
      <c r="AG7774" s="10"/>
    </row>
    <row r="7775" spans="33:33">
      <c r="AG7775" s="10"/>
    </row>
    <row r="7776" spans="33:33">
      <c r="AG7776" s="10"/>
    </row>
    <row r="7777" spans="33:33">
      <c r="AG7777" s="10"/>
    </row>
    <row r="7778" spans="33:33">
      <c r="AG7778" s="10"/>
    </row>
    <row r="7779" spans="33:33">
      <c r="AG7779" s="10"/>
    </row>
    <row r="7780" spans="33:33">
      <c r="AG7780" s="10"/>
    </row>
    <row r="7781" spans="33:33">
      <c r="AG7781" s="10"/>
    </row>
    <row r="7782" spans="33:33">
      <c r="AG7782" s="10"/>
    </row>
    <row r="7783" spans="33:33">
      <c r="AG7783" s="10"/>
    </row>
    <row r="7784" spans="33:33">
      <c r="AG7784" s="10"/>
    </row>
    <row r="7785" spans="33:33">
      <c r="AG7785" s="10"/>
    </row>
    <row r="7786" spans="33:33">
      <c r="AG7786" s="10"/>
    </row>
    <row r="7787" spans="33:33">
      <c r="AG7787" s="10"/>
    </row>
    <row r="7788" spans="33:33">
      <c r="AG7788" s="10"/>
    </row>
    <row r="7789" spans="33:33">
      <c r="AG7789" s="10"/>
    </row>
    <row r="7790" spans="33:33">
      <c r="AG7790" s="10"/>
    </row>
    <row r="7791" spans="33:33">
      <c r="AG7791" s="10"/>
    </row>
    <row r="7792" spans="33:33">
      <c r="AG7792" s="10"/>
    </row>
    <row r="7793" spans="33:33">
      <c r="AG7793" s="10"/>
    </row>
    <row r="7794" spans="33:33">
      <c r="AG7794" s="10"/>
    </row>
    <row r="7795" spans="33:33">
      <c r="AG7795" s="10"/>
    </row>
    <row r="7796" spans="33:33">
      <c r="AG7796" s="10"/>
    </row>
    <row r="7797" spans="33:33">
      <c r="AG7797" s="10"/>
    </row>
    <row r="7798" spans="33:33">
      <c r="AG7798" s="10"/>
    </row>
    <row r="7799" spans="33:33">
      <c r="AG7799" s="10"/>
    </row>
    <row r="7800" spans="33:33">
      <c r="AG7800" s="10"/>
    </row>
    <row r="7801" spans="33:33">
      <c r="AG7801" s="10"/>
    </row>
    <row r="7802" spans="33:33">
      <c r="AG7802" s="10"/>
    </row>
    <row r="7803" spans="33:33">
      <c r="AG7803" s="10"/>
    </row>
    <row r="7804" spans="33:33">
      <c r="AG7804" s="10"/>
    </row>
    <row r="7805" spans="33:33">
      <c r="AG7805" s="10"/>
    </row>
    <row r="7806" spans="33:33">
      <c r="AG7806" s="10"/>
    </row>
    <row r="7807" spans="33:33">
      <c r="AG7807" s="10"/>
    </row>
    <row r="7808" spans="33:33">
      <c r="AG7808" s="10"/>
    </row>
    <row r="7809" spans="33:33">
      <c r="AG7809" s="10"/>
    </row>
    <row r="7810" spans="33:33">
      <c r="AG7810" s="10"/>
    </row>
    <row r="7811" spans="33:33">
      <c r="AG7811" s="10"/>
    </row>
    <row r="7812" spans="33:33">
      <c r="AG7812" s="10"/>
    </row>
    <row r="7813" spans="33:33">
      <c r="AG7813" s="10"/>
    </row>
    <row r="7814" spans="33:33">
      <c r="AG7814" s="10"/>
    </row>
    <row r="7815" spans="33:33">
      <c r="AG7815" s="10"/>
    </row>
    <row r="7816" spans="33:33">
      <c r="AG7816" s="10"/>
    </row>
    <row r="7817" spans="33:33">
      <c r="AG7817" s="10"/>
    </row>
    <row r="7818" spans="33:33">
      <c r="AG7818" s="10"/>
    </row>
    <row r="7819" spans="33:33">
      <c r="AG7819" s="10"/>
    </row>
    <row r="7820" spans="33:33">
      <c r="AG7820" s="10"/>
    </row>
    <row r="7821" spans="33:33">
      <c r="AG7821" s="10"/>
    </row>
    <row r="7822" spans="33:33">
      <c r="AG7822" s="10"/>
    </row>
    <row r="7823" spans="33:33">
      <c r="AG7823" s="10"/>
    </row>
    <row r="7824" spans="33:33">
      <c r="AG7824" s="10"/>
    </row>
    <row r="7825" spans="33:33">
      <c r="AG7825" s="10"/>
    </row>
    <row r="7826" spans="33:33">
      <c r="AG7826" s="10"/>
    </row>
    <row r="7827" spans="33:33">
      <c r="AG7827" s="10"/>
    </row>
    <row r="7828" spans="33:33">
      <c r="AG7828" s="10"/>
    </row>
    <row r="7829" spans="33:33">
      <c r="AG7829" s="10"/>
    </row>
    <row r="7830" spans="33:33">
      <c r="AG7830" s="10"/>
    </row>
    <row r="7831" spans="33:33">
      <c r="AG7831" s="10"/>
    </row>
    <row r="7832" spans="33:33">
      <c r="AG7832" s="10"/>
    </row>
    <row r="7833" spans="33:33">
      <c r="AG7833" s="10"/>
    </row>
    <row r="7834" spans="33:33">
      <c r="AG7834" s="10"/>
    </row>
    <row r="7835" spans="33:33">
      <c r="AG7835" s="10"/>
    </row>
    <row r="7836" spans="33:33">
      <c r="AG7836" s="10"/>
    </row>
    <row r="7837" spans="33:33">
      <c r="AG7837" s="10"/>
    </row>
    <row r="7838" spans="33:33">
      <c r="AG7838" s="10"/>
    </row>
    <row r="7839" spans="33:33">
      <c r="AG7839" s="10"/>
    </row>
    <row r="7840" spans="33:33">
      <c r="AG7840" s="10"/>
    </row>
    <row r="7841" spans="33:33">
      <c r="AG7841" s="10"/>
    </row>
    <row r="7842" spans="33:33">
      <c r="AG7842" s="10"/>
    </row>
    <row r="7843" spans="33:33">
      <c r="AG7843" s="10"/>
    </row>
    <row r="7844" spans="33:33">
      <c r="AG7844" s="10"/>
    </row>
    <row r="7845" spans="33:33">
      <c r="AG7845" s="10"/>
    </row>
    <row r="7846" spans="33:33">
      <c r="AG7846" s="10"/>
    </row>
    <row r="7847" spans="33:33">
      <c r="AG7847" s="10"/>
    </row>
    <row r="7848" spans="33:33">
      <c r="AG7848" s="10"/>
    </row>
    <row r="7849" spans="33:33">
      <c r="AG7849" s="10"/>
    </row>
    <row r="7850" spans="33:33">
      <c r="AG7850" s="10"/>
    </row>
    <row r="7851" spans="33:33">
      <c r="AG7851" s="10"/>
    </row>
    <row r="7852" spans="33:33">
      <c r="AG7852" s="10"/>
    </row>
    <row r="7853" spans="33:33">
      <c r="AG7853" s="10"/>
    </row>
    <row r="7854" spans="33:33">
      <c r="AG7854" s="10"/>
    </row>
    <row r="7855" spans="33:33">
      <c r="AG7855" s="10"/>
    </row>
    <row r="7856" spans="33:33">
      <c r="AG7856" s="10"/>
    </row>
    <row r="7857" spans="33:33">
      <c r="AG7857" s="10"/>
    </row>
    <row r="7858" spans="33:33">
      <c r="AG7858" s="10"/>
    </row>
    <row r="7859" spans="33:33">
      <c r="AG7859" s="10"/>
    </row>
    <row r="7860" spans="33:33">
      <c r="AG7860" s="10"/>
    </row>
    <row r="7861" spans="33:33">
      <c r="AG7861" s="10"/>
    </row>
    <row r="7862" spans="33:33">
      <c r="AG7862" s="10"/>
    </row>
    <row r="7863" spans="33:33">
      <c r="AG7863" s="10"/>
    </row>
    <row r="7864" spans="33:33">
      <c r="AG7864" s="10"/>
    </row>
    <row r="7865" spans="33:33">
      <c r="AG7865" s="10"/>
    </row>
    <row r="7866" spans="33:33">
      <c r="AG7866" s="10"/>
    </row>
    <row r="7867" spans="33:33">
      <c r="AG7867" s="10"/>
    </row>
    <row r="7868" spans="33:33">
      <c r="AG7868" s="10"/>
    </row>
    <row r="7869" spans="33:33">
      <c r="AG7869" s="10"/>
    </row>
    <row r="7870" spans="33:33">
      <c r="AG7870" s="10"/>
    </row>
    <row r="7871" spans="33:33">
      <c r="AG7871" s="10"/>
    </row>
    <row r="7872" spans="33:33">
      <c r="AG7872" s="10"/>
    </row>
    <row r="7873" spans="33:33">
      <c r="AG7873" s="10"/>
    </row>
    <row r="7874" spans="33:33">
      <c r="AG7874" s="10"/>
    </row>
    <row r="7875" spans="33:33">
      <c r="AG7875" s="10"/>
    </row>
    <row r="7876" spans="33:33">
      <c r="AG7876" s="10"/>
    </row>
    <row r="7877" spans="33:33">
      <c r="AG7877" s="10"/>
    </row>
    <row r="7878" spans="33:33">
      <c r="AG7878" s="10"/>
    </row>
    <row r="7879" spans="33:33">
      <c r="AG7879" s="10"/>
    </row>
    <row r="7880" spans="33:33">
      <c r="AG7880" s="10"/>
    </row>
    <row r="7881" spans="33:33">
      <c r="AG7881" s="10"/>
    </row>
    <row r="7882" spans="33:33">
      <c r="AG7882" s="10"/>
    </row>
    <row r="7883" spans="33:33">
      <c r="AG7883" s="10"/>
    </row>
    <row r="7884" spans="33:33">
      <c r="AG7884" s="10"/>
    </row>
    <row r="7885" spans="33:33">
      <c r="AG7885" s="10"/>
    </row>
    <row r="7886" spans="33:33">
      <c r="AG7886" s="10"/>
    </row>
    <row r="7887" spans="33:33">
      <c r="AG7887" s="10"/>
    </row>
    <row r="7888" spans="33:33">
      <c r="AG7888" s="10"/>
    </row>
    <row r="7889" spans="33:33">
      <c r="AG7889" s="10"/>
    </row>
    <row r="7890" spans="33:33">
      <c r="AG7890" s="10"/>
    </row>
    <row r="7891" spans="33:33">
      <c r="AG7891" s="10"/>
    </row>
    <row r="7892" spans="33:33">
      <c r="AG7892" s="10"/>
    </row>
    <row r="7893" spans="33:33">
      <c r="AG7893" s="10"/>
    </row>
    <row r="7894" spans="33:33">
      <c r="AG7894" s="10"/>
    </row>
    <row r="7895" spans="33:33">
      <c r="AG7895" s="10"/>
    </row>
    <row r="7896" spans="33:33">
      <c r="AG7896" s="10"/>
    </row>
    <row r="7897" spans="33:33">
      <c r="AG7897" s="10"/>
    </row>
    <row r="7898" spans="33:33">
      <c r="AG7898" s="10"/>
    </row>
    <row r="7899" spans="33:33">
      <c r="AG7899" s="10"/>
    </row>
    <row r="7900" spans="33:33">
      <c r="AG7900" s="10"/>
    </row>
    <row r="7901" spans="33:33">
      <c r="AG7901" s="10"/>
    </row>
    <row r="7902" spans="33:33">
      <c r="AG7902" s="10"/>
    </row>
    <row r="7903" spans="33:33">
      <c r="AG7903" s="10"/>
    </row>
    <row r="7904" spans="33:33">
      <c r="AG7904" s="10"/>
    </row>
    <row r="7905" spans="33:33">
      <c r="AG7905" s="10"/>
    </row>
    <row r="7906" spans="33:33">
      <c r="AG7906" s="10"/>
    </row>
    <row r="7907" spans="33:33">
      <c r="AG7907" s="10"/>
    </row>
    <row r="7908" spans="33:33">
      <c r="AG7908" s="10"/>
    </row>
    <row r="7909" spans="33:33">
      <c r="AG7909" s="10"/>
    </row>
    <row r="7910" spans="33:33">
      <c r="AG7910" s="10"/>
    </row>
    <row r="7911" spans="33:33">
      <c r="AG7911" s="10"/>
    </row>
    <row r="7912" spans="33:33">
      <c r="AG7912" s="10"/>
    </row>
    <row r="7913" spans="33:33">
      <c r="AG7913" s="10"/>
    </row>
    <row r="7914" spans="33:33">
      <c r="AG7914" s="10"/>
    </row>
    <row r="7915" spans="33:33">
      <c r="AG7915" s="10"/>
    </row>
    <row r="7916" spans="33:33">
      <c r="AG7916" s="10"/>
    </row>
    <row r="7917" spans="33:33">
      <c r="AG7917" s="10"/>
    </row>
    <row r="7918" spans="33:33">
      <c r="AG7918" s="10"/>
    </row>
    <row r="7919" spans="33:33">
      <c r="AG7919" s="10"/>
    </row>
    <row r="7920" spans="33:33">
      <c r="AG7920" s="10"/>
    </row>
    <row r="7921" spans="33:33">
      <c r="AG7921" s="10"/>
    </row>
    <row r="7922" spans="33:33">
      <c r="AG7922" s="10"/>
    </row>
    <row r="7923" spans="33:33">
      <c r="AG7923" s="10"/>
    </row>
    <row r="7924" spans="33:33">
      <c r="AG7924" s="10"/>
    </row>
    <row r="7925" spans="33:33">
      <c r="AG7925" s="10"/>
    </row>
    <row r="7926" spans="33:33">
      <c r="AG7926" s="10"/>
    </row>
    <row r="7927" spans="33:33">
      <c r="AG7927" s="10"/>
    </row>
    <row r="7928" spans="33:33">
      <c r="AG7928" s="10"/>
    </row>
    <row r="7929" spans="33:33">
      <c r="AG7929" s="10"/>
    </row>
    <row r="7930" spans="33:33">
      <c r="AG7930" s="10"/>
    </row>
    <row r="7931" spans="33:33">
      <c r="AG7931" s="10"/>
    </row>
    <row r="7932" spans="33:33">
      <c r="AG7932" s="10"/>
    </row>
    <row r="7933" spans="33:33">
      <c r="AG7933" s="10"/>
    </row>
    <row r="7934" spans="33:33">
      <c r="AG7934" s="10"/>
    </row>
    <row r="7935" spans="33:33">
      <c r="AG7935" s="10"/>
    </row>
    <row r="7936" spans="33:33">
      <c r="AG7936" s="10"/>
    </row>
    <row r="7937" spans="33:33">
      <c r="AG7937" s="10"/>
    </row>
    <row r="7938" spans="33:33">
      <c r="AG7938" s="10"/>
    </row>
    <row r="7939" spans="33:33">
      <c r="AG7939" s="10"/>
    </row>
    <row r="7940" spans="33:33">
      <c r="AG7940" s="10"/>
    </row>
    <row r="7941" spans="33:33">
      <c r="AG7941" s="10"/>
    </row>
    <row r="7942" spans="33:33">
      <c r="AG7942" s="10"/>
    </row>
    <row r="7943" spans="33:33">
      <c r="AG7943" s="10"/>
    </row>
    <row r="7944" spans="33:33">
      <c r="AG7944" s="10"/>
    </row>
    <row r="7945" spans="33:33">
      <c r="AG7945" s="10"/>
    </row>
    <row r="7946" spans="33:33">
      <c r="AG7946" s="10"/>
    </row>
    <row r="7947" spans="33:33">
      <c r="AG7947" s="10"/>
    </row>
    <row r="7948" spans="33:33">
      <c r="AG7948" s="10"/>
    </row>
    <row r="7949" spans="33:33">
      <c r="AG7949" s="10"/>
    </row>
    <row r="7950" spans="33:33">
      <c r="AG7950" s="10"/>
    </row>
    <row r="7951" spans="33:33">
      <c r="AG7951" s="10"/>
    </row>
    <row r="7952" spans="33:33">
      <c r="AG7952" s="10"/>
    </row>
    <row r="7953" spans="33:33">
      <c r="AG7953" s="10"/>
    </row>
    <row r="7954" spans="33:33">
      <c r="AG7954" s="10"/>
    </row>
    <row r="7955" spans="33:33">
      <c r="AG7955" s="10"/>
    </row>
    <row r="7956" spans="33:33">
      <c r="AG7956" s="10"/>
    </row>
    <row r="7957" spans="33:33">
      <c r="AG7957" s="10"/>
    </row>
    <row r="7958" spans="33:33">
      <c r="AG7958" s="10"/>
    </row>
    <row r="7959" spans="33:33">
      <c r="AG7959" s="10"/>
    </row>
    <row r="7960" spans="33:33">
      <c r="AG7960" s="10"/>
    </row>
    <row r="7961" spans="33:33">
      <c r="AG7961" s="10"/>
    </row>
    <row r="7962" spans="33:33">
      <c r="AG7962" s="10"/>
    </row>
    <row r="7963" spans="33:33">
      <c r="AG7963" s="10"/>
    </row>
    <row r="7964" spans="33:33">
      <c r="AG7964" s="10"/>
    </row>
    <row r="7965" spans="33:33">
      <c r="AG7965" s="10"/>
    </row>
    <row r="7966" spans="33:33">
      <c r="AG7966" s="10"/>
    </row>
    <row r="7967" spans="33:33">
      <c r="AG7967" s="10"/>
    </row>
    <row r="7968" spans="33:33">
      <c r="AG7968" s="10"/>
    </row>
    <row r="7969" spans="33:33">
      <c r="AG7969" s="10"/>
    </row>
    <row r="7970" spans="33:33">
      <c r="AG7970" s="10"/>
    </row>
    <row r="7971" spans="33:33">
      <c r="AG7971" s="10"/>
    </row>
    <row r="7972" spans="33:33">
      <c r="AG7972" s="10"/>
    </row>
    <row r="7973" spans="33:33">
      <c r="AG7973" s="10"/>
    </row>
    <row r="7974" spans="33:33">
      <c r="AG7974" s="10"/>
    </row>
    <row r="7975" spans="33:33">
      <c r="AG7975" s="10"/>
    </row>
    <row r="7976" spans="33:33">
      <c r="AG7976" s="10"/>
    </row>
    <row r="7977" spans="33:33">
      <c r="AG7977" s="10"/>
    </row>
    <row r="7978" spans="33:33">
      <c r="AG7978" s="10"/>
    </row>
    <row r="7979" spans="33:33">
      <c r="AG7979" s="10"/>
    </row>
    <row r="7980" spans="33:33">
      <c r="AG7980" s="10"/>
    </row>
    <row r="7981" spans="33:33">
      <c r="AG7981" s="10"/>
    </row>
    <row r="7982" spans="33:33">
      <c r="AG7982" s="10"/>
    </row>
    <row r="7983" spans="33:33">
      <c r="AG7983" s="10"/>
    </row>
    <row r="7984" spans="33:33">
      <c r="AG7984" s="10"/>
    </row>
    <row r="7985" spans="33:33">
      <c r="AG7985" s="10"/>
    </row>
    <row r="7986" spans="33:33">
      <c r="AG7986" s="10"/>
    </row>
    <row r="7987" spans="33:33">
      <c r="AG7987" s="10"/>
    </row>
    <row r="7988" spans="33:33">
      <c r="AG7988" s="10"/>
    </row>
    <row r="7989" spans="33:33">
      <c r="AG7989" s="10"/>
    </row>
    <row r="7990" spans="33:33">
      <c r="AG7990" s="10"/>
    </row>
    <row r="7991" spans="33:33">
      <c r="AG7991" s="10"/>
    </row>
    <row r="7992" spans="33:33">
      <c r="AG7992" s="10"/>
    </row>
    <row r="7993" spans="33:33">
      <c r="AG7993" s="10"/>
    </row>
    <row r="7994" spans="33:33">
      <c r="AG7994" s="10"/>
    </row>
    <row r="7995" spans="33:33">
      <c r="AG7995" s="10"/>
    </row>
    <row r="7996" spans="33:33">
      <c r="AG7996" s="10"/>
    </row>
    <row r="7997" spans="33:33">
      <c r="AG7997" s="10"/>
    </row>
    <row r="7998" spans="33:33">
      <c r="AG7998" s="10"/>
    </row>
    <row r="7999" spans="33:33">
      <c r="AG7999" s="10"/>
    </row>
    <row r="8000" spans="33:33">
      <c r="AG8000" s="10"/>
    </row>
    <row r="8001" spans="33:33">
      <c r="AG8001" s="10"/>
    </row>
    <row r="8002" spans="33:33">
      <c r="AG8002" s="10"/>
    </row>
    <row r="8003" spans="33:33">
      <c r="AG8003" s="10"/>
    </row>
    <row r="8004" spans="33:33">
      <c r="AG8004" s="10"/>
    </row>
    <row r="8005" spans="33:33">
      <c r="AG8005" s="10"/>
    </row>
    <row r="8006" spans="33:33">
      <c r="AG8006" s="10"/>
    </row>
    <row r="8007" spans="33:33">
      <c r="AG8007" s="10"/>
    </row>
    <row r="8008" spans="33:33">
      <c r="AG8008" s="10"/>
    </row>
    <row r="8009" spans="33:33">
      <c r="AG8009" s="10"/>
    </row>
    <row r="8010" spans="33:33">
      <c r="AG8010" s="10"/>
    </row>
    <row r="8011" spans="33:33">
      <c r="AG8011" s="10"/>
    </row>
    <row r="8012" spans="33:33">
      <c r="AG8012" s="10"/>
    </row>
    <row r="8013" spans="33:33">
      <c r="AG8013" s="10"/>
    </row>
    <row r="8014" spans="33:33">
      <c r="AG8014" s="10"/>
    </row>
    <row r="8015" spans="33:33">
      <c r="AG8015" s="10"/>
    </row>
    <row r="8016" spans="33:33">
      <c r="AG8016" s="10"/>
    </row>
    <row r="8017" spans="33:33">
      <c r="AG8017" s="10"/>
    </row>
    <row r="8018" spans="33:33">
      <c r="AG8018" s="10"/>
    </row>
    <row r="8019" spans="33:33">
      <c r="AG8019" s="10"/>
    </row>
    <row r="8020" spans="33:33">
      <c r="AG8020" s="10"/>
    </row>
    <row r="8021" spans="33:33">
      <c r="AG8021" s="10"/>
    </row>
    <row r="8022" spans="33:33">
      <c r="AG8022" s="10"/>
    </row>
    <row r="8023" spans="33:33">
      <c r="AG8023" s="10"/>
    </row>
    <row r="8024" spans="33:33">
      <c r="AG8024" s="10"/>
    </row>
    <row r="8025" spans="33:33">
      <c r="AG8025" s="10"/>
    </row>
    <row r="8026" spans="33:33">
      <c r="AG8026" s="10"/>
    </row>
    <row r="8027" spans="33:33">
      <c r="AG8027" s="10"/>
    </row>
    <row r="8028" spans="33:33">
      <c r="AG8028" s="10"/>
    </row>
    <row r="8029" spans="33:33">
      <c r="AG8029" s="10"/>
    </row>
    <row r="8030" spans="33:33">
      <c r="AG8030" s="10"/>
    </row>
    <row r="8031" spans="33:33">
      <c r="AG8031" s="10"/>
    </row>
    <row r="8032" spans="33:33">
      <c r="AG8032" s="10"/>
    </row>
    <row r="8033" spans="33:33">
      <c r="AG8033" s="10"/>
    </row>
    <row r="8034" spans="33:33">
      <c r="AG8034" s="10"/>
    </row>
    <row r="8035" spans="33:33">
      <c r="AG8035" s="10"/>
    </row>
    <row r="8036" spans="33:33">
      <c r="AG8036" s="10"/>
    </row>
    <row r="8037" spans="33:33">
      <c r="AG8037" s="10"/>
    </row>
    <row r="8038" spans="33:33">
      <c r="AG8038" s="10"/>
    </row>
    <row r="8039" spans="33:33">
      <c r="AG8039" s="10"/>
    </row>
    <row r="8040" spans="33:33">
      <c r="AG8040" s="10"/>
    </row>
    <row r="8041" spans="33:33">
      <c r="AG8041" s="10"/>
    </row>
    <row r="8042" spans="33:33">
      <c r="AG8042" s="10"/>
    </row>
    <row r="8043" spans="33:33">
      <c r="AG8043" s="10"/>
    </row>
    <row r="8044" spans="33:33">
      <c r="AG8044" s="10"/>
    </row>
    <row r="8045" spans="33:33">
      <c r="AG8045" s="10"/>
    </row>
    <row r="8046" spans="33:33">
      <c r="AG8046" s="10"/>
    </row>
    <row r="8047" spans="33:33">
      <c r="AG8047" s="10"/>
    </row>
    <row r="8048" spans="33:33">
      <c r="AG8048" s="10"/>
    </row>
    <row r="8049" spans="33:33">
      <c r="AG8049" s="10"/>
    </row>
    <row r="8050" spans="33:33">
      <c r="AG8050" s="10"/>
    </row>
    <row r="8051" spans="33:33">
      <c r="AG8051" s="10"/>
    </row>
    <row r="8052" spans="33:33">
      <c r="AG8052" s="10"/>
    </row>
    <row r="8053" spans="33:33">
      <c r="AG8053" s="10"/>
    </row>
    <row r="8054" spans="33:33">
      <c r="AG8054" s="10"/>
    </row>
    <row r="8055" spans="33:33">
      <c r="AG8055" s="10"/>
    </row>
    <row r="8056" spans="33:33">
      <c r="AG8056" s="10"/>
    </row>
    <row r="8057" spans="33:33">
      <c r="AG8057" s="10"/>
    </row>
    <row r="8058" spans="33:33">
      <c r="AG8058" s="10"/>
    </row>
    <row r="8059" spans="33:33">
      <c r="AG8059" s="10"/>
    </row>
    <row r="8060" spans="33:33">
      <c r="AG8060" s="10"/>
    </row>
    <row r="8061" spans="33:33">
      <c r="AG8061" s="10"/>
    </row>
    <row r="8062" spans="33:33">
      <c r="AG8062" s="10"/>
    </row>
    <row r="8063" spans="33:33">
      <c r="AG8063" s="10"/>
    </row>
    <row r="8064" spans="33:33">
      <c r="AG8064" s="10"/>
    </row>
    <row r="8065" spans="33:33">
      <c r="AG8065" s="10"/>
    </row>
    <row r="8066" spans="33:33">
      <c r="AG8066" s="10"/>
    </row>
    <row r="8067" spans="33:33">
      <c r="AG8067" s="10"/>
    </row>
    <row r="8068" spans="33:33">
      <c r="AG8068" s="10"/>
    </row>
    <row r="8069" spans="33:33">
      <c r="AG8069" s="10"/>
    </row>
    <row r="8070" spans="33:33">
      <c r="AG8070" s="10"/>
    </row>
    <row r="8071" spans="33:33">
      <c r="AG8071" s="10"/>
    </row>
    <row r="8072" spans="33:33">
      <c r="AG8072" s="10"/>
    </row>
    <row r="8073" spans="33:33">
      <c r="AG8073" s="10"/>
    </row>
    <row r="8074" spans="33:33">
      <c r="AG8074" s="10"/>
    </row>
    <row r="8075" spans="33:33">
      <c r="AG8075" s="10"/>
    </row>
    <row r="8076" spans="33:33">
      <c r="AG8076" s="10"/>
    </row>
    <row r="8077" spans="33:33">
      <c r="AG8077" s="10"/>
    </row>
    <row r="8078" spans="33:33">
      <c r="AG8078" s="10"/>
    </row>
    <row r="8079" spans="33:33">
      <c r="AG8079" s="10"/>
    </row>
    <row r="8080" spans="33:33">
      <c r="AG8080" s="10"/>
    </row>
    <row r="8081" spans="33:33">
      <c r="AG8081" s="10"/>
    </row>
    <row r="8082" spans="33:33">
      <c r="AG8082" s="10"/>
    </row>
    <row r="8083" spans="33:33">
      <c r="AG8083" s="10"/>
    </row>
    <row r="8084" spans="33:33">
      <c r="AG8084" s="10"/>
    </row>
    <row r="8085" spans="33:33">
      <c r="AG8085" s="10"/>
    </row>
    <row r="8086" spans="33:33">
      <c r="AG8086" s="10"/>
    </row>
    <row r="8087" spans="33:33">
      <c r="AG8087" s="10"/>
    </row>
    <row r="8088" spans="33:33">
      <c r="AG8088" s="10"/>
    </row>
    <row r="8089" spans="33:33">
      <c r="AG8089" s="10"/>
    </row>
    <row r="8090" spans="33:33">
      <c r="AG8090" s="10"/>
    </row>
    <row r="8091" spans="33:33">
      <c r="AG8091" s="10"/>
    </row>
    <row r="8092" spans="33:33">
      <c r="AG8092" s="10"/>
    </row>
    <row r="8093" spans="33:33">
      <c r="AG8093" s="10"/>
    </row>
    <row r="8094" spans="33:33">
      <c r="AG8094" s="10"/>
    </row>
    <row r="8095" spans="33:33">
      <c r="AG8095" s="10"/>
    </row>
    <row r="8096" spans="33:33">
      <c r="AG8096" s="10"/>
    </row>
    <row r="8097" spans="33:33">
      <c r="AG8097" s="10"/>
    </row>
    <row r="8098" spans="33:33">
      <c r="AG8098" s="10"/>
    </row>
    <row r="8099" spans="33:33">
      <c r="AG8099" s="10"/>
    </row>
    <row r="8100" spans="33:33">
      <c r="AG8100" s="10"/>
    </row>
    <row r="8101" spans="33:33">
      <c r="AG8101" s="10"/>
    </row>
    <row r="8102" spans="33:33">
      <c r="AG8102" s="10"/>
    </row>
    <row r="8103" spans="33:33">
      <c r="AG8103" s="10"/>
    </row>
    <row r="8104" spans="33:33">
      <c r="AG8104" s="10"/>
    </row>
    <row r="8105" spans="33:33">
      <c r="AG8105" s="10"/>
    </row>
    <row r="8106" spans="33:33">
      <c r="AG8106" s="10"/>
    </row>
    <row r="8107" spans="33:33">
      <c r="AG8107" s="10"/>
    </row>
    <row r="8108" spans="33:33">
      <c r="AG8108" s="10"/>
    </row>
    <row r="8109" spans="33:33">
      <c r="AG8109" s="10"/>
    </row>
    <row r="8110" spans="33:33">
      <c r="AG8110" s="10"/>
    </row>
    <row r="8111" spans="33:33">
      <c r="AG8111" s="10"/>
    </row>
    <row r="8112" spans="33:33">
      <c r="AG8112" s="10"/>
    </row>
    <row r="8113" spans="33:33">
      <c r="AG8113" s="10"/>
    </row>
    <row r="8114" spans="33:33">
      <c r="AG8114" s="10"/>
    </row>
    <row r="8115" spans="33:33">
      <c r="AG8115" s="10"/>
    </row>
    <row r="8116" spans="33:33">
      <c r="AG8116" s="10"/>
    </row>
    <row r="8117" spans="33:33">
      <c r="AG8117" s="10"/>
    </row>
    <row r="8118" spans="33:33">
      <c r="AG8118" s="10"/>
    </row>
    <row r="8119" spans="33:33">
      <c r="AG8119" s="10"/>
    </row>
    <row r="8120" spans="33:33">
      <c r="AG8120" s="10"/>
    </row>
    <row r="8121" spans="33:33">
      <c r="AG8121" s="10"/>
    </row>
    <row r="8122" spans="33:33">
      <c r="AG8122" s="10"/>
    </row>
    <row r="8123" spans="33:33">
      <c r="AG8123" s="10"/>
    </row>
    <row r="8124" spans="33:33">
      <c r="AG8124" s="10"/>
    </row>
    <row r="8125" spans="33:33">
      <c r="AG8125" s="10"/>
    </row>
    <row r="8126" spans="33:33">
      <c r="AG8126" s="10"/>
    </row>
    <row r="8127" spans="33:33">
      <c r="AG8127" s="10"/>
    </row>
    <row r="8128" spans="33:33">
      <c r="AG8128" s="10"/>
    </row>
    <row r="8129" spans="33:33">
      <c r="AG8129" s="10"/>
    </row>
    <row r="8130" spans="33:33">
      <c r="AG8130" s="10"/>
    </row>
    <row r="8131" spans="33:33">
      <c r="AG8131" s="10"/>
    </row>
    <row r="8132" spans="33:33">
      <c r="AG8132" s="10"/>
    </row>
    <row r="8133" spans="33:33">
      <c r="AG8133" s="10"/>
    </row>
    <row r="8134" spans="33:33">
      <c r="AG8134" s="10"/>
    </row>
    <row r="8135" spans="33:33">
      <c r="AG8135" s="10"/>
    </row>
    <row r="8136" spans="33:33">
      <c r="AG8136" s="10"/>
    </row>
    <row r="8137" spans="33:33">
      <c r="AG8137" s="10"/>
    </row>
    <row r="8138" spans="33:33">
      <c r="AG8138" s="10"/>
    </row>
    <row r="8139" spans="33:33">
      <c r="AG8139" s="10"/>
    </row>
    <row r="8140" spans="33:33">
      <c r="AG8140" s="10"/>
    </row>
    <row r="8141" spans="33:33">
      <c r="AG8141" s="10"/>
    </row>
    <row r="8142" spans="33:33">
      <c r="AG8142" s="10"/>
    </row>
    <row r="8143" spans="33:33">
      <c r="AG8143" s="10"/>
    </row>
    <row r="8144" spans="33:33">
      <c r="AG8144" s="10"/>
    </row>
    <row r="8145" spans="33:33">
      <c r="AG8145" s="10"/>
    </row>
    <row r="8146" spans="33:33">
      <c r="AG8146" s="10"/>
    </row>
    <row r="8147" spans="33:33">
      <c r="AG8147" s="10"/>
    </row>
    <row r="8148" spans="33:33">
      <c r="AG8148" s="10"/>
    </row>
    <row r="8149" spans="33:33">
      <c r="AG8149" s="10"/>
    </row>
    <row r="8150" spans="33:33">
      <c r="AG8150" s="10"/>
    </row>
    <row r="8151" spans="33:33">
      <c r="AG8151" s="10"/>
    </row>
    <row r="8152" spans="33:33">
      <c r="AG8152" s="10"/>
    </row>
    <row r="8153" spans="33:33">
      <c r="AG8153" s="10"/>
    </row>
    <row r="8154" spans="33:33">
      <c r="AG8154" s="10"/>
    </row>
    <row r="8155" spans="33:33">
      <c r="AG8155" s="10"/>
    </row>
    <row r="8156" spans="33:33">
      <c r="AG8156" s="10"/>
    </row>
    <row r="8157" spans="33:33">
      <c r="AG8157" s="10"/>
    </row>
    <row r="8158" spans="33:33">
      <c r="AG8158" s="10"/>
    </row>
    <row r="8159" spans="33:33">
      <c r="AG8159" s="10"/>
    </row>
    <row r="8160" spans="33:33">
      <c r="AG8160" s="10"/>
    </row>
    <row r="8161" spans="33:33">
      <c r="AG8161" s="10"/>
    </row>
    <row r="8162" spans="33:33">
      <c r="AG8162" s="10"/>
    </row>
    <row r="8163" spans="33:33">
      <c r="AG8163" s="10"/>
    </row>
    <row r="8164" spans="33:33">
      <c r="AG8164" s="10"/>
    </row>
    <row r="8165" spans="33:33">
      <c r="AG8165" s="10"/>
    </row>
    <row r="8166" spans="33:33">
      <c r="AG8166" s="10"/>
    </row>
    <row r="8167" spans="33:33">
      <c r="AG8167" s="10"/>
    </row>
    <row r="8168" spans="33:33">
      <c r="AG8168" s="10"/>
    </row>
    <row r="8169" spans="33:33">
      <c r="AG8169" s="10"/>
    </row>
    <row r="8170" spans="33:33">
      <c r="AG8170" s="10"/>
    </row>
    <row r="8171" spans="33:33">
      <c r="AG8171" s="10"/>
    </row>
    <row r="8172" spans="33:33">
      <c r="AG8172" s="10"/>
    </row>
    <row r="8173" spans="33:33">
      <c r="AG8173" s="10"/>
    </row>
    <row r="8174" spans="33:33">
      <c r="AG8174" s="10"/>
    </row>
    <row r="8175" spans="33:33">
      <c r="AG8175" s="10"/>
    </row>
    <row r="8176" spans="33:33">
      <c r="AG8176" s="10"/>
    </row>
    <row r="8177" spans="33:33">
      <c r="AG8177" s="10"/>
    </row>
    <row r="8178" spans="33:33">
      <c r="AG8178" s="10"/>
    </row>
    <row r="8179" spans="33:33">
      <c r="AG8179" s="10"/>
    </row>
    <row r="8180" spans="33:33">
      <c r="AG8180" s="10"/>
    </row>
    <row r="8181" spans="33:33">
      <c r="AG8181" s="10"/>
    </row>
    <row r="8182" spans="33:33">
      <c r="AG8182" s="10"/>
    </row>
    <row r="8183" spans="33:33">
      <c r="AG8183" s="10"/>
    </row>
    <row r="8184" spans="33:33">
      <c r="AG8184" s="10"/>
    </row>
    <row r="8185" spans="33:33">
      <c r="AG8185" s="10"/>
    </row>
    <row r="8186" spans="33:33">
      <c r="AG8186" s="10"/>
    </row>
    <row r="8187" spans="33:33">
      <c r="AG8187" s="10"/>
    </row>
    <row r="8188" spans="33:33">
      <c r="AG8188" s="10"/>
    </row>
    <row r="8189" spans="33:33">
      <c r="AG8189" s="10"/>
    </row>
    <row r="8190" spans="33:33">
      <c r="AG8190" s="10"/>
    </row>
    <row r="8191" spans="33:33">
      <c r="AG8191" s="10"/>
    </row>
    <row r="8192" spans="33:33">
      <c r="AG8192" s="10"/>
    </row>
    <row r="8193" spans="33:33">
      <c r="AG8193" s="10"/>
    </row>
    <row r="8194" spans="33:33">
      <c r="AG8194" s="10"/>
    </row>
    <row r="8195" spans="33:33">
      <c r="AG8195" s="10"/>
    </row>
    <row r="8196" spans="33:33">
      <c r="AG8196" s="10"/>
    </row>
    <row r="8197" spans="33:33">
      <c r="AG8197" s="10"/>
    </row>
    <row r="8198" spans="33:33">
      <c r="AG8198" s="10"/>
    </row>
    <row r="8199" spans="33:33">
      <c r="AG8199" s="10"/>
    </row>
    <row r="8200" spans="33:33">
      <c r="AG8200" s="10"/>
    </row>
    <row r="8201" spans="33:33">
      <c r="AG8201" s="10"/>
    </row>
    <row r="8202" spans="33:33">
      <c r="AG8202" s="10"/>
    </row>
    <row r="8203" spans="33:33">
      <c r="AG8203" s="10"/>
    </row>
    <row r="8204" spans="33:33">
      <c r="AG8204" s="10"/>
    </row>
    <row r="8205" spans="33:33">
      <c r="AG8205" s="10"/>
    </row>
    <row r="8206" spans="33:33">
      <c r="AG8206" s="10"/>
    </row>
    <row r="8207" spans="33:33">
      <c r="AG8207" s="10"/>
    </row>
    <row r="8208" spans="33:33">
      <c r="AG8208" s="10"/>
    </row>
    <row r="8209" spans="33:33">
      <c r="AG8209" s="10"/>
    </row>
    <row r="8210" spans="33:33">
      <c r="AG8210" s="10"/>
    </row>
    <row r="8211" spans="33:33">
      <c r="AG8211" s="10"/>
    </row>
    <row r="8212" spans="33:33">
      <c r="AG8212" s="10"/>
    </row>
    <row r="8213" spans="33:33">
      <c r="AG8213" s="10"/>
    </row>
    <row r="8214" spans="33:33">
      <c r="AG8214" s="10"/>
    </row>
    <row r="8215" spans="33:33">
      <c r="AG8215" s="10"/>
    </row>
    <row r="8216" spans="33:33">
      <c r="AG8216" s="10"/>
    </row>
    <row r="8217" spans="33:33">
      <c r="AG8217" s="10"/>
    </row>
    <row r="8218" spans="33:33">
      <c r="AG8218" s="10"/>
    </row>
    <row r="8219" spans="33:33">
      <c r="AG8219" s="10"/>
    </row>
    <row r="8220" spans="33:33">
      <c r="AG8220" s="10"/>
    </row>
    <row r="8221" spans="33:33">
      <c r="AG8221" s="10"/>
    </row>
    <row r="8222" spans="33:33">
      <c r="AG8222" s="10"/>
    </row>
    <row r="8223" spans="33:33">
      <c r="AG8223" s="10"/>
    </row>
    <row r="8224" spans="33:33">
      <c r="AG8224" s="10"/>
    </row>
    <row r="8225" spans="33:33">
      <c r="AG8225" s="10"/>
    </row>
    <row r="8226" spans="33:33">
      <c r="AG8226" s="10"/>
    </row>
    <row r="8227" spans="33:33">
      <c r="AG8227" s="10"/>
    </row>
    <row r="8228" spans="33:33">
      <c r="AG8228" s="10"/>
    </row>
    <row r="8229" spans="33:33">
      <c r="AG8229" s="10"/>
    </row>
    <row r="8230" spans="33:33">
      <c r="AG8230" s="10"/>
    </row>
    <row r="8231" spans="33:33">
      <c r="AG8231" s="10"/>
    </row>
    <row r="8232" spans="33:33">
      <c r="AG8232" s="10"/>
    </row>
    <row r="8233" spans="33:33">
      <c r="AG8233" s="10"/>
    </row>
    <row r="8234" spans="33:33">
      <c r="AG8234" s="10"/>
    </row>
    <row r="8235" spans="33:33">
      <c r="AG8235" s="10"/>
    </row>
    <row r="8236" spans="33:33">
      <c r="AG8236" s="10"/>
    </row>
    <row r="8237" spans="33:33">
      <c r="AG8237" s="10"/>
    </row>
    <row r="8238" spans="33:33">
      <c r="AG8238" s="10"/>
    </row>
    <row r="8239" spans="33:33">
      <c r="AG8239" s="10"/>
    </row>
    <row r="8240" spans="33:33">
      <c r="AG8240" s="10"/>
    </row>
    <row r="8241" spans="33:33">
      <c r="AG8241" s="10"/>
    </row>
    <row r="8242" spans="33:33">
      <c r="AG8242" s="10"/>
    </row>
    <row r="8243" spans="33:33">
      <c r="AG8243" s="10"/>
    </row>
    <row r="8244" spans="33:33">
      <c r="AG8244" s="10"/>
    </row>
    <row r="8245" spans="33:33">
      <c r="AG8245" s="10"/>
    </row>
    <row r="8246" spans="33:33">
      <c r="AG8246" s="10"/>
    </row>
    <row r="8247" spans="33:33">
      <c r="AG8247" s="10"/>
    </row>
    <row r="8248" spans="33:33">
      <c r="AG8248" s="10"/>
    </row>
    <row r="8249" spans="33:33">
      <c r="AG8249" s="10"/>
    </row>
    <row r="8250" spans="33:33">
      <c r="AG8250" s="10"/>
    </row>
    <row r="8251" spans="33:33">
      <c r="AG8251" s="10"/>
    </row>
    <row r="8252" spans="33:33">
      <c r="AG8252" s="10"/>
    </row>
    <row r="8253" spans="33:33">
      <c r="AG8253" s="10"/>
    </row>
    <row r="8254" spans="33:33">
      <c r="AG8254" s="10"/>
    </row>
    <row r="8255" spans="33:33">
      <c r="AG8255" s="10"/>
    </row>
    <row r="8256" spans="33:33">
      <c r="AG8256" s="10"/>
    </row>
    <row r="8257" spans="33:33">
      <c r="AG8257" s="10"/>
    </row>
    <row r="8258" spans="33:33">
      <c r="AG8258" s="10"/>
    </row>
    <row r="8259" spans="33:33">
      <c r="AG8259" s="10"/>
    </row>
    <row r="8260" spans="33:33">
      <c r="AG8260" s="10"/>
    </row>
    <row r="8261" spans="33:33">
      <c r="AG8261" s="10"/>
    </row>
    <row r="8262" spans="33:33">
      <c r="AG8262" s="10"/>
    </row>
    <row r="8263" spans="33:33">
      <c r="AG8263" s="10"/>
    </row>
    <row r="8264" spans="33:33">
      <c r="AG8264" s="10"/>
    </row>
    <row r="8265" spans="33:33">
      <c r="AG8265" s="10"/>
    </row>
    <row r="8266" spans="33:33">
      <c r="AG8266" s="10"/>
    </row>
    <row r="8267" spans="33:33">
      <c r="AG8267" s="10"/>
    </row>
    <row r="8268" spans="33:33">
      <c r="AG8268" s="10"/>
    </row>
    <row r="8269" spans="33:33">
      <c r="AG8269" s="10"/>
    </row>
    <row r="8270" spans="33:33">
      <c r="AG8270" s="10"/>
    </row>
    <row r="8271" spans="33:33">
      <c r="AG8271" s="10"/>
    </row>
    <row r="8272" spans="33:33">
      <c r="AG8272" s="10"/>
    </row>
    <row r="8273" spans="33:33">
      <c r="AG8273" s="10"/>
    </row>
    <row r="8274" spans="33:33">
      <c r="AG8274" s="10"/>
    </row>
    <row r="8275" spans="33:33">
      <c r="AG8275" s="10"/>
    </row>
    <row r="8276" spans="33:33">
      <c r="AG8276" s="10"/>
    </row>
    <row r="8277" spans="33:33">
      <c r="AG8277" s="10"/>
    </row>
    <row r="8278" spans="33:33">
      <c r="AG8278" s="10"/>
    </row>
    <row r="8279" spans="33:33">
      <c r="AG8279" s="10"/>
    </row>
    <row r="8280" spans="33:33">
      <c r="AG8280" s="10"/>
    </row>
    <row r="8281" spans="33:33">
      <c r="AG8281" s="10"/>
    </row>
    <row r="8282" spans="33:33">
      <c r="AG8282" s="10"/>
    </row>
    <row r="8283" spans="33:33">
      <c r="AG8283" s="10"/>
    </row>
    <row r="8284" spans="33:33">
      <c r="AG8284" s="10"/>
    </row>
    <row r="8285" spans="33:33">
      <c r="AG8285" s="10"/>
    </row>
    <row r="8286" spans="33:33">
      <c r="AG8286" s="10"/>
    </row>
    <row r="8287" spans="33:33">
      <c r="AG8287" s="10"/>
    </row>
    <row r="8288" spans="33:33">
      <c r="AG8288" s="10"/>
    </row>
    <row r="8289" spans="33:33">
      <c r="AG8289" s="10"/>
    </row>
    <row r="8290" spans="33:33">
      <c r="AG8290" s="10"/>
    </row>
    <row r="8291" spans="33:33">
      <c r="AG8291" s="10"/>
    </row>
    <row r="8292" spans="33:33">
      <c r="AG8292" s="10"/>
    </row>
    <row r="8293" spans="33:33">
      <c r="AG8293" s="10"/>
    </row>
    <row r="8294" spans="33:33">
      <c r="AG8294" s="10"/>
    </row>
    <row r="8295" spans="33:33">
      <c r="AG8295" s="10"/>
    </row>
    <row r="8296" spans="33:33">
      <c r="AG8296" s="10"/>
    </row>
    <row r="8297" spans="33:33">
      <c r="AG8297" s="10"/>
    </row>
    <row r="8298" spans="33:33">
      <c r="AG8298" s="10"/>
    </row>
    <row r="8299" spans="33:33">
      <c r="AG8299" s="10"/>
    </row>
    <row r="8300" spans="33:33">
      <c r="AG8300" s="10"/>
    </row>
    <row r="8301" spans="33:33">
      <c r="AG8301" s="10"/>
    </row>
    <row r="8302" spans="33:33">
      <c r="AG8302" s="10"/>
    </row>
    <row r="8303" spans="33:33">
      <c r="AG8303" s="10"/>
    </row>
    <row r="8304" spans="33:33">
      <c r="AG8304" s="10"/>
    </row>
    <row r="8305" spans="33:33">
      <c r="AG8305" s="10"/>
    </row>
    <row r="8306" spans="33:33">
      <c r="AG8306" s="10"/>
    </row>
    <row r="8307" spans="33:33">
      <c r="AG8307" s="10"/>
    </row>
    <row r="8308" spans="33:33">
      <c r="AG8308" s="10"/>
    </row>
    <row r="8309" spans="33:33">
      <c r="AG8309" s="10"/>
    </row>
    <row r="8310" spans="33:33">
      <c r="AG8310" s="10"/>
    </row>
    <row r="8311" spans="33:33">
      <c r="AG8311" s="10"/>
    </row>
    <row r="8312" spans="33:33">
      <c r="AG8312" s="10"/>
    </row>
    <row r="8313" spans="33:33">
      <c r="AG8313" s="10"/>
    </row>
    <row r="8314" spans="33:33">
      <c r="AG8314" s="10"/>
    </row>
    <row r="8315" spans="33:33">
      <c r="AG8315" s="10"/>
    </row>
    <row r="8316" spans="33:33">
      <c r="AG8316" s="10"/>
    </row>
    <row r="8317" spans="33:33">
      <c r="AG8317" s="10"/>
    </row>
    <row r="8318" spans="33:33">
      <c r="AG8318" s="10"/>
    </row>
    <row r="8319" spans="33:33">
      <c r="AG8319" s="10"/>
    </row>
    <row r="8320" spans="33:33">
      <c r="AG8320" s="10"/>
    </row>
    <row r="8321" spans="33:33">
      <c r="AG8321" s="10"/>
    </row>
    <row r="8322" spans="33:33">
      <c r="AG8322" s="10"/>
    </row>
    <row r="8323" spans="33:33">
      <c r="AG8323" s="10"/>
    </row>
    <row r="8324" spans="33:33">
      <c r="AG8324" s="10"/>
    </row>
    <row r="8325" spans="33:33">
      <c r="AG8325" s="10"/>
    </row>
    <row r="8326" spans="33:33">
      <c r="AG8326" s="10"/>
    </row>
    <row r="8327" spans="33:33">
      <c r="AG8327" s="10"/>
    </row>
    <row r="8328" spans="33:33">
      <c r="AG8328" s="10"/>
    </row>
    <row r="8329" spans="33:33">
      <c r="AG8329" s="10"/>
    </row>
    <row r="8330" spans="33:33">
      <c r="AG8330" s="10"/>
    </row>
    <row r="8331" spans="33:33">
      <c r="AG8331" s="10"/>
    </row>
    <row r="8332" spans="33:33">
      <c r="AG8332" s="10"/>
    </row>
    <row r="8333" spans="33:33">
      <c r="AG8333" s="10"/>
    </row>
    <row r="8334" spans="33:33">
      <c r="AG8334" s="10"/>
    </row>
    <row r="8335" spans="33:33">
      <c r="AG8335" s="10"/>
    </row>
    <row r="8336" spans="33:33">
      <c r="AG8336" s="10"/>
    </row>
    <row r="8337" spans="33:33">
      <c r="AG8337" s="10"/>
    </row>
    <row r="8338" spans="33:33">
      <c r="AG8338" s="10"/>
    </row>
    <row r="8339" spans="33:33">
      <c r="AG8339" s="10"/>
    </row>
    <row r="8340" spans="33:33">
      <c r="AG8340" s="10"/>
    </row>
    <row r="8341" spans="33:33">
      <c r="AG8341" s="10"/>
    </row>
    <row r="8342" spans="33:33">
      <c r="AG8342" s="10"/>
    </row>
    <row r="8343" spans="33:33">
      <c r="AG8343" s="10"/>
    </row>
    <row r="8344" spans="33:33">
      <c r="AG8344" s="10"/>
    </row>
    <row r="8345" spans="33:33">
      <c r="AG8345" s="10"/>
    </row>
    <row r="8346" spans="33:33">
      <c r="AG8346" s="10"/>
    </row>
    <row r="8347" spans="33:33">
      <c r="AG8347" s="10"/>
    </row>
    <row r="8348" spans="33:33">
      <c r="AG8348" s="10"/>
    </row>
    <row r="8349" spans="33:33">
      <c r="AG8349" s="10"/>
    </row>
    <row r="8350" spans="33:33">
      <c r="AG8350" s="10"/>
    </row>
    <row r="8351" spans="33:33">
      <c r="AG8351" s="10"/>
    </row>
    <row r="8352" spans="33:33">
      <c r="AG8352" s="10"/>
    </row>
    <row r="8353" spans="33:33">
      <c r="AG8353" s="10"/>
    </row>
    <row r="8354" spans="33:33">
      <c r="AG8354" s="10"/>
    </row>
    <row r="8355" spans="33:33">
      <c r="AG8355" s="10"/>
    </row>
    <row r="8356" spans="33:33">
      <c r="AG8356" s="10"/>
    </row>
    <row r="8357" spans="33:33">
      <c r="AG8357" s="10"/>
    </row>
    <row r="8358" spans="33:33">
      <c r="AG8358" s="10"/>
    </row>
    <row r="8359" spans="33:33">
      <c r="AG8359" s="10"/>
    </row>
    <row r="8360" spans="33:33">
      <c r="AG8360" s="10"/>
    </row>
    <row r="8361" spans="33:33">
      <c r="AG8361" s="10"/>
    </row>
    <row r="8362" spans="33:33">
      <c r="AG8362" s="10"/>
    </row>
    <row r="8363" spans="33:33">
      <c r="AG8363" s="10"/>
    </row>
    <row r="8364" spans="33:33">
      <c r="AG8364" s="10"/>
    </row>
    <row r="8365" spans="33:33">
      <c r="AG8365" s="10"/>
    </row>
    <row r="8366" spans="33:33">
      <c r="AG8366" s="10"/>
    </row>
    <row r="8367" spans="33:33">
      <c r="AG8367" s="10"/>
    </row>
    <row r="8368" spans="33:33">
      <c r="AG8368" s="10"/>
    </row>
    <row r="8369" spans="33:33">
      <c r="AG8369" s="10"/>
    </row>
    <row r="8370" spans="33:33">
      <c r="AG8370" s="10"/>
    </row>
    <row r="8371" spans="33:33">
      <c r="AG8371" s="10"/>
    </row>
    <row r="8372" spans="33:33">
      <c r="AG8372" s="10"/>
    </row>
    <row r="8373" spans="33:33">
      <c r="AG8373" s="10"/>
    </row>
    <row r="8374" spans="33:33">
      <c r="AG8374" s="10"/>
    </row>
    <row r="8375" spans="33:33">
      <c r="AG8375" s="10"/>
    </row>
    <row r="8376" spans="33:33">
      <c r="AG8376" s="10"/>
    </row>
    <row r="8377" spans="33:33">
      <c r="AG8377" s="10"/>
    </row>
    <row r="8378" spans="33:33">
      <c r="AG8378" s="10"/>
    </row>
    <row r="8379" spans="33:33">
      <c r="AG8379" s="10"/>
    </row>
    <row r="8380" spans="33:33">
      <c r="AG8380" s="10"/>
    </row>
    <row r="8381" spans="33:33">
      <c r="AG8381" s="10"/>
    </row>
    <row r="8382" spans="33:33">
      <c r="AG8382" s="10"/>
    </row>
    <row r="8383" spans="33:33">
      <c r="AG8383" s="10"/>
    </row>
    <row r="8384" spans="33:33">
      <c r="AG8384" s="10"/>
    </row>
    <row r="8385" spans="33:33">
      <c r="AG8385" s="10"/>
    </row>
    <row r="8386" spans="33:33">
      <c r="AG8386" s="10"/>
    </row>
    <row r="8387" spans="33:33">
      <c r="AG8387" s="10"/>
    </row>
    <row r="8388" spans="33:33">
      <c r="AG8388" s="10"/>
    </row>
    <row r="8389" spans="33:33">
      <c r="AG8389" s="10"/>
    </row>
    <row r="8390" spans="33:33">
      <c r="AG8390" s="10"/>
    </row>
    <row r="8391" spans="33:33">
      <c r="AG8391" s="10"/>
    </row>
    <row r="8392" spans="33:33">
      <c r="AG8392" s="10"/>
    </row>
    <row r="8393" spans="33:33">
      <c r="AG8393" s="10"/>
    </row>
    <row r="8394" spans="33:33">
      <c r="AG8394" s="10"/>
    </row>
    <row r="8395" spans="33:33">
      <c r="AG8395" s="10"/>
    </row>
    <row r="8396" spans="33:33">
      <c r="AG8396" s="10"/>
    </row>
    <row r="8397" spans="33:33">
      <c r="AG8397" s="10"/>
    </row>
    <row r="8398" spans="33:33">
      <c r="AG8398" s="10"/>
    </row>
    <row r="8399" spans="33:33">
      <c r="AG8399" s="10"/>
    </row>
    <row r="8400" spans="33:33">
      <c r="AG8400" s="10"/>
    </row>
    <row r="8401" spans="33:33">
      <c r="AG8401" s="10"/>
    </row>
    <row r="8402" spans="33:33">
      <c r="AG8402" s="10"/>
    </row>
    <row r="8403" spans="33:33">
      <c r="AG8403" s="10"/>
    </row>
    <row r="8404" spans="33:33">
      <c r="AG8404" s="10"/>
    </row>
    <row r="8405" spans="33:33">
      <c r="AG8405" s="10"/>
    </row>
    <row r="8406" spans="33:33">
      <c r="AG8406" s="10"/>
    </row>
    <row r="8407" spans="33:33">
      <c r="AG8407" s="10"/>
    </row>
    <row r="8408" spans="33:33">
      <c r="AG8408" s="10"/>
    </row>
    <row r="8409" spans="33:33">
      <c r="AG8409" s="10"/>
    </row>
    <row r="8410" spans="33:33">
      <c r="AG8410" s="10"/>
    </row>
    <row r="8411" spans="33:33">
      <c r="AG8411" s="10"/>
    </row>
    <row r="8412" spans="33:33">
      <c r="AG8412" s="10"/>
    </row>
    <row r="8413" spans="33:33">
      <c r="AG8413" s="10"/>
    </row>
    <row r="8414" spans="33:33">
      <c r="AG8414" s="10"/>
    </row>
    <row r="8415" spans="33:33">
      <c r="AG8415" s="10"/>
    </row>
    <row r="8416" spans="33:33">
      <c r="AG8416" s="10"/>
    </row>
    <row r="8417" spans="33:33">
      <c r="AG8417" s="10"/>
    </row>
    <row r="8418" spans="33:33">
      <c r="AG8418" s="10"/>
    </row>
    <row r="8419" spans="33:33">
      <c r="AG8419" s="10"/>
    </row>
    <row r="8420" spans="33:33">
      <c r="AG8420" s="10"/>
    </row>
    <row r="8421" spans="33:33">
      <c r="AG8421" s="10"/>
    </row>
    <row r="8422" spans="33:33">
      <c r="AG8422" s="10"/>
    </row>
    <row r="8423" spans="33:33">
      <c r="AG8423" s="10"/>
    </row>
    <row r="8424" spans="33:33">
      <c r="AG8424" s="10"/>
    </row>
    <row r="8425" spans="33:33">
      <c r="AG8425" s="10"/>
    </row>
    <row r="8426" spans="33:33">
      <c r="AG8426" s="10"/>
    </row>
    <row r="8427" spans="33:33">
      <c r="AG8427" s="10"/>
    </row>
    <row r="8428" spans="33:33">
      <c r="AG8428" s="10"/>
    </row>
    <row r="8429" spans="33:33">
      <c r="AG8429" s="10"/>
    </row>
    <row r="8430" spans="33:33">
      <c r="AG8430" s="10"/>
    </row>
    <row r="8431" spans="33:33">
      <c r="AG8431" s="10"/>
    </row>
    <row r="8432" spans="33:33">
      <c r="AG8432" s="10"/>
    </row>
    <row r="8433" spans="33:33">
      <c r="AG8433" s="10"/>
    </row>
    <row r="8434" spans="33:33">
      <c r="AG8434" s="10"/>
    </row>
    <row r="8435" spans="33:33">
      <c r="AG8435" s="10"/>
    </row>
    <row r="8436" spans="33:33">
      <c r="AG8436" s="10"/>
    </row>
    <row r="8437" spans="33:33">
      <c r="AG8437" s="10"/>
    </row>
    <row r="8438" spans="33:33">
      <c r="AG8438" s="10"/>
    </row>
    <row r="8439" spans="33:33">
      <c r="AG8439" s="10"/>
    </row>
    <row r="8440" spans="33:33">
      <c r="AG8440" s="10"/>
    </row>
    <row r="8441" spans="33:33">
      <c r="AG8441" s="10"/>
    </row>
    <row r="8442" spans="33:33">
      <c r="AG8442" s="10"/>
    </row>
    <row r="8443" spans="33:33">
      <c r="AG8443" s="10"/>
    </row>
    <row r="8444" spans="33:33">
      <c r="AG8444" s="10"/>
    </row>
    <row r="8445" spans="33:33">
      <c r="AG8445" s="10"/>
    </row>
    <row r="8446" spans="33:33">
      <c r="AG8446" s="10"/>
    </row>
    <row r="8447" spans="33:33">
      <c r="AG8447" s="10"/>
    </row>
    <row r="8448" spans="33:33">
      <c r="AG8448" s="10"/>
    </row>
    <row r="8449" spans="33:33">
      <c r="AG8449" s="10"/>
    </row>
    <row r="8450" spans="33:33">
      <c r="AG8450" s="10"/>
    </row>
    <row r="8451" spans="33:33">
      <c r="AG8451" s="10"/>
    </row>
    <row r="8452" spans="33:33">
      <c r="AG8452" s="10"/>
    </row>
    <row r="8453" spans="33:33">
      <c r="AG8453" s="10"/>
    </row>
    <row r="8454" spans="33:33">
      <c r="AG8454" s="10"/>
    </row>
    <row r="8455" spans="33:33">
      <c r="AG8455" s="10"/>
    </row>
    <row r="8456" spans="33:33">
      <c r="AG8456" s="10"/>
    </row>
    <row r="8457" spans="33:33">
      <c r="AG8457" s="10"/>
    </row>
    <row r="8458" spans="33:33">
      <c r="AG8458" s="10"/>
    </row>
    <row r="8459" spans="33:33">
      <c r="AG8459" s="10"/>
    </row>
    <row r="8460" spans="33:33">
      <c r="AG8460" s="10"/>
    </row>
    <row r="8461" spans="33:33">
      <c r="AG8461" s="10"/>
    </row>
    <row r="8462" spans="33:33">
      <c r="AG8462" s="10"/>
    </row>
    <row r="8463" spans="33:33">
      <c r="AG8463" s="10"/>
    </row>
    <row r="8464" spans="33:33">
      <c r="AG8464" s="10"/>
    </row>
    <row r="8465" spans="33:33">
      <c r="AG8465" s="10"/>
    </row>
    <row r="8466" spans="33:33">
      <c r="AG8466" s="10"/>
    </row>
    <row r="8467" spans="33:33">
      <c r="AG8467" s="10"/>
    </row>
    <row r="8468" spans="33:33">
      <c r="AG8468" s="10"/>
    </row>
    <row r="8469" spans="33:33">
      <c r="AG8469" s="10"/>
    </row>
    <row r="8470" spans="33:33">
      <c r="AG8470" s="10"/>
    </row>
    <row r="8471" spans="33:33">
      <c r="AG8471" s="10"/>
    </row>
    <row r="8472" spans="33:33">
      <c r="AG8472" s="10"/>
    </row>
    <row r="8473" spans="33:33">
      <c r="AG8473" s="10"/>
    </row>
    <row r="8474" spans="33:33">
      <c r="AG8474" s="10"/>
    </row>
    <row r="8475" spans="33:33">
      <c r="AG8475" s="10"/>
    </row>
    <row r="8476" spans="33:33">
      <c r="AG8476" s="10"/>
    </row>
    <row r="8477" spans="33:33">
      <c r="AG8477" s="10"/>
    </row>
    <row r="8478" spans="33:33">
      <c r="AG8478" s="10"/>
    </row>
    <row r="8479" spans="33:33">
      <c r="AG8479" s="10"/>
    </row>
    <row r="8480" spans="33:33">
      <c r="AG8480" s="10"/>
    </row>
    <row r="8481" spans="33:33">
      <c r="AG8481" s="10"/>
    </row>
    <row r="8482" spans="33:33">
      <c r="AG8482" s="10"/>
    </row>
    <row r="8483" spans="33:33">
      <c r="AG8483" s="10"/>
    </row>
    <row r="8484" spans="33:33">
      <c r="AG8484" s="10"/>
    </row>
    <row r="8485" spans="33:33">
      <c r="AG8485" s="10"/>
    </row>
    <row r="8486" spans="33:33">
      <c r="AG8486" s="10"/>
    </row>
    <row r="8487" spans="33:33">
      <c r="AG8487" s="10"/>
    </row>
    <row r="8488" spans="33:33">
      <c r="AG8488" s="10"/>
    </row>
    <row r="8489" spans="33:33">
      <c r="AG8489" s="10"/>
    </row>
    <row r="8490" spans="33:33">
      <c r="AG8490" s="10"/>
    </row>
    <row r="8491" spans="33:33">
      <c r="AG8491" s="10"/>
    </row>
    <row r="8492" spans="33:33">
      <c r="AG8492" s="10"/>
    </row>
    <row r="8493" spans="33:33">
      <c r="AG8493" s="10"/>
    </row>
    <row r="8494" spans="33:33">
      <c r="AG8494" s="10"/>
    </row>
    <row r="8495" spans="33:33">
      <c r="AG8495" s="10"/>
    </row>
    <row r="8496" spans="33:33">
      <c r="AG8496" s="10"/>
    </row>
    <row r="8497" spans="33:33">
      <c r="AG8497" s="10"/>
    </row>
    <row r="8498" spans="33:33">
      <c r="AG8498" s="10"/>
    </row>
    <row r="8499" spans="33:33">
      <c r="AG8499" s="10"/>
    </row>
    <row r="8500" spans="33:33">
      <c r="AG8500" s="10"/>
    </row>
    <row r="8501" spans="33:33">
      <c r="AG8501" s="10"/>
    </row>
    <row r="8502" spans="33:33">
      <c r="AG8502" s="10"/>
    </row>
    <row r="8503" spans="33:33">
      <c r="AG8503" s="10"/>
    </row>
    <row r="8504" spans="33:33">
      <c r="AG8504" s="10"/>
    </row>
    <row r="8505" spans="33:33">
      <c r="AG8505" s="10"/>
    </row>
    <row r="8506" spans="33:33">
      <c r="AG8506" s="10"/>
    </row>
    <row r="8507" spans="33:33">
      <c r="AG8507" s="10"/>
    </row>
    <row r="8508" spans="33:33">
      <c r="AG8508" s="10"/>
    </row>
    <row r="8509" spans="33:33">
      <c r="AG8509" s="10"/>
    </row>
    <row r="8510" spans="33:33">
      <c r="AG8510" s="10"/>
    </row>
    <row r="8511" spans="33:33">
      <c r="AG8511" s="10"/>
    </row>
    <row r="8512" spans="33:33">
      <c r="AG8512" s="10"/>
    </row>
    <row r="8513" spans="33:33">
      <c r="AG8513" s="10"/>
    </row>
    <row r="8514" spans="33:33">
      <c r="AG8514" s="10"/>
    </row>
    <row r="8515" spans="33:33">
      <c r="AG8515" s="10"/>
    </row>
    <row r="8516" spans="33:33">
      <c r="AG8516" s="10"/>
    </row>
    <row r="8517" spans="33:33">
      <c r="AG8517" s="10"/>
    </row>
    <row r="8518" spans="33:33">
      <c r="AG8518" s="10"/>
    </row>
    <row r="8519" spans="33:33">
      <c r="AG8519" s="10"/>
    </row>
    <row r="8520" spans="33:33">
      <c r="AG8520" s="10"/>
    </row>
    <row r="8521" spans="33:33">
      <c r="AG8521" s="10"/>
    </row>
    <row r="8522" spans="33:33">
      <c r="AG8522" s="10"/>
    </row>
    <row r="8523" spans="33:33">
      <c r="AG8523" s="10"/>
    </row>
    <row r="8524" spans="33:33">
      <c r="AG8524" s="10"/>
    </row>
    <row r="8525" spans="33:33">
      <c r="AG8525" s="10"/>
    </row>
    <row r="8526" spans="33:33">
      <c r="AG8526" s="10"/>
    </row>
    <row r="8527" spans="33:33">
      <c r="AG8527" s="10"/>
    </row>
    <row r="8528" spans="33:33">
      <c r="AG8528" s="10"/>
    </row>
    <row r="8529" spans="33:33">
      <c r="AG8529" s="10"/>
    </row>
    <row r="8530" spans="33:33">
      <c r="AG8530" s="10"/>
    </row>
    <row r="8531" spans="33:33">
      <c r="AG8531" s="10"/>
    </row>
    <row r="8532" spans="33:33">
      <c r="AG8532" s="10"/>
    </row>
    <row r="8533" spans="33:33">
      <c r="AG8533" s="10"/>
    </row>
    <row r="8534" spans="33:33">
      <c r="AG8534" s="10"/>
    </row>
    <row r="8535" spans="33:33">
      <c r="AG8535" s="10"/>
    </row>
    <row r="8536" spans="33:33">
      <c r="AG8536" s="10"/>
    </row>
    <row r="8537" spans="33:33">
      <c r="AG8537" s="10"/>
    </row>
    <row r="8538" spans="33:33">
      <c r="AG8538" s="10"/>
    </row>
    <row r="8539" spans="33:33">
      <c r="AG8539" s="10"/>
    </row>
    <row r="8540" spans="33:33">
      <c r="AG8540" s="10"/>
    </row>
    <row r="8541" spans="33:33">
      <c r="AG8541" s="10"/>
    </row>
    <row r="8542" spans="33:33">
      <c r="AG8542" s="10"/>
    </row>
    <row r="8543" spans="33:33">
      <c r="AG8543" s="10"/>
    </row>
    <row r="8544" spans="33:33">
      <c r="AG8544" s="10"/>
    </row>
    <row r="8545" spans="33:33">
      <c r="AG8545" s="10"/>
    </row>
    <row r="8546" spans="33:33">
      <c r="AG8546" s="10"/>
    </row>
    <row r="8547" spans="33:33">
      <c r="AG8547" s="10"/>
    </row>
    <row r="8548" spans="33:33">
      <c r="AG8548" s="10"/>
    </row>
    <row r="8549" spans="33:33">
      <c r="AG8549" s="10"/>
    </row>
    <row r="8550" spans="33:33">
      <c r="AG8550" s="10"/>
    </row>
    <row r="8551" spans="33:33">
      <c r="AG8551" s="10"/>
    </row>
    <row r="8552" spans="33:33">
      <c r="AG8552" s="10"/>
    </row>
    <row r="8553" spans="33:33">
      <c r="AG8553" s="10"/>
    </row>
    <row r="8554" spans="33:33">
      <c r="AG8554" s="10"/>
    </row>
    <row r="8555" spans="33:33">
      <c r="AG8555" s="10"/>
    </row>
    <row r="8556" spans="33:33">
      <c r="AG8556" s="10"/>
    </row>
    <row r="8557" spans="33:33">
      <c r="AG8557" s="10"/>
    </row>
    <row r="8558" spans="33:33">
      <c r="AG8558" s="10"/>
    </row>
    <row r="8559" spans="33:33">
      <c r="AG8559" s="10"/>
    </row>
    <row r="8560" spans="33:33">
      <c r="AG8560" s="10"/>
    </row>
    <row r="8561" spans="33:33">
      <c r="AG8561" s="10"/>
    </row>
    <row r="8562" spans="33:33">
      <c r="AG8562" s="10"/>
    </row>
    <row r="8563" spans="33:33">
      <c r="AG8563" s="10"/>
    </row>
    <row r="8564" spans="33:33">
      <c r="AG8564" s="10"/>
    </row>
    <row r="8565" spans="33:33">
      <c r="AG8565" s="10"/>
    </row>
    <row r="8566" spans="33:33">
      <c r="AG8566" s="10"/>
    </row>
    <row r="8567" spans="33:33">
      <c r="AG8567" s="10"/>
    </row>
    <row r="8568" spans="33:33">
      <c r="AG8568" s="10"/>
    </row>
    <row r="8569" spans="33:33">
      <c r="AG8569" s="10"/>
    </row>
    <row r="8570" spans="33:33">
      <c r="AG8570" s="10"/>
    </row>
    <row r="8571" spans="33:33">
      <c r="AG8571" s="10"/>
    </row>
    <row r="8572" spans="33:33">
      <c r="AG8572" s="10"/>
    </row>
    <row r="8573" spans="33:33">
      <c r="AG8573" s="10"/>
    </row>
    <row r="8574" spans="33:33">
      <c r="AG8574" s="10"/>
    </row>
    <row r="8575" spans="33:33">
      <c r="AG8575" s="10"/>
    </row>
    <row r="8576" spans="33:33">
      <c r="AG8576" s="10"/>
    </row>
    <row r="8577" spans="33:33">
      <c r="AG8577" s="10"/>
    </row>
    <row r="8578" spans="33:33">
      <c r="AG8578" s="10"/>
    </row>
    <row r="8579" spans="33:33">
      <c r="AG8579" s="10"/>
    </row>
    <row r="8580" spans="33:33">
      <c r="AG8580" s="10"/>
    </row>
    <row r="8581" spans="33:33">
      <c r="AG8581" s="10"/>
    </row>
    <row r="8582" spans="33:33">
      <c r="AG8582" s="10"/>
    </row>
    <row r="8583" spans="33:33">
      <c r="AG8583" s="10"/>
    </row>
    <row r="8584" spans="33:33">
      <c r="AG8584" s="10"/>
    </row>
    <row r="8585" spans="33:33">
      <c r="AG8585" s="10"/>
    </row>
    <row r="8586" spans="33:33">
      <c r="AG8586" s="10"/>
    </row>
    <row r="8587" spans="33:33">
      <c r="AG8587" s="10"/>
    </row>
    <row r="8588" spans="33:33">
      <c r="AG8588" s="10"/>
    </row>
    <row r="8589" spans="33:33">
      <c r="AG8589" s="10"/>
    </row>
    <row r="8590" spans="33:33">
      <c r="AG8590" s="10"/>
    </row>
    <row r="8591" spans="33:33">
      <c r="AG8591" s="10"/>
    </row>
    <row r="8592" spans="33:33">
      <c r="AG8592" s="10"/>
    </row>
    <row r="8593" spans="33:33">
      <c r="AG8593" s="10"/>
    </row>
    <row r="8594" spans="33:33">
      <c r="AG8594" s="10"/>
    </row>
    <row r="8595" spans="33:33">
      <c r="AG8595" s="10"/>
    </row>
    <row r="8596" spans="33:33">
      <c r="AG8596" s="10"/>
    </row>
    <row r="8597" spans="33:33">
      <c r="AG8597" s="10"/>
    </row>
    <row r="8598" spans="33:33">
      <c r="AG8598" s="10"/>
    </row>
    <row r="8599" spans="33:33">
      <c r="AG8599" s="10"/>
    </row>
    <row r="8600" spans="33:33">
      <c r="AG8600" s="10"/>
    </row>
    <row r="8601" spans="33:33">
      <c r="AG8601" s="10"/>
    </row>
    <row r="8602" spans="33:33">
      <c r="AG8602" s="10"/>
    </row>
    <row r="8603" spans="33:33">
      <c r="AG8603" s="10"/>
    </row>
    <row r="8604" spans="33:33">
      <c r="AG8604" s="10"/>
    </row>
    <row r="8605" spans="33:33">
      <c r="AG8605" s="10"/>
    </row>
    <row r="8606" spans="33:33">
      <c r="AG8606" s="10"/>
    </row>
    <row r="8607" spans="33:33">
      <c r="AG8607" s="10"/>
    </row>
    <row r="8608" spans="33:33">
      <c r="AG8608" s="10"/>
    </row>
    <row r="8609" spans="33:33">
      <c r="AG8609" s="10"/>
    </row>
    <row r="8610" spans="33:33">
      <c r="AG8610" s="10"/>
    </row>
    <row r="8611" spans="33:33">
      <c r="AG8611" s="10"/>
    </row>
    <row r="8612" spans="33:33">
      <c r="AG8612" s="10"/>
    </row>
    <row r="8613" spans="33:33">
      <c r="AG8613" s="10"/>
    </row>
    <row r="8614" spans="33:33">
      <c r="AG8614" s="10"/>
    </row>
    <row r="8615" spans="33:33">
      <c r="AG8615" s="10"/>
    </row>
    <row r="8616" spans="33:33">
      <c r="AG8616" s="10"/>
    </row>
    <row r="8617" spans="33:33">
      <c r="AG8617" s="10"/>
    </row>
    <row r="8618" spans="33:33">
      <c r="AG8618" s="10"/>
    </row>
    <row r="8619" spans="33:33">
      <c r="AG8619" s="10"/>
    </row>
    <row r="8620" spans="33:33">
      <c r="AG8620" s="10"/>
    </row>
    <row r="8621" spans="33:33">
      <c r="AG8621" s="10"/>
    </row>
    <row r="8622" spans="33:33">
      <c r="AG8622" s="10"/>
    </row>
    <row r="8623" spans="33:33">
      <c r="AG8623" s="10"/>
    </row>
    <row r="8624" spans="33:33">
      <c r="AG8624" s="10"/>
    </row>
    <row r="8625" spans="33:33">
      <c r="AG8625" s="10"/>
    </row>
    <row r="8626" spans="33:33">
      <c r="AG8626" s="10"/>
    </row>
    <row r="8627" spans="33:33">
      <c r="AG8627" s="10"/>
    </row>
    <row r="8628" spans="33:33">
      <c r="AG8628" s="10"/>
    </row>
    <row r="8629" spans="33:33">
      <c r="AG8629" s="10"/>
    </row>
    <row r="8630" spans="33:33">
      <c r="AG8630" s="10"/>
    </row>
    <row r="8631" spans="33:33">
      <c r="AG8631" s="10"/>
    </row>
    <row r="8632" spans="33:33">
      <c r="AG8632" s="10"/>
    </row>
    <row r="8633" spans="33:33">
      <c r="AG8633" s="10"/>
    </row>
    <row r="8634" spans="33:33">
      <c r="AG8634" s="10"/>
    </row>
    <row r="8635" spans="33:33">
      <c r="AG8635" s="10"/>
    </row>
    <row r="8636" spans="33:33">
      <c r="AG8636" s="10"/>
    </row>
    <row r="8637" spans="33:33">
      <c r="AG8637" s="10"/>
    </row>
    <row r="8638" spans="33:33">
      <c r="AG8638" s="10"/>
    </row>
    <row r="8639" spans="33:33">
      <c r="AG8639" s="10"/>
    </row>
    <row r="8640" spans="33:33">
      <c r="AG8640" s="10"/>
    </row>
    <row r="8641" spans="33:33">
      <c r="AG8641" s="10"/>
    </row>
    <row r="8642" spans="33:33">
      <c r="AG8642" s="10"/>
    </row>
    <row r="8643" spans="33:33">
      <c r="AG8643" s="10"/>
    </row>
    <row r="8644" spans="33:33">
      <c r="AG8644" s="10"/>
    </row>
    <row r="8645" spans="33:33">
      <c r="AG8645" s="10"/>
    </row>
    <row r="8646" spans="33:33">
      <c r="AG8646" s="10"/>
    </row>
    <row r="8647" spans="33:33">
      <c r="AG8647" s="10"/>
    </row>
    <row r="8648" spans="33:33">
      <c r="AG8648" s="10"/>
    </row>
    <row r="8649" spans="33:33">
      <c r="AG8649" s="10"/>
    </row>
    <row r="8650" spans="33:33">
      <c r="AG8650" s="10"/>
    </row>
    <row r="8651" spans="33:33">
      <c r="AG8651" s="10"/>
    </row>
    <row r="8652" spans="33:33">
      <c r="AG8652" s="10"/>
    </row>
    <row r="8653" spans="33:33">
      <c r="AG8653" s="10"/>
    </row>
    <row r="8654" spans="33:33">
      <c r="AG8654" s="10"/>
    </row>
    <row r="8655" spans="33:33">
      <c r="AG8655" s="10"/>
    </row>
    <row r="8656" spans="33:33">
      <c r="AG8656" s="10"/>
    </row>
    <row r="8657" spans="33:33">
      <c r="AG8657" s="10"/>
    </row>
    <row r="8658" spans="33:33">
      <c r="AG8658" s="10"/>
    </row>
    <row r="8659" spans="33:33">
      <c r="AG8659" s="10"/>
    </row>
    <row r="8660" spans="33:33">
      <c r="AG8660" s="10"/>
    </row>
    <row r="8661" spans="33:33">
      <c r="AG8661" s="10"/>
    </row>
    <row r="8662" spans="33:33">
      <c r="AG8662" s="10"/>
    </row>
    <row r="8663" spans="33:33">
      <c r="AG8663" s="10"/>
    </row>
    <row r="8664" spans="33:33">
      <c r="AG8664" s="10"/>
    </row>
    <row r="8665" spans="33:33">
      <c r="AG8665" s="10"/>
    </row>
    <row r="8666" spans="33:33">
      <c r="AG8666" s="10"/>
    </row>
    <row r="8667" spans="33:33">
      <c r="AG8667" s="10"/>
    </row>
    <row r="8668" spans="33:33">
      <c r="AG8668" s="10"/>
    </row>
    <row r="8669" spans="33:33">
      <c r="AG8669" s="10"/>
    </row>
    <row r="8670" spans="33:33">
      <c r="AG8670" s="10"/>
    </row>
    <row r="8671" spans="33:33">
      <c r="AG8671" s="10"/>
    </row>
    <row r="8672" spans="33:33">
      <c r="AG8672" s="10"/>
    </row>
    <row r="8673" spans="33:33">
      <c r="AG8673" s="10"/>
    </row>
    <row r="8674" spans="33:33">
      <c r="AG8674" s="10"/>
    </row>
    <row r="8675" spans="33:33">
      <c r="AG8675" s="10"/>
    </row>
    <row r="8676" spans="33:33">
      <c r="AG8676" s="10"/>
    </row>
    <row r="8677" spans="33:33">
      <c r="AG8677" s="10"/>
    </row>
    <row r="8678" spans="33:33">
      <c r="AG8678" s="10"/>
    </row>
    <row r="8679" spans="33:33">
      <c r="AG8679" s="10"/>
    </row>
    <row r="8680" spans="33:33">
      <c r="AG8680" s="10"/>
    </row>
    <row r="8681" spans="33:33">
      <c r="AG8681" s="10"/>
    </row>
    <row r="8682" spans="33:33">
      <c r="AG8682" s="10"/>
    </row>
    <row r="8683" spans="33:33">
      <c r="AG8683" s="10"/>
    </row>
    <row r="8684" spans="33:33">
      <c r="AG8684" s="10"/>
    </row>
    <row r="8685" spans="33:33">
      <c r="AG8685" s="10"/>
    </row>
    <row r="8686" spans="33:33">
      <c r="AG8686" s="10"/>
    </row>
    <row r="8687" spans="33:33">
      <c r="AG8687" s="10"/>
    </row>
    <row r="8688" spans="33:33">
      <c r="AG8688" s="10"/>
    </row>
    <row r="8689" spans="33:33">
      <c r="AG8689" s="10"/>
    </row>
    <row r="8690" spans="33:33">
      <c r="AG8690" s="10"/>
    </row>
    <row r="8691" spans="33:33">
      <c r="AG8691" s="10"/>
    </row>
    <row r="8692" spans="33:33">
      <c r="AG8692" s="10"/>
    </row>
    <row r="8693" spans="33:33">
      <c r="AG8693" s="10"/>
    </row>
    <row r="8694" spans="33:33">
      <c r="AG8694" s="10"/>
    </row>
    <row r="8695" spans="33:33">
      <c r="AG8695" s="10"/>
    </row>
    <row r="8696" spans="33:33">
      <c r="AG8696" s="10"/>
    </row>
    <row r="8697" spans="33:33">
      <c r="AG8697" s="10"/>
    </row>
    <row r="8698" spans="33:33">
      <c r="AG8698" s="10"/>
    </row>
    <row r="8699" spans="33:33">
      <c r="AG8699" s="10"/>
    </row>
    <row r="8700" spans="33:33">
      <c r="AG8700" s="10"/>
    </row>
    <row r="8701" spans="33:33">
      <c r="AG8701" s="10"/>
    </row>
    <row r="8702" spans="33:33">
      <c r="AG8702" s="10"/>
    </row>
    <row r="8703" spans="33:33">
      <c r="AG8703" s="10"/>
    </row>
    <row r="8704" spans="33:33">
      <c r="AG8704" s="10"/>
    </row>
    <row r="8705" spans="33:33">
      <c r="AG8705" s="10"/>
    </row>
    <row r="8706" spans="33:33">
      <c r="AG8706" s="10"/>
    </row>
    <row r="8707" spans="33:33">
      <c r="AG8707" s="10"/>
    </row>
    <row r="8708" spans="33:33">
      <c r="AG8708" s="10"/>
    </row>
    <row r="8709" spans="33:33">
      <c r="AG8709" s="10"/>
    </row>
    <row r="8710" spans="33:33">
      <c r="AG8710" s="10"/>
    </row>
    <row r="8711" spans="33:33">
      <c r="AG8711" s="10"/>
    </row>
    <row r="8712" spans="33:33">
      <c r="AG8712" s="10"/>
    </row>
    <row r="8713" spans="33:33">
      <c r="AG8713" s="10"/>
    </row>
    <row r="8714" spans="33:33">
      <c r="AG8714" s="10"/>
    </row>
    <row r="8715" spans="33:33">
      <c r="AG8715" s="10"/>
    </row>
    <row r="8716" spans="33:33">
      <c r="AG8716" s="10"/>
    </row>
    <row r="8717" spans="33:33">
      <c r="AG8717" s="10"/>
    </row>
    <row r="8718" spans="33:33">
      <c r="AG8718" s="10"/>
    </row>
    <row r="8719" spans="33:33">
      <c r="AG8719" s="10"/>
    </row>
    <row r="8720" spans="33:33">
      <c r="AG8720" s="10"/>
    </row>
    <row r="8721" spans="33:33">
      <c r="AG8721" s="10"/>
    </row>
    <row r="8722" spans="33:33">
      <c r="AG8722" s="10"/>
    </row>
    <row r="8723" spans="33:33">
      <c r="AG8723" s="10"/>
    </row>
    <row r="8724" spans="33:33">
      <c r="AG8724" s="10"/>
    </row>
    <row r="8725" spans="33:33">
      <c r="AG8725" s="10"/>
    </row>
    <row r="8726" spans="33:33">
      <c r="AG8726" s="10"/>
    </row>
    <row r="8727" spans="33:33">
      <c r="AG8727" s="10"/>
    </row>
    <row r="8728" spans="33:33">
      <c r="AG8728" s="10"/>
    </row>
    <row r="8729" spans="33:33">
      <c r="AG8729" s="10"/>
    </row>
    <row r="8730" spans="33:33">
      <c r="AG8730" s="10"/>
    </row>
    <row r="8731" spans="33:33">
      <c r="AG8731" s="10"/>
    </row>
    <row r="8732" spans="33:33">
      <c r="AG8732" s="10"/>
    </row>
    <row r="8733" spans="33:33">
      <c r="AG8733" s="10"/>
    </row>
    <row r="8734" spans="33:33">
      <c r="AG8734" s="10"/>
    </row>
    <row r="8735" spans="33:33">
      <c r="AG8735" s="10"/>
    </row>
    <row r="8736" spans="33:33">
      <c r="AG8736" s="10"/>
    </row>
    <row r="8737" spans="33:33">
      <c r="AG8737" s="10"/>
    </row>
    <row r="8738" spans="33:33">
      <c r="AG8738" s="10"/>
    </row>
    <row r="8739" spans="33:33">
      <c r="AG8739" s="10"/>
    </row>
    <row r="8740" spans="33:33">
      <c r="AG8740" s="10"/>
    </row>
    <row r="8741" spans="33:33">
      <c r="AG8741" s="10"/>
    </row>
    <row r="8742" spans="33:33">
      <c r="AG8742" s="10"/>
    </row>
    <row r="8743" spans="33:33">
      <c r="AG8743" s="10"/>
    </row>
    <row r="8744" spans="33:33">
      <c r="AG8744" s="10"/>
    </row>
    <row r="8745" spans="33:33">
      <c r="AG8745" s="10"/>
    </row>
    <row r="8746" spans="33:33">
      <c r="AG8746" s="10"/>
    </row>
    <row r="8747" spans="33:33">
      <c r="AG8747" s="10"/>
    </row>
    <row r="8748" spans="33:33">
      <c r="AG8748" s="10"/>
    </row>
    <row r="8749" spans="33:33">
      <c r="AG8749" s="10"/>
    </row>
    <row r="8750" spans="33:33">
      <c r="AG8750" s="10"/>
    </row>
    <row r="8751" spans="33:33">
      <c r="AG8751" s="10"/>
    </row>
    <row r="8752" spans="33:33">
      <c r="AG8752" s="10"/>
    </row>
    <row r="8753" spans="33:33">
      <c r="AG8753" s="10"/>
    </row>
    <row r="8754" spans="33:33">
      <c r="AG8754" s="10"/>
    </row>
    <row r="8755" spans="33:33">
      <c r="AG8755" s="10"/>
    </row>
    <row r="8756" spans="33:33">
      <c r="AG8756" s="10"/>
    </row>
    <row r="8757" spans="33:33">
      <c r="AG8757" s="10"/>
    </row>
    <row r="8758" spans="33:33">
      <c r="AG8758" s="10"/>
    </row>
    <row r="8759" spans="33:33">
      <c r="AG8759" s="10"/>
    </row>
    <row r="8760" spans="33:33">
      <c r="AG8760" s="10"/>
    </row>
    <row r="8761" spans="33:33">
      <c r="AG8761" s="10"/>
    </row>
    <row r="8762" spans="33:33">
      <c r="AG8762" s="10"/>
    </row>
    <row r="8763" spans="33:33">
      <c r="AG8763" s="10"/>
    </row>
    <row r="8764" spans="33:33">
      <c r="AG8764" s="10"/>
    </row>
    <row r="8765" spans="33:33">
      <c r="AG8765" s="10"/>
    </row>
    <row r="8766" spans="33:33">
      <c r="AG8766" s="10"/>
    </row>
    <row r="8767" spans="33:33">
      <c r="AG8767" s="10"/>
    </row>
    <row r="8768" spans="33:33">
      <c r="AG8768" s="10"/>
    </row>
    <row r="8769" spans="33:33">
      <c r="AG8769" s="10"/>
    </row>
    <row r="8770" spans="33:33">
      <c r="AG8770" s="10"/>
    </row>
    <row r="8771" spans="33:33">
      <c r="AG8771" s="10"/>
    </row>
    <row r="8772" spans="33:33">
      <c r="AG8772" s="10"/>
    </row>
    <row r="8773" spans="33:33">
      <c r="AG8773" s="10"/>
    </row>
    <row r="8774" spans="33:33">
      <c r="AG8774" s="10"/>
    </row>
    <row r="8775" spans="33:33">
      <c r="AG8775" s="10"/>
    </row>
    <row r="8776" spans="33:33">
      <c r="AG8776" s="10"/>
    </row>
    <row r="8777" spans="33:33">
      <c r="AG8777" s="10"/>
    </row>
    <row r="8778" spans="33:33">
      <c r="AG8778" s="10"/>
    </row>
    <row r="8779" spans="33:33">
      <c r="AG8779" s="10"/>
    </row>
    <row r="8780" spans="33:33">
      <c r="AG8780" s="10"/>
    </row>
    <row r="8781" spans="33:33">
      <c r="AG8781" s="10"/>
    </row>
    <row r="8782" spans="33:33">
      <c r="AG8782" s="10"/>
    </row>
    <row r="8783" spans="33:33">
      <c r="AG8783" s="10"/>
    </row>
    <row r="8784" spans="33:33">
      <c r="AG8784" s="10"/>
    </row>
    <row r="8785" spans="33:33">
      <c r="AG8785" s="10"/>
    </row>
    <row r="8786" spans="33:33">
      <c r="AG8786" s="10"/>
    </row>
    <row r="8787" spans="33:33">
      <c r="AG8787" s="10"/>
    </row>
    <row r="8788" spans="33:33">
      <c r="AG8788" s="10"/>
    </row>
    <row r="8789" spans="33:33">
      <c r="AG8789" s="10"/>
    </row>
    <row r="8790" spans="33:33">
      <c r="AG8790" s="10"/>
    </row>
    <row r="8791" spans="33:33">
      <c r="AG8791" s="10"/>
    </row>
    <row r="8792" spans="33:33">
      <c r="AG8792" s="10"/>
    </row>
    <row r="8793" spans="33:33">
      <c r="AG8793" s="10"/>
    </row>
    <row r="8794" spans="33:33">
      <c r="AG8794" s="10"/>
    </row>
    <row r="8795" spans="33:33">
      <c r="AG8795" s="10"/>
    </row>
    <row r="8796" spans="33:33">
      <c r="AG8796" s="10"/>
    </row>
    <row r="8797" spans="33:33">
      <c r="AG8797" s="10"/>
    </row>
    <row r="8798" spans="33:33">
      <c r="AG8798" s="10"/>
    </row>
    <row r="8799" spans="33:33">
      <c r="AG8799" s="10"/>
    </row>
    <row r="8800" spans="33:33">
      <c r="AG8800" s="10"/>
    </row>
    <row r="8801" spans="33:33">
      <c r="AG8801" s="10"/>
    </row>
    <row r="8802" spans="33:33">
      <c r="AG8802" s="10"/>
    </row>
    <row r="8803" spans="33:33">
      <c r="AG8803" s="10"/>
    </row>
    <row r="8804" spans="33:33">
      <c r="AG8804" s="10"/>
    </row>
    <row r="8805" spans="33:33">
      <c r="AG8805" s="10"/>
    </row>
    <row r="8806" spans="33:33">
      <c r="AG8806" s="10"/>
    </row>
    <row r="8807" spans="33:33">
      <c r="AG8807" s="10"/>
    </row>
    <row r="8808" spans="33:33">
      <c r="AG8808" s="10"/>
    </row>
    <row r="8809" spans="33:33">
      <c r="AG8809" s="10"/>
    </row>
    <row r="8810" spans="33:33">
      <c r="AG8810" s="10"/>
    </row>
    <row r="8811" spans="33:33">
      <c r="AG8811" s="10"/>
    </row>
    <row r="8812" spans="33:33">
      <c r="AG8812" s="10"/>
    </row>
    <row r="8813" spans="33:33">
      <c r="AG8813" s="10"/>
    </row>
    <row r="8814" spans="33:33">
      <c r="AG8814" s="10"/>
    </row>
    <row r="8815" spans="33:33">
      <c r="AG8815" s="10"/>
    </row>
    <row r="8816" spans="33:33">
      <c r="AG8816" s="10"/>
    </row>
    <row r="8817" spans="33:33">
      <c r="AG8817" s="10"/>
    </row>
    <row r="8818" spans="33:33">
      <c r="AG8818" s="10"/>
    </row>
    <row r="8819" spans="33:33">
      <c r="AG8819" s="10"/>
    </row>
    <row r="8820" spans="33:33">
      <c r="AG8820" s="10"/>
    </row>
    <row r="8821" spans="33:33">
      <c r="AG8821" s="10"/>
    </row>
    <row r="8822" spans="33:33">
      <c r="AG8822" s="10"/>
    </row>
    <row r="8823" spans="33:33">
      <c r="AG8823" s="10"/>
    </row>
    <row r="8824" spans="33:33">
      <c r="AG8824" s="10"/>
    </row>
    <row r="8825" spans="33:33">
      <c r="AG8825" s="10"/>
    </row>
    <row r="8826" spans="33:33">
      <c r="AG8826" s="10"/>
    </row>
    <row r="8827" spans="33:33">
      <c r="AG8827" s="10"/>
    </row>
    <row r="8828" spans="33:33">
      <c r="AG8828" s="10"/>
    </row>
    <row r="8829" spans="33:33">
      <c r="AG8829" s="10"/>
    </row>
    <row r="8830" spans="33:33">
      <c r="AG8830" s="10"/>
    </row>
    <row r="8831" spans="33:33">
      <c r="AG8831" s="10"/>
    </row>
    <row r="8832" spans="33:33">
      <c r="AG8832" s="10"/>
    </row>
    <row r="8833" spans="33:33">
      <c r="AG8833" s="10"/>
    </row>
    <row r="8834" spans="33:33">
      <c r="AG8834" s="10"/>
    </row>
    <row r="8835" spans="33:33">
      <c r="AG8835" s="10"/>
    </row>
    <row r="8836" spans="33:33">
      <c r="AG8836" s="10"/>
    </row>
    <row r="8837" spans="33:33">
      <c r="AG8837" s="10"/>
    </row>
    <row r="8838" spans="33:33">
      <c r="AG8838" s="10"/>
    </row>
    <row r="8839" spans="33:33">
      <c r="AG8839" s="10"/>
    </row>
    <row r="8840" spans="33:33">
      <c r="AG8840" s="10"/>
    </row>
    <row r="8841" spans="33:33">
      <c r="AG8841" s="10"/>
    </row>
    <row r="8842" spans="33:33">
      <c r="AG8842" s="10"/>
    </row>
    <row r="8843" spans="33:33">
      <c r="AG8843" s="10"/>
    </row>
    <row r="8844" spans="33:33">
      <c r="AG8844" s="10"/>
    </row>
    <row r="8845" spans="33:33">
      <c r="AG8845" s="10"/>
    </row>
    <row r="8846" spans="33:33">
      <c r="AG8846" s="10"/>
    </row>
    <row r="8847" spans="33:33">
      <c r="AG8847" s="10"/>
    </row>
    <row r="8848" spans="33:33">
      <c r="AG8848" s="10"/>
    </row>
    <row r="8849" spans="33:33">
      <c r="AG8849" s="10"/>
    </row>
    <row r="8850" spans="33:33">
      <c r="AG8850" s="10"/>
    </row>
    <row r="8851" spans="33:33">
      <c r="AG8851" s="10"/>
    </row>
    <row r="8852" spans="33:33">
      <c r="AG8852" s="10"/>
    </row>
    <row r="8853" spans="33:33">
      <c r="AG8853" s="10"/>
    </row>
    <row r="8854" spans="33:33">
      <c r="AG8854" s="10"/>
    </row>
    <row r="8855" spans="33:33">
      <c r="AG8855" s="10"/>
    </row>
    <row r="8856" spans="33:33">
      <c r="AG8856" s="10"/>
    </row>
    <row r="8857" spans="33:33">
      <c r="AG8857" s="10"/>
    </row>
    <row r="8858" spans="33:33">
      <c r="AG8858" s="10"/>
    </row>
    <row r="8859" spans="33:33">
      <c r="AG8859" s="10"/>
    </row>
    <row r="8860" spans="33:33">
      <c r="AG8860" s="10"/>
    </row>
    <row r="8861" spans="33:33">
      <c r="AG8861" s="10"/>
    </row>
    <row r="8862" spans="33:33">
      <c r="AG8862" s="10"/>
    </row>
    <row r="8863" spans="33:33">
      <c r="AG8863" s="10"/>
    </row>
    <row r="8864" spans="33:33">
      <c r="AG8864" s="10"/>
    </row>
    <row r="8865" spans="33:33">
      <c r="AG8865" s="10"/>
    </row>
    <row r="8866" spans="33:33">
      <c r="AG8866" s="10"/>
    </row>
    <row r="8867" spans="33:33">
      <c r="AG8867" s="10"/>
    </row>
    <row r="8868" spans="33:33">
      <c r="AG8868" s="10"/>
    </row>
    <row r="8869" spans="33:33">
      <c r="AG8869" s="10"/>
    </row>
    <row r="8870" spans="33:33">
      <c r="AG8870" s="10"/>
    </row>
    <row r="8871" spans="33:33">
      <c r="AG8871" s="10"/>
    </row>
    <row r="8872" spans="33:33">
      <c r="AG8872" s="10"/>
    </row>
    <row r="8873" spans="33:33">
      <c r="AG8873" s="10"/>
    </row>
    <row r="8874" spans="33:33">
      <c r="AG8874" s="10"/>
    </row>
    <row r="8875" spans="33:33">
      <c r="AG8875" s="10"/>
    </row>
    <row r="8876" spans="33:33">
      <c r="AG8876" s="10"/>
    </row>
    <row r="8877" spans="33:33">
      <c r="AG8877" s="10"/>
    </row>
    <row r="8878" spans="33:33">
      <c r="AG8878" s="10"/>
    </row>
    <row r="8879" spans="33:33">
      <c r="AG8879" s="10"/>
    </row>
    <row r="8880" spans="33:33">
      <c r="AG8880" s="10"/>
    </row>
    <row r="8881" spans="33:33">
      <c r="AG8881" s="10"/>
    </row>
    <row r="8882" spans="33:33">
      <c r="AG8882" s="10"/>
    </row>
    <row r="8883" spans="33:33">
      <c r="AG8883" s="10"/>
    </row>
    <row r="8884" spans="33:33">
      <c r="AG8884" s="10"/>
    </row>
    <row r="8885" spans="33:33">
      <c r="AG8885" s="10"/>
    </row>
    <row r="8886" spans="33:33">
      <c r="AG8886" s="10"/>
    </row>
    <row r="8887" spans="33:33">
      <c r="AG8887" s="10"/>
    </row>
    <row r="8888" spans="33:33">
      <c r="AG8888" s="10"/>
    </row>
    <row r="8889" spans="33:33">
      <c r="AG8889" s="10"/>
    </row>
    <row r="8890" spans="33:33">
      <c r="AG8890" s="10"/>
    </row>
    <row r="8891" spans="33:33">
      <c r="AG8891" s="10"/>
    </row>
    <row r="8892" spans="33:33">
      <c r="AG8892" s="10"/>
    </row>
    <row r="8893" spans="33:33">
      <c r="AG8893" s="10"/>
    </row>
    <row r="8894" spans="33:33">
      <c r="AG8894" s="10"/>
    </row>
    <row r="8895" spans="33:33">
      <c r="AG8895" s="10"/>
    </row>
    <row r="8896" spans="33:33">
      <c r="AG8896" s="10"/>
    </row>
    <row r="8897" spans="33:33">
      <c r="AG8897" s="10"/>
    </row>
    <row r="8898" spans="33:33">
      <c r="AG8898" s="10"/>
    </row>
    <row r="8899" spans="33:33">
      <c r="AG8899" s="10"/>
    </row>
    <row r="8900" spans="33:33">
      <c r="AG8900" s="10"/>
    </row>
    <row r="8901" spans="33:33">
      <c r="AG8901" s="10"/>
    </row>
    <row r="8902" spans="33:33">
      <c r="AG8902" s="10"/>
    </row>
    <row r="8903" spans="33:33">
      <c r="AG8903" s="10"/>
    </row>
    <row r="8904" spans="33:33">
      <c r="AG8904" s="10"/>
    </row>
    <row r="8905" spans="33:33">
      <c r="AG8905" s="10"/>
    </row>
    <row r="8906" spans="33:33">
      <c r="AG8906" s="10"/>
    </row>
    <row r="8907" spans="33:33">
      <c r="AG8907" s="10"/>
    </row>
    <row r="8908" spans="33:33">
      <c r="AG8908" s="10"/>
    </row>
    <row r="8909" spans="33:33">
      <c r="AG8909" s="10"/>
    </row>
    <row r="8910" spans="33:33">
      <c r="AG8910" s="10"/>
    </row>
    <row r="8911" spans="33:33">
      <c r="AG8911" s="10"/>
    </row>
    <row r="8912" spans="33:33">
      <c r="AG8912" s="10"/>
    </row>
    <row r="8913" spans="33:33">
      <c r="AG8913" s="10"/>
    </row>
    <row r="8914" spans="33:33">
      <c r="AG8914" s="10"/>
    </row>
    <row r="8915" spans="33:33">
      <c r="AG8915" s="10"/>
    </row>
    <row r="8916" spans="33:33">
      <c r="AG8916" s="10"/>
    </row>
    <row r="8917" spans="33:33">
      <c r="AG8917" s="10"/>
    </row>
    <row r="8918" spans="33:33">
      <c r="AG8918" s="10"/>
    </row>
    <row r="8919" spans="33:33">
      <c r="AG8919" s="10"/>
    </row>
    <row r="8920" spans="33:33">
      <c r="AG8920" s="10"/>
    </row>
    <row r="8921" spans="33:33">
      <c r="AG8921" s="10"/>
    </row>
    <row r="8922" spans="33:33">
      <c r="AG8922" s="10"/>
    </row>
    <row r="8923" spans="33:33">
      <c r="AG8923" s="10"/>
    </row>
    <row r="8924" spans="33:33">
      <c r="AG8924" s="10"/>
    </row>
    <row r="8925" spans="33:33">
      <c r="AG8925" s="10"/>
    </row>
    <row r="8926" spans="33:33">
      <c r="AG8926" s="10"/>
    </row>
    <row r="8927" spans="33:33">
      <c r="AG8927" s="10"/>
    </row>
    <row r="8928" spans="33:33">
      <c r="AG8928" s="10"/>
    </row>
    <row r="8929" spans="33:33">
      <c r="AG8929" s="10"/>
    </row>
    <row r="8930" spans="33:33">
      <c r="AG8930" s="10"/>
    </row>
    <row r="8931" spans="33:33">
      <c r="AG8931" s="10"/>
    </row>
    <row r="8932" spans="33:33">
      <c r="AG8932" s="10"/>
    </row>
    <row r="8933" spans="33:33">
      <c r="AG8933" s="10"/>
    </row>
    <row r="8934" spans="33:33">
      <c r="AG8934" s="10"/>
    </row>
    <row r="8935" spans="33:33">
      <c r="AG8935" s="10"/>
    </row>
    <row r="8936" spans="33:33">
      <c r="AG8936" s="10"/>
    </row>
    <row r="8937" spans="33:33">
      <c r="AG8937" s="10"/>
    </row>
    <row r="8938" spans="33:33">
      <c r="AG8938" s="10"/>
    </row>
    <row r="8939" spans="33:33">
      <c r="AG8939" s="10"/>
    </row>
    <row r="8940" spans="33:33">
      <c r="AG8940" s="10"/>
    </row>
    <row r="8941" spans="33:33">
      <c r="AG8941" s="10"/>
    </row>
    <row r="8942" spans="33:33">
      <c r="AG8942" s="10"/>
    </row>
    <row r="8943" spans="33:33">
      <c r="AG8943" s="10"/>
    </row>
    <row r="8944" spans="33:33">
      <c r="AG8944" s="10"/>
    </row>
    <row r="8945" spans="33:33">
      <c r="AG8945" s="10"/>
    </row>
    <row r="8946" spans="33:33">
      <c r="AG8946" s="10"/>
    </row>
    <row r="8947" spans="33:33">
      <c r="AG8947" s="10"/>
    </row>
    <row r="8948" spans="33:33">
      <c r="AG8948" s="10"/>
    </row>
    <row r="8949" spans="33:33">
      <c r="AG8949" s="10"/>
    </row>
    <row r="8950" spans="33:33">
      <c r="AG8950" s="10"/>
    </row>
    <row r="8951" spans="33:33">
      <c r="AG8951" s="10"/>
    </row>
    <row r="8952" spans="33:33">
      <c r="AG8952" s="10"/>
    </row>
    <row r="8953" spans="33:33">
      <c r="AG8953" s="10"/>
    </row>
    <row r="8954" spans="33:33">
      <c r="AG8954" s="10"/>
    </row>
    <row r="8955" spans="33:33">
      <c r="AG8955" s="10"/>
    </row>
    <row r="8956" spans="33:33">
      <c r="AG8956" s="10"/>
    </row>
    <row r="8957" spans="33:33">
      <c r="AG8957" s="10"/>
    </row>
    <row r="8958" spans="33:33">
      <c r="AG8958" s="10"/>
    </row>
    <row r="8959" spans="33:33">
      <c r="AG8959" s="10"/>
    </row>
    <row r="8960" spans="33:33">
      <c r="AG8960" s="10"/>
    </row>
    <row r="8961" spans="33:33">
      <c r="AG8961" s="10"/>
    </row>
    <row r="8962" spans="33:33">
      <c r="AG8962" s="10"/>
    </row>
    <row r="8963" spans="33:33">
      <c r="AG8963" s="10"/>
    </row>
    <row r="8964" spans="33:33">
      <c r="AG8964" s="10"/>
    </row>
    <row r="8965" spans="33:33">
      <c r="AG8965" s="10"/>
    </row>
    <row r="8966" spans="33:33">
      <c r="AG8966" s="10"/>
    </row>
    <row r="8967" spans="33:33">
      <c r="AG8967" s="10"/>
    </row>
    <row r="8968" spans="33:33">
      <c r="AG8968" s="10"/>
    </row>
    <row r="8969" spans="33:33">
      <c r="AG8969" s="10"/>
    </row>
    <row r="8970" spans="33:33">
      <c r="AG8970" s="10"/>
    </row>
    <row r="8971" spans="33:33">
      <c r="AG8971" s="10"/>
    </row>
    <row r="8972" spans="33:33">
      <c r="AG8972" s="10"/>
    </row>
    <row r="8973" spans="33:33">
      <c r="AG8973" s="10"/>
    </row>
    <row r="8974" spans="33:33">
      <c r="AG8974" s="10"/>
    </row>
    <row r="8975" spans="33:33">
      <c r="AG8975" s="10"/>
    </row>
    <row r="8976" spans="33:33">
      <c r="AG8976" s="10"/>
    </row>
    <row r="8977" spans="33:33">
      <c r="AG8977" s="10"/>
    </row>
    <row r="8978" spans="33:33">
      <c r="AG8978" s="10"/>
    </row>
    <row r="8979" spans="33:33">
      <c r="AG8979" s="10"/>
    </row>
    <row r="8980" spans="33:33">
      <c r="AG8980" s="10"/>
    </row>
    <row r="8981" spans="33:33">
      <c r="AG8981" s="10"/>
    </row>
    <row r="8982" spans="33:33">
      <c r="AG8982" s="10"/>
    </row>
    <row r="8983" spans="33:33">
      <c r="AG8983" s="10"/>
    </row>
    <row r="8984" spans="33:33">
      <c r="AG8984" s="10"/>
    </row>
    <row r="8985" spans="33:33">
      <c r="AG8985" s="10"/>
    </row>
    <row r="8986" spans="33:33">
      <c r="AG8986" s="10"/>
    </row>
    <row r="8987" spans="33:33">
      <c r="AG8987" s="10"/>
    </row>
    <row r="8988" spans="33:33">
      <c r="AG8988" s="10"/>
    </row>
    <row r="8989" spans="33:33">
      <c r="AG8989" s="10"/>
    </row>
    <row r="8990" spans="33:33">
      <c r="AG8990" s="10"/>
    </row>
    <row r="8991" spans="33:33">
      <c r="AG8991" s="10"/>
    </row>
    <row r="8992" spans="33:33">
      <c r="AG8992" s="10"/>
    </row>
    <row r="8993" spans="33:33">
      <c r="AG8993" s="10"/>
    </row>
    <row r="8994" spans="33:33">
      <c r="AG8994" s="10"/>
    </row>
    <row r="8995" spans="33:33">
      <c r="AG8995" s="10"/>
    </row>
    <row r="8996" spans="33:33">
      <c r="AG8996" s="10"/>
    </row>
    <row r="8997" spans="33:33">
      <c r="AG8997" s="10"/>
    </row>
    <row r="8998" spans="33:33">
      <c r="AG8998" s="10"/>
    </row>
    <row r="8999" spans="33:33">
      <c r="AG8999" s="10"/>
    </row>
    <row r="9000" spans="33:33">
      <c r="AG9000" s="10"/>
    </row>
    <row r="9001" spans="33:33">
      <c r="AG9001" s="10"/>
    </row>
    <row r="9002" spans="33:33">
      <c r="AG9002" s="10"/>
    </row>
    <row r="9003" spans="33:33">
      <c r="AG9003" s="10"/>
    </row>
    <row r="9004" spans="33:33">
      <c r="AG9004" s="10"/>
    </row>
    <row r="9005" spans="33:33">
      <c r="AG9005" s="10"/>
    </row>
    <row r="9006" spans="33:33">
      <c r="AG9006" s="10"/>
    </row>
    <row r="9007" spans="33:33">
      <c r="AG9007" s="10"/>
    </row>
    <row r="9008" spans="33:33">
      <c r="AG9008" s="10"/>
    </row>
    <row r="9009" spans="33:33">
      <c r="AG9009" s="10"/>
    </row>
    <row r="9010" spans="33:33">
      <c r="AG9010" s="10"/>
    </row>
    <row r="9011" spans="33:33">
      <c r="AG9011" s="10"/>
    </row>
    <row r="9012" spans="33:33">
      <c r="AG9012" s="10"/>
    </row>
    <row r="9013" spans="33:33">
      <c r="AG9013" s="10"/>
    </row>
    <row r="9014" spans="33:33">
      <c r="AG9014" s="10"/>
    </row>
    <row r="9015" spans="33:33">
      <c r="AG9015" s="10"/>
    </row>
    <row r="9016" spans="33:33">
      <c r="AG9016" s="10"/>
    </row>
    <row r="9017" spans="33:33">
      <c r="AG9017" s="10"/>
    </row>
    <row r="9018" spans="33:33">
      <c r="AG9018" s="10"/>
    </row>
    <row r="9019" spans="33:33">
      <c r="AG9019" s="10"/>
    </row>
    <row r="9020" spans="33:33">
      <c r="AG9020" s="10"/>
    </row>
    <row r="9021" spans="33:33">
      <c r="AG9021" s="10"/>
    </row>
    <row r="9022" spans="33:33">
      <c r="AG9022" s="10"/>
    </row>
    <row r="9023" spans="33:33">
      <c r="AG9023" s="10"/>
    </row>
    <row r="9024" spans="33:33">
      <c r="AG9024" s="10"/>
    </row>
    <row r="9025" spans="33:33">
      <c r="AG9025" s="10"/>
    </row>
    <row r="9026" spans="33:33">
      <c r="AG9026" s="10"/>
    </row>
    <row r="9027" spans="33:33">
      <c r="AG9027" s="10"/>
    </row>
    <row r="9028" spans="33:33">
      <c r="AG9028" s="10"/>
    </row>
    <row r="9029" spans="33:33">
      <c r="AG9029" s="10"/>
    </row>
    <row r="9030" spans="33:33">
      <c r="AG9030" s="10"/>
    </row>
    <row r="9031" spans="33:33">
      <c r="AG9031" s="10"/>
    </row>
    <row r="9032" spans="33:33">
      <c r="AG9032" s="10"/>
    </row>
    <row r="9033" spans="33:33">
      <c r="AG9033" s="10"/>
    </row>
    <row r="9034" spans="33:33">
      <c r="AG9034" s="10"/>
    </row>
    <row r="9035" spans="33:33">
      <c r="AG9035" s="10"/>
    </row>
    <row r="9036" spans="33:33">
      <c r="AG9036" s="10"/>
    </row>
    <row r="9037" spans="33:33">
      <c r="AG9037" s="10"/>
    </row>
    <row r="9038" spans="33:33">
      <c r="AG9038" s="10"/>
    </row>
    <row r="9039" spans="33:33">
      <c r="AG9039" s="10"/>
    </row>
    <row r="9040" spans="33:33">
      <c r="AG9040" s="10"/>
    </row>
    <row r="9041" spans="33:33">
      <c r="AG9041" s="10"/>
    </row>
    <row r="9042" spans="33:33">
      <c r="AG9042" s="10"/>
    </row>
    <row r="9043" spans="33:33">
      <c r="AG9043" s="10"/>
    </row>
    <row r="9044" spans="33:33">
      <c r="AG9044" s="10"/>
    </row>
    <row r="9045" spans="33:33">
      <c r="AG9045" s="10"/>
    </row>
    <row r="9046" spans="33:33">
      <c r="AG9046" s="10"/>
    </row>
    <row r="9047" spans="33:33">
      <c r="AG9047" s="10"/>
    </row>
    <row r="9048" spans="33:33">
      <c r="AG9048" s="10"/>
    </row>
    <row r="9049" spans="33:33">
      <c r="AG9049" s="10"/>
    </row>
    <row r="9050" spans="33:33">
      <c r="AG9050" s="10"/>
    </row>
    <row r="9051" spans="33:33">
      <c r="AG9051" s="10"/>
    </row>
    <row r="9052" spans="33:33">
      <c r="AG9052" s="10"/>
    </row>
    <row r="9053" spans="33:33">
      <c r="AG9053" s="10"/>
    </row>
    <row r="9054" spans="33:33">
      <c r="AG9054" s="10"/>
    </row>
    <row r="9055" spans="33:33">
      <c r="AG9055" s="10"/>
    </row>
    <row r="9056" spans="33:33">
      <c r="AG9056" s="10"/>
    </row>
    <row r="9057" spans="33:33">
      <c r="AG9057" s="10"/>
    </row>
    <row r="9058" spans="33:33">
      <c r="AG9058" s="10"/>
    </row>
    <row r="9059" spans="33:33">
      <c r="AG9059" s="10"/>
    </row>
    <row r="9060" spans="33:33">
      <c r="AG9060" s="10"/>
    </row>
    <row r="9061" spans="33:33">
      <c r="AG9061" s="10"/>
    </row>
    <row r="9062" spans="33:33">
      <c r="AG9062" s="10"/>
    </row>
    <row r="9063" spans="33:33">
      <c r="AG9063" s="10"/>
    </row>
    <row r="9064" spans="33:33">
      <c r="AG9064" s="10"/>
    </row>
    <row r="9065" spans="33:33">
      <c r="AG9065" s="10"/>
    </row>
    <row r="9066" spans="33:33">
      <c r="AG9066" s="10"/>
    </row>
    <row r="9067" spans="33:33">
      <c r="AG9067" s="10"/>
    </row>
    <row r="9068" spans="33:33">
      <c r="AG9068" s="10"/>
    </row>
    <row r="9069" spans="33:33">
      <c r="AG9069" s="10"/>
    </row>
    <row r="9070" spans="33:33">
      <c r="AG9070" s="10"/>
    </row>
    <row r="9071" spans="33:33">
      <c r="AG9071" s="10"/>
    </row>
    <row r="9072" spans="33:33">
      <c r="AG9072" s="10"/>
    </row>
    <row r="9073" spans="33:33">
      <c r="AG9073" s="10"/>
    </row>
    <row r="9074" spans="33:33">
      <c r="AG9074" s="10"/>
    </row>
    <row r="9075" spans="33:33">
      <c r="AG9075" s="10"/>
    </row>
    <row r="9076" spans="33:33">
      <c r="AG9076" s="10"/>
    </row>
    <row r="9077" spans="33:33">
      <c r="AG9077" s="10"/>
    </row>
    <row r="9078" spans="33:33">
      <c r="AG9078" s="10"/>
    </row>
    <row r="9079" spans="33:33">
      <c r="AG9079" s="10"/>
    </row>
    <row r="9080" spans="33:33">
      <c r="AG9080" s="10"/>
    </row>
    <row r="9081" spans="33:33">
      <c r="AG9081" s="10"/>
    </row>
    <row r="9082" spans="33:33">
      <c r="AG9082" s="10"/>
    </row>
    <row r="9083" spans="33:33">
      <c r="AG9083" s="10"/>
    </row>
    <row r="9084" spans="33:33">
      <c r="AG9084" s="10"/>
    </row>
    <row r="9085" spans="33:33">
      <c r="AG9085" s="10"/>
    </row>
    <row r="9086" spans="33:33">
      <c r="AG9086" s="10"/>
    </row>
    <row r="9087" spans="33:33">
      <c r="AG9087" s="10"/>
    </row>
    <row r="9088" spans="33:33">
      <c r="AG9088" s="10"/>
    </row>
    <row r="9089" spans="33:33">
      <c r="AG9089" s="10"/>
    </row>
    <row r="9090" spans="33:33">
      <c r="AG9090" s="10"/>
    </row>
    <row r="9091" spans="33:33">
      <c r="AG9091" s="10"/>
    </row>
    <row r="9092" spans="33:33">
      <c r="AG9092" s="10"/>
    </row>
    <row r="9093" spans="33:33">
      <c r="AG9093" s="10"/>
    </row>
    <row r="9094" spans="33:33">
      <c r="AG9094" s="10"/>
    </row>
    <row r="9095" spans="33:33">
      <c r="AG9095" s="10"/>
    </row>
    <row r="9096" spans="33:33">
      <c r="AG9096" s="10"/>
    </row>
    <row r="9097" spans="33:33">
      <c r="AG9097" s="10"/>
    </row>
    <row r="9098" spans="33:33">
      <c r="AG9098" s="10"/>
    </row>
    <row r="9099" spans="33:33">
      <c r="AG9099" s="10"/>
    </row>
    <row r="9100" spans="33:33">
      <c r="AG9100" s="10"/>
    </row>
    <row r="9101" spans="33:33">
      <c r="AG9101" s="10"/>
    </row>
    <row r="9102" spans="33:33">
      <c r="AG9102" s="10"/>
    </row>
    <row r="9103" spans="33:33">
      <c r="AG9103" s="10"/>
    </row>
    <row r="9104" spans="33:33">
      <c r="AG9104" s="10"/>
    </row>
    <row r="9105" spans="33:33">
      <c r="AG9105" s="10"/>
    </row>
    <row r="9106" spans="33:33">
      <c r="AG9106" s="10"/>
    </row>
    <row r="9107" spans="33:33">
      <c r="AG9107" s="10"/>
    </row>
    <row r="9108" spans="33:33">
      <c r="AG9108" s="10"/>
    </row>
    <row r="9109" spans="33:33">
      <c r="AG9109" s="10"/>
    </row>
    <row r="9110" spans="33:33">
      <c r="AG9110" s="10"/>
    </row>
    <row r="9111" spans="33:33">
      <c r="AG9111" s="10"/>
    </row>
    <row r="9112" spans="33:33">
      <c r="AG9112" s="10"/>
    </row>
    <row r="9113" spans="33:33">
      <c r="AG9113" s="10"/>
    </row>
    <row r="9114" spans="33:33">
      <c r="AG9114" s="10"/>
    </row>
    <row r="9115" spans="33:33">
      <c r="AG9115" s="10"/>
    </row>
    <row r="9116" spans="33:33">
      <c r="AG9116" s="10"/>
    </row>
    <row r="9117" spans="33:33">
      <c r="AG9117" s="10"/>
    </row>
    <row r="9118" spans="33:33">
      <c r="AG9118" s="10"/>
    </row>
    <row r="9119" spans="33:33">
      <c r="AG9119" s="10"/>
    </row>
    <row r="9120" spans="33:33">
      <c r="AG9120" s="10"/>
    </row>
    <row r="9121" spans="33:33">
      <c r="AG9121" s="10"/>
    </row>
    <row r="9122" spans="33:33">
      <c r="AG9122" s="10"/>
    </row>
    <row r="9123" spans="33:33">
      <c r="AG9123" s="10"/>
    </row>
    <row r="9124" spans="33:33">
      <c r="AG9124" s="10"/>
    </row>
    <row r="9125" spans="33:33">
      <c r="AG9125" s="10"/>
    </row>
    <row r="9126" spans="33:33">
      <c r="AG9126" s="10"/>
    </row>
    <row r="9127" spans="33:33">
      <c r="AG9127" s="10"/>
    </row>
    <row r="9128" spans="33:33">
      <c r="AG9128" s="10"/>
    </row>
    <row r="9129" spans="33:33">
      <c r="AG9129" s="10"/>
    </row>
    <row r="9130" spans="33:33">
      <c r="AG9130" s="10"/>
    </row>
    <row r="9131" spans="33:33">
      <c r="AG9131" s="10"/>
    </row>
    <row r="9132" spans="33:33">
      <c r="AG9132" s="10"/>
    </row>
    <row r="9133" spans="33:33">
      <c r="AG9133" s="10"/>
    </row>
    <row r="9134" spans="33:33">
      <c r="AG9134" s="10"/>
    </row>
    <row r="9135" spans="33:33">
      <c r="AG9135" s="10"/>
    </row>
    <row r="9136" spans="33:33">
      <c r="AG9136" s="10"/>
    </row>
    <row r="9137" spans="33:33">
      <c r="AG9137" s="10"/>
    </row>
    <row r="9138" spans="33:33">
      <c r="AG9138" s="10"/>
    </row>
    <row r="9139" spans="33:33">
      <c r="AG9139" s="10"/>
    </row>
    <row r="9140" spans="33:33">
      <c r="AG9140" s="10"/>
    </row>
    <row r="9141" spans="33:33">
      <c r="AG9141" s="10"/>
    </row>
    <row r="9142" spans="33:33">
      <c r="AG9142" s="10"/>
    </row>
    <row r="9143" spans="33:33">
      <c r="AG9143" s="10"/>
    </row>
    <row r="9144" spans="33:33">
      <c r="AG9144" s="10"/>
    </row>
    <row r="9145" spans="33:33">
      <c r="AG9145" s="10"/>
    </row>
    <row r="9146" spans="33:33">
      <c r="AG9146" s="10"/>
    </row>
    <row r="9147" spans="33:33">
      <c r="AG9147" s="10"/>
    </row>
    <row r="9148" spans="33:33">
      <c r="AG9148" s="10"/>
    </row>
    <row r="9149" spans="33:33">
      <c r="AG9149" s="10"/>
    </row>
    <row r="9150" spans="33:33">
      <c r="AG9150" s="10"/>
    </row>
    <row r="9151" spans="33:33">
      <c r="AG9151" s="10"/>
    </row>
    <row r="9152" spans="33:33">
      <c r="AG9152" s="10"/>
    </row>
    <row r="9153" spans="33:33">
      <c r="AG9153" s="10"/>
    </row>
    <row r="9154" spans="33:33">
      <c r="AG9154" s="10"/>
    </row>
    <row r="9155" spans="33:33">
      <c r="AG9155" s="10"/>
    </row>
    <row r="9156" spans="33:33">
      <c r="AG9156" s="10"/>
    </row>
    <row r="9157" spans="33:33">
      <c r="AG9157" s="10"/>
    </row>
    <row r="9158" spans="33:33">
      <c r="AG9158" s="10"/>
    </row>
    <row r="9159" spans="33:33">
      <c r="AG9159" s="10"/>
    </row>
    <row r="9160" spans="33:33">
      <c r="AG9160" s="10"/>
    </row>
    <row r="9161" spans="33:33">
      <c r="AG9161" s="10"/>
    </row>
    <row r="9162" spans="33:33">
      <c r="AG9162" s="10"/>
    </row>
    <row r="9163" spans="33:33">
      <c r="AG9163" s="10"/>
    </row>
    <row r="9164" spans="33:33">
      <c r="AG9164" s="10"/>
    </row>
    <row r="9165" spans="33:33">
      <c r="AG9165" s="10"/>
    </row>
    <row r="9166" spans="33:33">
      <c r="AG9166" s="10"/>
    </row>
    <row r="9167" spans="33:33">
      <c r="AG9167" s="10"/>
    </row>
    <row r="9168" spans="33:33">
      <c r="AG9168" s="10"/>
    </row>
    <row r="9169" spans="33:33">
      <c r="AG9169" s="10"/>
    </row>
    <row r="9170" spans="33:33">
      <c r="AG9170" s="10"/>
    </row>
    <row r="9171" spans="33:33">
      <c r="AG9171" s="10"/>
    </row>
    <row r="9172" spans="33:33">
      <c r="AG9172" s="10"/>
    </row>
    <row r="9173" spans="33:33">
      <c r="AG9173" s="10"/>
    </row>
    <row r="9174" spans="33:33">
      <c r="AG9174" s="10"/>
    </row>
    <row r="9175" spans="33:33">
      <c r="AG9175" s="10"/>
    </row>
    <row r="9176" spans="33:33">
      <c r="AG9176" s="10"/>
    </row>
    <row r="9177" spans="33:33">
      <c r="AG9177" s="10"/>
    </row>
    <row r="9178" spans="33:33">
      <c r="AG9178" s="10"/>
    </row>
    <row r="9179" spans="33:33">
      <c r="AG9179" s="10"/>
    </row>
    <row r="9180" spans="33:33">
      <c r="AG9180" s="10"/>
    </row>
    <row r="9181" spans="33:33">
      <c r="AG9181" s="10"/>
    </row>
    <row r="9182" spans="33:33">
      <c r="AG9182" s="10"/>
    </row>
    <row r="9183" spans="33:33">
      <c r="AG9183" s="10"/>
    </row>
    <row r="9184" spans="33:33">
      <c r="AG9184" s="10"/>
    </row>
    <row r="9185" spans="33:33">
      <c r="AG9185" s="10"/>
    </row>
    <row r="9186" spans="33:33">
      <c r="AG9186" s="10"/>
    </row>
    <row r="9187" spans="33:33">
      <c r="AG9187" s="10"/>
    </row>
    <row r="9188" spans="33:33">
      <c r="AG9188" s="10"/>
    </row>
    <row r="9189" spans="33:33">
      <c r="AG9189" s="10"/>
    </row>
    <row r="9190" spans="33:33">
      <c r="AG9190" s="10"/>
    </row>
    <row r="9191" spans="33:33">
      <c r="AG9191" s="10"/>
    </row>
    <row r="9192" spans="33:33">
      <c r="AG9192" s="10"/>
    </row>
    <row r="9193" spans="33:33">
      <c r="AG9193" s="10"/>
    </row>
    <row r="9194" spans="33:33">
      <c r="AG9194" s="10"/>
    </row>
    <row r="9195" spans="33:33">
      <c r="AG9195" s="10"/>
    </row>
    <row r="9196" spans="33:33">
      <c r="AG9196" s="10"/>
    </row>
    <row r="9197" spans="33:33">
      <c r="AG9197" s="10"/>
    </row>
    <row r="9198" spans="33:33">
      <c r="AG9198" s="10"/>
    </row>
    <row r="9199" spans="33:33">
      <c r="AG9199" s="10"/>
    </row>
    <row r="9200" spans="33:33">
      <c r="AG9200" s="10"/>
    </row>
    <row r="9201" spans="33:33">
      <c r="AG9201" s="10"/>
    </row>
    <row r="9202" spans="33:33">
      <c r="AG9202" s="10"/>
    </row>
    <row r="9203" spans="33:33">
      <c r="AG9203" s="10"/>
    </row>
    <row r="9204" spans="33:33">
      <c r="AG9204" s="10"/>
    </row>
    <row r="9205" spans="33:33">
      <c r="AG9205" s="10"/>
    </row>
    <row r="9206" spans="33:33">
      <c r="AG9206" s="10"/>
    </row>
    <row r="9207" spans="33:33">
      <c r="AG9207" s="10"/>
    </row>
    <row r="9208" spans="33:33">
      <c r="AG9208" s="10"/>
    </row>
    <row r="9209" spans="33:33">
      <c r="AG9209" s="10"/>
    </row>
    <row r="9210" spans="33:33">
      <c r="AG9210" s="10"/>
    </row>
    <row r="9211" spans="33:33">
      <c r="AG9211" s="10"/>
    </row>
    <row r="9212" spans="33:33">
      <c r="AG9212" s="10"/>
    </row>
    <row r="9213" spans="33:33">
      <c r="AG9213" s="10"/>
    </row>
    <row r="9214" spans="33:33">
      <c r="AG9214" s="10"/>
    </row>
    <row r="9215" spans="33:33">
      <c r="AG9215" s="10"/>
    </row>
    <row r="9216" spans="33:33">
      <c r="AG9216" s="10"/>
    </row>
    <row r="9217" spans="33:33">
      <c r="AG9217" s="10"/>
    </row>
    <row r="9218" spans="33:33">
      <c r="AG9218" s="10"/>
    </row>
    <row r="9219" spans="33:33">
      <c r="AG9219" s="10"/>
    </row>
    <row r="9220" spans="33:33">
      <c r="AG9220" s="10"/>
    </row>
    <row r="9221" spans="33:33">
      <c r="AG9221" s="10"/>
    </row>
    <row r="9222" spans="33:33">
      <c r="AG9222" s="10"/>
    </row>
    <row r="9223" spans="33:33">
      <c r="AG9223" s="10"/>
    </row>
    <row r="9224" spans="33:33">
      <c r="AG9224" s="10"/>
    </row>
    <row r="9225" spans="33:33">
      <c r="AG9225" s="10"/>
    </row>
    <row r="9226" spans="33:33">
      <c r="AG9226" s="10"/>
    </row>
    <row r="9227" spans="33:33">
      <c r="AG9227" s="10"/>
    </row>
    <row r="9228" spans="33:33">
      <c r="AG9228" s="10"/>
    </row>
    <row r="9229" spans="33:33">
      <c r="AG9229" s="10"/>
    </row>
    <row r="9230" spans="33:33">
      <c r="AG9230" s="10"/>
    </row>
    <row r="9231" spans="33:33">
      <c r="AG9231" s="10"/>
    </row>
    <row r="9232" spans="33:33">
      <c r="AG9232" s="10"/>
    </row>
    <row r="9233" spans="33:33">
      <c r="AG9233" s="10"/>
    </row>
    <row r="9234" spans="33:33">
      <c r="AG9234" s="10"/>
    </row>
    <row r="9235" spans="33:33">
      <c r="AG9235" s="10"/>
    </row>
    <row r="9236" spans="33:33">
      <c r="AG9236" s="10"/>
    </row>
    <row r="9237" spans="33:33">
      <c r="AG9237" s="10"/>
    </row>
    <row r="9238" spans="33:33">
      <c r="AG9238" s="10"/>
    </row>
    <row r="9239" spans="33:33">
      <c r="AG9239" s="10"/>
    </row>
    <row r="9240" spans="33:33">
      <c r="AG9240" s="10"/>
    </row>
    <row r="9241" spans="33:33">
      <c r="AG9241" s="10"/>
    </row>
    <row r="9242" spans="33:33">
      <c r="AG9242" s="10"/>
    </row>
    <row r="9243" spans="33:33">
      <c r="AG9243" s="10"/>
    </row>
    <row r="9244" spans="33:33">
      <c r="AG9244" s="10"/>
    </row>
    <row r="9245" spans="33:33">
      <c r="AG9245" s="10"/>
    </row>
    <row r="9246" spans="33:33">
      <c r="AG9246" s="10"/>
    </row>
    <row r="9247" spans="33:33">
      <c r="AG9247" s="10"/>
    </row>
    <row r="9248" spans="33:33">
      <c r="AG9248" s="10"/>
    </row>
    <row r="9249" spans="33:33">
      <c r="AG9249" s="10"/>
    </row>
    <row r="9250" spans="33:33">
      <c r="AG9250" s="10"/>
    </row>
    <row r="9251" spans="33:33">
      <c r="AG9251" s="10"/>
    </row>
    <row r="9252" spans="33:33">
      <c r="AG9252" s="10"/>
    </row>
    <row r="9253" spans="33:33">
      <c r="AG9253" s="10"/>
    </row>
    <row r="9254" spans="33:33">
      <c r="AG9254" s="10"/>
    </row>
    <row r="9255" spans="33:33">
      <c r="AG9255" s="10"/>
    </row>
    <row r="9256" spans="33:33">
      <c r="AG9256" s="10"/>
    </row>
    <row r="9257" spans="33:33">
      <c r="AG9257" s="10"/>
    </row>
    <row r="9258" spans="33:33">
      <c r="AG9258" s="10"/>
    </row>
    <row r="9259" spans="33:33">
      <c r="AG9259" s="10"/>
    </row>
    <row r="9260" spans="33:33">
      <c r="AG9260" s="10"/>
    </row>
    <row r="9261" spans="33:33">
      <c r="AG9261" s="10"/>
    </row>
    <row r="9262" spans="33:33">
      <c r="AG9262" s="10"/>
    </row>
    <row r="9263" spans="33:33">
      <c r="AG9263" s="10"/>
    </row>
    <row r="9264" spans="33:33">
      <c r="AG9264" s="10"/>
    </row>
    <row r="9265" spans="33:33">
      <c r="AG9265" s="10"/>
    </row>
    <row r="9266" spans="33:33">
      <c r="AG9266" s="10"/>
    </row>
    <row r="9267" spans="33:33">
      <c r="AG9267" s="10"/>
    </row>
    <row r="9268" spans="33:33">
      <c r="AG9268" s="10"/>
    </row>
    <row r="9269" spans="33:33">
      <c r="AG9269" s="10"/>
    </row>
    <row r="9270" spans="33:33">
      <c r="AG9270" s="10"/>
    </row>
    <row r="9271" spans="33:33">
      <c r="AG9271" s="10"/>
    </row>
    <row r="9272" spans="33:33">
      <c r="AG9272" s="10"/>
    </row>
    <row r="9273" spans="33:33">
      <c r="AG9273" s="10"/>
    </row>
    <row r="9274" spans="33:33">
      <c r="AG9274" s="10"/>
    </row>
    <row r="9275" spans="33:33">
      <c r="AG9275" s="10"/>
    </row>
    <row r="9276" spans="33:33">
      <c r="AG9276" s="10"/>
    </row>
    <row r="9277" spans="33:33">
      <c r="AG9277" s="10"/>
    </row>
    <row r="9278" spans="33:33">
      <c r="AG9278" s="10"/>
    </row>
    <row r="9279" spans="33:33">
      <c r="AG9279" s="10"/>
    </row>
    <row r="9280" spans="33:33">
      <c r="AG9280" s="10"/>
    </row>
    <row r="9281" spans="33:33">
      <c r="AG9281" s="10"/>
    </row>
    <row r="9282" spans="33:33">
      <c r="AG9282" s="10"/>
    </row>
    <row r="9283" spans="33:33">
      <c r="AG9283" s="10"/>
    </row>
    <row r="9284" spans="33:33">
      <c r="AG9284" s="10"/>
    </row>
    <row r="9285" spans="33:33">
      <c r="AG9285" s="10"/>
    </row>
    <row r="9286" spans="33:33">
      <c r="AG9286" s="10"/>
    </row>
    <row r="9287" spans="33:33">
      <c r="AG9287" s="10"/>
    </row>
    <row r="9288" spans="33:33">
      <c r="AG9288" s="10"/>
    </row>
    <row r="9289" spans="33:33">
      <c r="AG9289" s="10"/>
    </row>
    <row r="9290" spans="33:33">
      <c r="AG9290" s="10"/>
    </row>
    <row r="9291" spans="33:33">
      <c r="AG9291" s="10"/>
    </row>
    <row r="9292" spans="33:33">
      <c r="AG9292" s="10"/>
    </row>
    <row r="9293" spans="33:33">
      <c r="AG9293" s="10"/>
    </row>
    <row r="9294" spans="33:33">
      <c r="AG9294" s="10"/>
    </row>
    <row r="9295" spans="33:33">
      <c r="AG9295" s="10"/>
    </row>
    <row r="9296" spans="33:33">
      <c r="AG9296" s="10"/>
    </row>
    <row r="9297" spans="33:33">
      <c r="AG9297" s="10"/>
    </row>
    <row r="9298" spans="33:33">
      <c r="AG9298" s="10"/>
    </row>
    <row r="9299" spans="33:33">
      <c r="AG9299" s="10"/>
    </row>
    <row r="9300" spans="33:33">
      <c r="AG9300" s="10"/>
    </row>
    <row r="9301" spans="33:33">
      <c r="AG9301" s="10"/>
    </row>
    <row r="9302" spans="33:33">
      <c r="AG9302" s="10"/>
    </row>
    <row r="9303" spans="33:33">
      <c r="AG9303" s="10"/>
    </row>
    <row r="9304" spans="33:33">
      <c r="AG9304" s="10"/>
    </row>
    <row r="9305" spans="33:33">
      <c r="AG9305" s="10"/>
    </row>
    <row r="9306" spans="33:33">
      <c r="AG9306" s="10"/>
    </row>
    <row r="9307" spans="33:33">
      <c r="AG9307" s="10"/>
    </row>
    <row r="9308" spans="33:33">
      <c r="AG9308" s="10"/>
    </row>
    <row r="9309" spans="33:33">
      <c r="AG9309" s="10"/>
    </row>
    <row r="9310" spans="33:33">
      <c r="AG9310" s="10"/>
    </row>
    <row r="9311" spans="33:33">
      <c r="AG9311" s="10"/>
    </row>
    <row r="9312" spans="33:33">
      <c r="AG9312" s="10"/>
    </row>
    <row r="9313" spans="33:33">
      <c r="AG9313" s="10"/>
    </row>
    <row r="9314" spans="33:33">
      <c r="AG9314" s="10"/>
    </row>
    <row r="9315" spans="33:33">
      <c r="AG9315" s="10"/>
    </row>
    <row r="9316" spans="33:33">
      <c r="AG9316" s="10"/>
    </row>
    <row r="9317" spans="33:33">
      <c r="AG9317" s="10"/>
    </row>
    <row r="9318" spans="33:33">
      <c r="AG9318" s="10"/>
    </row>
    <row r="9319" spans="33:33">
      <c r="AG9319" s="10"/>
    </row>
    <row r="9320" spans="33:33">
      <c r="AG9320" s="10"/>
    </row>
    <row r="9321" spans="33:33">
      <c r="AG9321" s="10"/>
    </row>
    <row r="9322" spans="33:33">
      <c r="AG9322" s="10"/>
    </row>
    <row r="9323" spans="33:33">
      <c r="AG9323" s="10"/>
    </row>
    <row r="9324" spans="33:33">
      <c r="AG9324" s="10"/>
    </row>
    <row r="9325" spans="33:33">
      <c r="AG9325" s="10"/>
    </row>
    <row r="9326" spans="33:33">
      <c r="AG9326" s="10"/>
    </row>
    <row r="9327" spans="33:33">
      <c r="AG9327" s="10"/>
    </row>
    <row r="9328" spans="33:33">
      <c r="AG9328" s="10"/>
    </row>
    <row r="9329" spans="33:33">
      <c r="AG9329" s="10"/>
    </row>
    <row r="9330" spans="33:33">
      <c r="AG9330" s="10"/>
    </row>
    <row r="9331" spans="33:33">
      <c r="AG9331" s="10"/>
    </row>
    <row r="9332" spans="33:33">
      <c r="AG9332" s="10"/>
    </row>
    <row r="9333" spans="33:33">
      <c r="AG9333" s="10"/>
    </row>
    <row r="9334" spans="33:33">
      <c r="AG9334" s="10"/>
    </row>
    <row r="9335" spans="33:33">
      <c r="AG9335" s="10"/>
    </row>
    <row r="9336" spans="33:33">
      <c r="AG9336" s="10"/>
    </row>
    <row r="9337" spans="33:33">
      <c r="AG9337" s="10"/>
    </row>
    <row r="9338" spans="33:33">
      <c r="AG9338" s="10"/>
    </row>
    <row r="9339" spans="33:33">
      <c r="AG9339" s="10"/>
    </row>
    <row r="9340" spans="33:33">
      <c r="AG9340" s="10"/>
    </row>
    <row r="9341" spans="33:33">
      <c r="AG9341" s="10"/>
    </row>
    <row r="9342" spans="33:33">
      <c r="AG9342" s="10"/>
    </row>
    <row r="9343" spans="33:33">
      <c r="AG9343" s="10"/>
    </row>
    <row r="9344" spans="33:33">
      <c r="AG9344" s="10"/>
    </row>
    <row r="9345" spans="33:33">
      <c r="AG9345" s="10"/>
    </row>
    <row r="9346" spans="33:33">
      <c r="AG9346" s="10"/>
    </row>
    <row r="9347" spans="33:33">
      <c r="AG9347" s="10"/>
    </row>
    <row r="9348" spans="33:33">
      <c r="AG9348" s="10"/>
    </row>
    <row r="9349" spans="33:33">
      <c r="AG9349" s="10"/>
    </row>
    <row r="9350" spans="33:33">
      <c r="AG9350" s="10"/>
    </row>
    <row r="9351" spans="33:33">
      <c r="AG9351" s="10"/>
    </row>
    <row r="9352" spans="33:33">
      <c r="AG9352" s="10"/>
    </row>
    <row r="9353" spans="33:33">
      <c r="AG9353" s="10"/>
    </row>
    <row r="9354" spans="33:33">
      <c r="AG9354" s="10"/>
    </row>
    <row r="9355" spans="33:33">
      <c r="AG9355" s="10"/>
    </row>
    <row r="9356" spans="33:33">
      <c r="AG9356" s="10"/>
    </row>
    <row r="9357" spans="33:33">
      <c r="AG9357" s="10"/>
    </row>
    <row r="9358" spans="33:33">
      <c r="AG9358" s="10"/>
    </row>
    <row r="9359" spans="33:33">
      <c r="AG9359" s="10"/>
    </row>
    <row r="9360" spans="33:33">
      <c r="AG9360" s="10"/>
    </row>
    <row r="9361" spans="33:33">
      <c r="AG9361" s="10"/>
    </row>
    <row r="9362" spans="33:33">
      <c r="AG9362" s="10"/>
    </row>
    <row r="9363" spans="33:33">
      <c r="AG9363" s="10"/>
    </row>
    <row r="9364" spans="33:33">
      <c r="AG9364" s="10"/>
    </row>
    <row r="9365" spans="33:33">
      <c r="AG9365" s="10"/>
    </row>
    <row r="9366" spans="33:33">
      <c r="AG9366" s="10"/>
    </row>
    <row r="9367" spans="33:33">
      <c r="AG9367" s="10"/>
    </row>
    <row r="9368" spans="33:33">
      <c r="AG9368" s="10"/>
    </row>
    <row r="9369" spans="33:33">
      <c r="AG9369" s="10"/>
    </row>
    <row r="9370" spans="33:33">
      <c r="AG9370" s="10"/>
    </row>
    <row r="9371" spans="33:33">
      <c r="AG9371" s="10"/>
    </row>
    <row r="9372" spans="33:33">
      <c r="AG9372" s="10"/>
    </row>
    <row r="9373" spans="33:33">
      <c r="AG9373" s="10"/>
    </row>
    <row r="9374" spans="33:33">
      <c r="AG9374" s="10"/>
    </row>
    <row r="9375" spans="33:33">
      <c r="AG9375" s="10"/>
    </row>
    <row r="9376" spans="33:33">
      <c r="AG9376" s="10"/>
    </row>
    <row r="9377" spans="33:33">
      <c r="AG9377" s="10"/>
    </row>
    <row r="9378" spans="33:33">
      <c r="AG9378" s="10"/>
    </row>
    <row r="9379" spans="33:33">
      <c r="AG9379" s="10"/>
    </row>
    <row r="9380" spans="33:33">
      <c r="AG9380" s="10"/>
    </row>
    <row r="9381" spans="33:33">
      <c r="AG9381" s="10"/>
    </row>
    <row r="9382" spans="33:33">
      <c r="AG9382" s="10"/>
    </row>
    <row r="9383" spans="33:33">
      <c r="AG9383" s="10"/>
    </row>
    <row r="9384" spans="33:33">
      <c r="AG9384" s="10"/>
    </row>
    <row r="9385" spans="33:33">
      <c r="AG9385" s="10"/>
    </row>
    <row r="9386" spans="33:33">
      <c r="AG9386" s="10"/>
    </row>
    <row r="9387" spans="33:33">
      <c r="AG9387" s="10"/>
    </row>
    <row r="9388" spans="33:33">
      <c r="AG9388" s="10"/>
    </row>
    <row r="9389" spans="33:33">
      <c r="AG9389" s="10"/>
    </row>
    <row r="9390" spans="33:33">
      <c r="AG9390" s="10"/>
    </row>
    <row r="9391" spans="33:33">
      <c r="AG9391" s="10"/>
    </row>
    <row r="9392" spans="33:33">
      <c r="AG9392" s="10"/>
    </row>
    <row r="9393" spans="33:33">
      <c r="AG9393" s="10"/>
    </row>
    <row r="9394" spans="33:33">
      <c r="AG9394" s="10"/>
    </row>
    <row r="9395" spans="33:33">
      <c r="AG9395" s="10"/>
    </row>
    <row r="9396" spans="33:33">
      <c r="AG9396" s="10"/>
    </row>
    <row r="9397" spans="33:33">
      <c r="AG9397" s="10"/>
    </row>
    <row r="9398" spans="33:33">
      <c r="AG9398" s="10"/>
    </row>
    <row r="9399" spans="33:33">
      <c r="AG9399" s="10"/>
    </row>
    <row r="9400" spans="33:33">
      <c r="AG9400" s="10"/>
    </row>
    <row r="9401" spans="33:33">
      <c r="AG9401" s="10"/>
    </row>
    <row r="9402" spans="33:33">
      <c r="AG9402" s="10"/>
    </row>
    <row r="9403" spans="33:33">
      <c r="AG9403" s="10"/>
    </row>
    <row r="9404" spans="33:33">
      <c r="AG9404" s="10"/>
    </row>
    <row r="9405" spans="33:33">
      <c r="AG9405" s="10"/>
    </row>
    <row r="9406" spans="33:33">
      <c r="AG9406" s="10"/>
    </row>
    <row r="9407" spans="33:33">
      <c r="AG9407" s="10"/>
    </row>
    <row r="9408" spans="33:33">
      <c r="AG9408" s="10"/>
    </row>
    <row r="9409" spans="33:33">
      <c r="AG9409" s="10"/>
    </row>
    <row r="9410" spans="33:33">
      <c r="AG9410" s="10"/>
    </row>
    <row r="9411" spans="33:33">
      <c r="AG9411" s="10"/>
    </row>
    <row r="9412" spans="33:33">
      <c r="AG9412" s="10"/>
    </row>
    <row r="9413" spans="33:33">
      <c r="AG9413" s="10"/>
    </row>
    <row r="9414" spans="33:33">
      <c r="AG9414" s="10"/>
    </row>
    <row r="9415" spans="33:33">
      <c r="AG9415" s="10"/>
    </row>
    <row r="9416" spans="33:33">
      <c r="AG9416" s="10"/>
    </row>
    <row r="9417" spans="33:33">
      <c r="AG9417" s="10"/>
    </row>
    <row r="9418" spans="33:33">
      <c r="AG9418" s="10"/>
    </row>
    <row r="9419" spans="33:33">
      <c r="AG9419" s="10"/>
    </row>
    <row r="9420" spans="33:33">
      <c r="AG9420" s="10"/>
    </row>
    <row r="9421" spans="33:33">
      <c r="AG9421" s="10"/>
    </row>
    <row r="9422" spans="33:33">
      <c r="AG9422" s="10"/>
    </row>
    <row r="9423" spans="33:33">
      <c r="AG9423" s="10"/>
    </row>
    <row r="9424" spans="33:33">
      <c r="AG9424" s="10"/>
    </row>
    <row r="9425" spans="33:33">
      <c r="AG9425" s="10"/>
    </row>
    <row r="9426" spans="33:33">
      <c r="AG9426" s="10"/>
    </row>
    <row r="9427" spans="33:33">
      <c r="AG9427" s="10"/>
    </row>
    <row r="9428" spans="33:33">
      <c r="AG9428" s="10"/>
    </row>
    <row r="9429" spans="33:33">
      <c r="AG9429" s="10"/>
    </row>
    <row r="9430" spans="33:33">
      <c r="AG9430" s="10"/>
    </row>
    <row r="9431" spans="33:33">
      <c r="AG9431" s="10"/>
    </row>
    <row r="9432" spans="33:33">
      <c r="AG9432" s="10"/>
    </row>
    <row r="9433" spans="33:33">
      <c r="AG9433" s="10"/>
    </row>
    <row r="9434" spans="33:33">
      <c r="AG9434" s="10"/>
    </row>
    <row r="9435" spans="33:33">
      <c r="AG9435" s="10"/>
    </row>
    <row r="9436" spans="33:33">
      <c r="AG9436" s="10"/>
    </row>
    <row r="9437" spans="33:33">
      <c r="AG9437" s="10"/>
    </row>
    <row r="9438" spans="33:33">
      <c r="AG9438" s="10"/>
    </row>
    <row r="9439" spans="33:33">
      <c r="AG9439" s="10"/>
    </row>
    <row r="9440" spans="33:33">
      <c r="AG9440" s="10"/>
    </row>
    <row r="9441" spans="33:33">
      <c r="AG9441" s="10"/>
    </row>
    <row r="9442" spans="33:33">
      <c r="AG9442" s="10"/>
    </row>
    <row r="9443" spans="33:33">
      <c r="AG9443" s="10"/>
    </row>
    <row r="9444" spans="33:33">
      <c r="AG9444" s="10"/>
    </row>
    <row r="9445" spans="33:33">
      <c r="AG9445" s="10"/>
    </row>
    <row r="9446" spans="33:33">
      <c r="AG9446" s="10"/>
    </row>
    <row r="9447" spans="33:33">
      <c r="AG9447" s="10"/>
    </row>
    <row r="9448" spans="33:33">
      <c r="AG9448" s="10"/>
    </row>
    <row r="9449" spans="33:33">
      <c r="AG9449" s="10"/>
    </row>
    <row r="9450" spans="33:33">
      <c r="AG9450" s="10"/>
    </row>
    <row r="9451" spans="33:33">
      <c r="AG9451" s="10"/>
    </row>
    <row r="9452" spans="33:33">
      <c r="AG9452" s="10"/>
    </row>
    <row r="9453" spans="33:33">
      <c r="AG9453" s="10"/>
    </row>
    <row r="9454" spans="33:33">
      <c r="AG9454" s="10"/>
    </row>
    <row r="9455" spans="33:33">
      <c r="AG9455" s="10"/>
    </row>
    <row r="9456" spans="33:33">
      <c r="AG9456" s="10"/>
    </row>
    <row r="9457" spans="33:33">
      <c r="AG9457" s="10"/>
    </row>
    <row r="9458" spans="33:33">
      <c r="AG9458" s="10"/>
    </row>
    <row r="9459" spans="33:33">
      <c r="AG9459" s="10"/>
    </row>
    <row r="9460" spans="33:33">
      <c r="AG9460" s="10"/>
    </row>
    <row r="9461" spans="33:33">
      <c r="AG9461" s="10"/>
    </row>
    <row r="9462" spans="33:33">
      <c r="AG9462" s="10"/>
    </row>
    <row r="9463" spans="33:33">
      <c r="AG9463" s="10"/>
    </row>
    <row r="9464" spans="33:33">
      <c r="AG9464" s="10"/>
    </row>
    <row r="9465" spans="33:33">
      <c r="AG9465" s="10"/>
    </row>
    <row r="9466" spans="33:33">
      <c r="AG9466" s="10"/>
    </row>
    <row r="9467" spans="33:33">
      <c r="AG9467" s="10"/>
    </row>
    <row r="9468" spans="33:33">
      <c r="AG9468" s="10"/>
    </row>
    <row r="9469" spans="33:33">
      <c r="AG9469" s="10"/>
    </row>
    <row r="9470" spans="33:33">
      <c r="AG9470" s="10"/>
    </row>
    <row r="9471" spans="33:33">
      <c r="AG9471" s="10"/>
    </row>
    <row r="9472" spans="33:33">
      <c r="AG9472" s="10"/>
    </row>
    <row r="9473" spans="33:33">
      <c r="AG9473" s="10"/>
    </row>
    <row r="9474" spans="33:33">
      <c r="AG9474" s="10"/>
    </row>
    <row r="9475" spans="33:33">
      <c r="AG9475" s="10"/>
    </row>
    <row r="9476" spans="33:33">
      <c r="AG9476" s="10"/>
    </row>
    <row r="9477" spans="33:33">
      <c r="AG9477" s="10"/>
    </row>
    <row r="9478" spans="33:33">
      <c r="AG9478" s="10"/>
    </row>
    <row r="9479" spans="33:33">
      <c r="AG9479" s="10"/>
    </row>
    <row r="9480" spans="33:33">
      <c r="AG9480" s="10"/>
    </row>
    <row r="9481" spans="33:33">
      <c r="AG9481" s="10"/>
    </row>
    <row r="9482" spans="33:33">
      <c r="AG9482" s="10"/>
    </row>
    <row r="9483" spans="33:33">
      <c r="AG9483" s="10"/>
    </row>
    <row r="9484" spans="33:33">
      <c r="AG9484" s="10"/>
    </row>
    <row r="9485" spans="33:33">
      <c r="AG9485" s="10"/>
    </row>
    <row r="9486" spans="33:33">
      <c r="AG9486" s="10"/>
    </row>
    <row r="9487" spans="33:33">
      <c r="AG9487" s="10"/>
    </row>
    <row r="9488" spans="33:33">
      <c r="AG9488" s="10"/>
    </row>
    <row r="9489" spans="33:33">
      <c r="AG9489" s="10"/>
    </row>
    <row r="9490" spans="33:33">
      <c r="AG9490" s="10"/>
    </row>
    <row r="9491" spans="33:33">
      <c r="AG9491" s="10"/>
    </row>
    <row r="9492" spans="33:33">
      <c r="AG9492" s="10"/>
    </row>
    <row r="9493" spans="33:33">
      <c r="AG9493" s="10"/>
    </row>
    <row r="9494" spans="33:33">
      <c r="AG9494" s="10"/>
    </row>
    <row r="9495" spans="33:33">
      <c r="AG9495" s="10"/>
    </row>
    <row r="9496" spans="33:33">
      <c r="AG9496" s="10"/>
    </row>
    <row r="9497" spans="33:33">
      <c r="AG9497" s="10"/>
    </row>
    <row r="9498" spans="33:33">
      <c r="AG9498" s="10"/>
    </row>
    <row r="9499" spans="33:33">
      <c r="AG9499" s="10"/>
    </row>
    <row r="9500" spans="33:33">
      <c r="AG9500" s="10"/>
    </row>
    <row r="9501" spans="33:33">
      <c r="AG9501" s="10"/>
    </row>
    <row r="9502" spans="33:33">
      <c r="AG9502" s="10"/>
    </row>
    <row r="9503" spans="33:33">
      <c r="AG9503" s="10"/>
    </row>
    <row r="9504" spans="33:33">
      <c r="AG9504" s="10"/>
    </row>
    <row r="9505" spans="33:33">
      <c r="AG9505" s="10"/>
    </row>
    <row r="9506" spans="33:33">
      <c r="AG9506" s="10"/>
    </row>
    <row r="9507" spans="33:33">
      <c r="AG9507" s="10"/>
    </row>
    <row r="9508" spans="33:33">
      <c r="AG9508" s="10"/>
    </row>
    <row r="9509" spans="33:33">
      <c r="AG9509" s="10"/>
    </row>
    <row r="9510" spans="33:33">
      <c r="AG9510" s="10"/>
    </row>
    <row r="9511" spans="33:33">
      <c r="AG9511" s="10"/>
    </row>
    <row r="9512" spans="33:33">
      <c r="AG9512" s="10"/>
    </row>
    <row r="9513" spans="33:33">
      <c r="AG9513" s="10"/>
    </row>
    <row r="9514" spans="33:33">
      <c r="AG9514" s="10"/>
    </row>
    <row r="9515" spans="33:33">
      <c r="AG9515" s="10"/>
    </row>
    <row r="9516" spans="33:33">
      <c r="AG9516" s="10"/>
    </row>
    <row r="9517" spans="33:33">
      <c r="AG9517" s="10"/>
    </row>
    <row r="9518" spans="33:33">
      <c r="AG9518" s="10"/>
    </row>
    <row r="9519" spans="33:33">
      <c r="AG9519" s="10"/>
    </row>
    <row r="9520" spans="33:33">
      <c r="AG9520" s="10"/>
    </row>
    <row r="9521" spans="33:33">
      <c r="AG9521" s="10"/>
    </row>
    <row r="9522" spans="33:33">
      <c r="AG9522" s="10"/>
    </row>
    <row r="9523" spans="33:33">
      <c r="AG9523" s="10"/>
    </row>
    <row r="9524" spans="33:33">
      <c r="AG9524" s="10"/>
    </row>
    <row r="9525" spans="33:33">
      <c r="AG9525" s="10"/>
    </row>
    <row r="9526" spans="33:33">
      <c r="AG9526" s="10"/>
    </row>
    <row r="9527" spans="33:33">
      <c r="AG9527" s="10"/>
    </row>
    <row r="9528" spans="33:33">
      <c r="AG9528" s="10"/>
    </row>
    <row r="9529" spans="33:33">
      <c r="AG9529" s="10"/>
    </row>
    <row r="9530" spans="33:33">
      <c r="AG9530" s="10"/>
    </row>
    <row r="9531" spans="33:33">
      <c r="AG9531" s="10"/>
    </row>
    <row r="9532" spans="33:33">
      <c r="AG9532" s="10"/>
    </row>
    <row r="9533" spans="33:33">
      <c r="AG9533" s="10"/>
    </row>
    <row r="9534" spans="33:33">
      <c r="AG9534" s="10"/>
    </row>
    <row r="9535" spans="33:33">
      <c r="AG9535" s="10"/>
    </row>
    <row r="9536" spans="33:33">
      <c r="AG9536" s="10"/>
    </row>
    <row r="9537" spans="33:33">
      <c r="AG9537" s="10"/>
    </row>
    <row r="9538" spans="33:33">
      <c r="AG9538" s="10"/>
    </row>
    <row r="9539" spans="33:33">
      <c r="AG9539" s="10"/>
    </row>
    <row r="9540" spans="33:33">
      <c r="AG9540" s="10"/>
    </row>
    <row r="9541" spans="33:33">
      <c r="AG9541" s="10"/>
    </row>
    <row r="9542" spans="33:33">
      <c r="AG9542" s="10"/>
    </row>
    <row r="9543" spans="33:33">
      <c r="AG9543" s="10"/>
    </row>
    <row r="9544" spans="33:33">
      <c r="AG9544" s="10"/>
    </row>
    <row r="9545" spans="33:33">
      <c r="AG9545" s="10"/>
    </row>
    <row r="9546" spans="33:33">
      <c r="AG9546" s="10"/>
    </row>
    <row r="9547" spans="33:33">
      <c r="AG9547" s="10"/>
    </row>
    <row r="9548" spans="33:33">
      <c r="AG9548" s="10"/>
    </row>
    <row r="9549" spans="33:33">
      <c r="AG9549" s="10"/>
    </row>
    <row r="9550" spans="33:33">
      <c r="AG9550" s="10"/>
    </row>
    <row r="9551" spans="33:33">
      <c r="AG9551" s="10"/>
    </row>
    <row r="9552" spans="33:33">
      <c r="AG9552" s="10"/>
    </row>
    <row r="9553" spans="33:33">
      <c r="AG9553" s="10"/>
    </row>
    <row r="9554" spans="33:33">
      <c r="AG9554" s="10"/>
    </row>
    <row r="9555" spans="33:33">
      <c r="AG9555" s="10"/>
    </row>
    <row r="9556" spans="33:33">
      <c r="AG9556" s="10"/>
    </row>
    <row r="9557" spans="33:33">
      <c r="AG9557" s="10"/>
    </row>
    <row r="9558" spans="33:33">
      <c r="AG9558" s="10"/>
    </row>
    <row r="9559" spans="33:33">
      <c r="AG9559" s="10"/>
    </row>
    <row r="9560" spans="33:33">
      <c r="AG9560" s="10"/>
    </row>
    <row r="9561" spans="33:33">
      <c r="AG9561" s="10"/>
    </row>
    <row r="9562" spans="33:33">
      <c r="AG9562" s="10"/>
    </row>
    <row r="9563" spans="33:33">
      <c r="AG9563" s="10"/>
    </row>
    <row r="9564" spans="33:33">
      <c r="AG9564" s="10"/>
    </row>
    <row r="9565" spans="33:33">
      <c r="AG9565" s="10"/>
    </row>
    <row r="9566" spans="33:33">
      <c r="AG9566" s="10"/>
    </row>
    <row r="9567" spans="33:33">
      <c r="AG9567" s="10"/>
    </row>
    <row r="9568" spans="33:33">
      <c r="AG9568" s="10"/>
    </row>
    <row r="9569" spans="33:33">
      <c r="AG9569" s="10"/>
    </row>
    <row r="9570" spans="33:33">
      <c r="AG9570" s="10"/>
    </row>
    <row r="9571" spans="33:33">
      <c r="AG9571" s="10"/>
    </row>
    <row r="9572" spans="33:33">
      <c r="AG9572" s="10"/>
    </row>
    <row r="9573" spans="33:33">
      <c r="AG9573" s="10"/>
    </row>
    <row r="9574" spans="33:33">
      <c r="AG9574" s="10"/>
    </row>
    <row r="9575" spans="33:33">
      <c r="AG9575" s="10"/>
    </row>
    <row r="9576" spans="33:33">
      <c r="AG9576" s="10"/>
    </row>
    <row r="9577" spans="33:33">
      <c r="AG9577" s="10"/>
    </row>
    <row r="9578" spans="33:33">
      <c r="AG9578" s="10"/>
    </row>
    <row r="9579" spans="33:33">
      <c r="AG9579" s="10"/>
    </row>
    <row r="9580" spans="33:33">
      <c r="AG9580" s="10"/>
    </row>
    <row r="9581" spans="33:33">
      <c r="AG9581" s="10"/>
    </row>
    <row r="9582" spans="33:33">
      <c r="AG9582" s="10"/>
    </row>
    <row r="9583" spans="33:33">
      <c r="AG9583" s="10"/>
    </row>
    <row r="9584" spans="33:33">
      <c r="AG9584" s="10"/>
    </row>
    <row r="9585" spans="33:33">
      <c r="AG9585" s="10"/>
    </row>
    <row r="9586" spans="33:33">
      <c r="AG9586" s="10"/>
    </row>
    <row r="9587" spans="33:33">
      <c r="AG9587" s="10"/>
    </row>
    <row r="9588" spans="33:33">
      <c r="AG9588" s="10"/>
    </row>
    <row r="9589" spans="33:33">
      <c r="AG9589" s="10"/>
    </row>
    <row r="9590" spans="33:33">
      <c r="AG9590" s="10"/>
    </row>
    <row r="9591" spans="33:33">
      <c r="AG9591" s="10"/>
    </row>
    <row r="9592" spans="33:33">
      <c r="AG9592" s="10"/>
    </row>
    <row r="9593" spans="33:33">
      <c r="AG9593" s="10"/>
    </row>
    <row r="9594" spans="33:33">
      <c r="AG9594" s="10"/>
    </row>
    <row r="9595" spans="33:33">
      <c r="AG9595" s="10"/>
    </row>
    <row r="9596" spans="33:33">
      <c r="AG9596" s="10"/>
    </row>
    <row r="9597" spans="33:33">
      <c r="AG9597" s="10"/>
    </row>
    <row r="9598" spans="33:33">
      <c r="AG9598" s="10"/>
    </row>
    <row r="9599" spans="33:33">
      <c r="AG9599" s="10"/>
    </row>
    <row r="9600" spans="33:33">
      <c r="AG9600" s="10"/>
    </row>
    <row r="9601" spans="33:33">
      <c r="AG9601" s="10"/>
    </row>
    <row r="9602" spans="33:33">
      <c r="AG9602" s="10"/>
    </row>
    <row r="9603" spans="33:33">
      <c r="AG9603" s="10"/>
    </row>
    <row r="9604" spans="33:33">
      <c r="AG9604" s="10"/>
    </row>
    <row r="9605" spans="33:33">
      <c r="AG9605" s="10"/>
    </row>
    <row r="9606" spans="33:33">
      <c r="AG9606" s="10"/>
    </row>
    <row r="9607" spans="33:33">
      <c r="AG9607" s="10"/>
    </row>
    <row r="9608" spans="33:33">
      <c r="AG9608" s="10"/>
    </row>
    <row r="9609" spans="33:33">
      <c r="AG9609" s="10"/>
    </row>
    <row r="9610" spans="33:33">
      <c r="AG9610" s="10"/>
    </row>
    <row r="9611" spans="33:33">
      <c r="AG9611" s="10"/>
    </row>
    <row r="9612" spans="33:33">
      <c r="AG9612" s="10"/>
    </row>
    <row r="9613" spans="33:33">
      <c r="AG9613" s="10"/>
    </row>
    <row r="9614" spans="33:33">
      <c r="AG9614" s="10"/>
    </row>
    <row r="9615" spans="33:33">
      <c r="AG9615" s="10"/>
    </row>
    <row r="9616" spans="33:33">
      <c r="AG9616" s="10"/>
    </row>
    <row r="9617" spans="33:33">
      <c r="AG9617" s="10"/>
    </row>
    <row r="9618" spans="33:33">
      <c r="AG9618" s="10"/>
    </row>
    <row r="9619" spans="33:33">
      <c r="AG9619" s="10"/>
    </row>
    <row r="9620" spans="33:33">
      <c r="AG9620" s="10"/>
    </row>
    <row r="9621" spans="33:33">
      <c r="AG9621" s="10"/>
    </row>
    <row r="9622" spans="33:33">
      <c r="AG9622" s="10"/>
    </row>
    <row r="9623" spans="33:33">
      <c r="AG9623" s="10"/>
    </row>
    <row r="9624" spans="33:33">
      <c r="AG9624" s="10"/>
    </row>
    <row r="9625" spans="33:33">
      <c r="AG9625" s="10"/>
    </row>
    <row r="9626" spans="33:33">
      <c r="AG9626" s="10"/>
    </row>
    <row r="9627" spans="33:33">
      <c r="AG9627" s="10"/>
    </row>
    <row r="9628" spans="33:33">
      <c r="AG9628" s="10"/>
    </row>
    <row r="9629" spans="33:33">
      <c r="AG9629" s="10"/>
    </row>
    <row r="9630" spans="33:33">
      <c r="AG9630" s="10"/>
    </row>
    <row r="9631" spans="33:33">
      <c r="AG9631" s="10"/>
    </row>
    <row r="9632" spans="33:33">
      <c r="AG9632" s="10"/>
    </row>
    <row r="9633" spans="33:33">
      <c r="AG9633" s="10"/>
    </row>
    <row r="9634" spans="33:33">
      <c r="AG9634" s="10"/>
    </row>
    <row r="9635" spans="33:33">
      <c r="AG9635" s="10"/>
    </row>
    <row r="9636" spans="33:33">
      <c r="AG9636" s="10"/>
    </row>
    <row r="9637" spans="33:33">
      <c r="AG9637" s="10"/>
    </row>
    <row r="9638" spans="33:33">
      <c r="AG9638" s="10"/>
    </row>
    <row r="9639" spans="33:33">
      <c r="AG9639" s="10"/>
    </row>
    <row r="9640" spans="33:33">
      <c r="AG9640" s="10"/>
    </row>
    <row r="9641" spans="33:33">
      <c r="AG9641" s="10"/>
    </row>
    <row r="9642" spans="33:33">
      <c r="AG9642" s="10"/>
    </row>
    <row r="9643" spans="33:33">
      <c r="AG9643" s="10"/>
    </row>
    <row r="9644" spans="33:33">
      <c r="AG9644" s="10"/>
    </row>
    <row r="9645" spans="33:33">
      <c r="AG9645" s="10"/>
    </row>
    <row r="9646" spans="33:33">
      <c r="AG9646" s="10"/>
    </row>
    <row r="9647" spans="33:33">
      <c r="AG9647" s="10"/>
    </row>
    <row r="9648" spans="33:33">
      <c r="AG9648" s="10"/>
    </row>
    <row r="9649" spans="33:33">
      <c r="AG9649" s="10"/>
    </row>
    <row r="9650" spans="33:33">
      <c r="AG9650" s="10"/>
    </row>
    <row r="9651" spans="33:33">
      <c r="AG9651" s="10"/>
    </row>
    <row r="9652" spans="33:33">
      <c r="AG9652" s="10"/>
    </row>
    <row r="9653" spans="33:33">
      <c r="AG9653" s="10"/>
    </row>
    <row r="9654" spans="33:33">
      <c r="AG9654" s="10"/>
    </row>
    <row r="9655" spans="33:33">
      <c r="AG9655" s="10"/>
    </row>
    <row r="9656" spans="33:33">
      <c r="AG9656" s="10"/>
    </row>
    <row r="9657" spans="33:33">
      <c r="AG9657" s="10"/>
    </row>
    <row r="9658" spans="33:33">
      <c r="AG9658" s="10"/>
    </row>
    <row r="9659" spans="33:33">
      <c r="AG9659" s="10"/>
    </row>
    <row r="9660" spans="33:33">
      <c r="AG9660" s="10"/>
    </row>
    <row r="9661" spans="33:33">
      <c r="AG9661" s="10"/>
    </row>
    <row r="9662" spans="33:33">
      <c r="AG9662" s="10"/>
    </row>
    <row r="9663" spans="33:33">
      <c r="AG9663" s="10"/>
    </row>
    <row r="9664" spans="33:33">
      <c r="AG9664" s="10"/>
    </row>
    <row r="9665" spans="33:33">
      <c r="AG9665" s="10"/>
    </row>
    <row r="9666" spans="33:33">
      <c r="AG9666" s="10"/>
    </row>
    <row r="9667" spans="33:33">
      <c r="AG9667" s="10"/>
    </row>
    <row r="9668" spans="33:33">
      <c r="AG9668" s="10"/>
    </row>
    <row r="9669" spans="33:33">
      <c r="AG9669" s="10"/>
    </row>
    <row r="9670" spans="33:33">
      <c r="AG9670" s="10"/>
    </row>
    <row r="9671" spans="33:33">
      <c r="AG9671" s="10"/>
    </row>
    <row r="9672" spans="33:33">
      <c r="AG9672" s="10"/>
    </row>
    <row r="9673" spans="33:33">
      <c r="AG9673" s="10"/>
    </row>
    <row r="9674" spans="33:33">
      <c r="AG9674" s="10"/>
    </row>
    <row r="9675" spans="33:33">
      <c r="AG9675" s="10"/>
    </row>
    <row r="9676" spans="33:33">
      <c r="AG9676" s="10"/>
    </row>
    <row r="9677" spans="33:33">
      <c r="AG9677" s="10"/>
    </row>
    <row r="9678" spans="33:33">
      <c r="AG9678" s="10"/>
    </row>
    <row r="9679" spans="33:33">
      <c r="AG9679" s="10"/>
    </row>
    <row r="9680" spans="33:33">
      <c r="AG9680" s="10"/>
    </row>
    <row r="9681" spans="33:33">
      <c r="AG9681" s="10"/>
    </row>
    <row r="9682" spans="33:33">
      <c r="AG9682" s="10"/>
    </row>
    <row r="9683" spans="33:33">
      <c r="AG9683" s="10"/>
    </row>
    <row r="9684" spans="33:33">
      <c r="AG9684" s="10"/>
    </row>
    <row r="9685" spans="33:33">
      <c r="AG9685" s="10"/>
    </row>
    <row r="9686" spans="33:33">
      <c r="AG9686" s="10"/>
    </row>
    <row r="9687" spans="33:33">
      <c r="AG9687" s="10"/>
    </row>
    <row r="9688" spans="33:33">
      <c r="AG9688" s="10"/>
    </row>
    <row r="9689" spans="33:33">
      <c r="AG9689" s="10"/>
    </row>
    <row r="9690" spans="33:33">
      <c r="AG9690" s="10"/>
    </row>
    <row r="9691" spans="33:33">
      <c r="AG9691" s="10"/>
    </row>
    <row r="9692" spans="33:33">
      <c r="AG9692" s="10"/>
    </row>
    <row r="9693" spans="33:33">
      <c r="AG9693" s="10"/>
    </row>
    <row r="9694" spans="33:33">
      <c r="AG9694" s="10"/>
    </row>
    <row r="9695" spans="33:33">
      <c r="AG9695" s="10"/>
    </row>
    <row r="9696" spans="33:33">
      <c r="AG9696" s="10"/>
    </row>
    <row r="9697" spans="33:33">
      <c r="AG9697" s="10"/>
    </row>
    <row r="9698" spans="33:33">
      <c r="AG9698" s="10"/>
    </row>
    <row r="9699" spans="33:33">
      <c r="AG9699" s="10"/>
    </row>
    <row r="9700" spans="33:33">
      <c r="AG9700" s="10"/>
    </row>
    <row r="9701" spans="33:33">
      <c r="AG9701" s="10"/>
    </row>
    <row r="9702" spans="33:33">
      <c r="AG9702" s="10"/>
    </row>
    <row r="9703" spans="33:33">
      <c r="AG9703" s="10"/>
    </row>
    <row r="9704" spans="33:33">
      <c r="AG9704" s="10"/>
    </row>
    <row r="9705" spans="33:33">
      <c r="AG9705" s="10"/>
    </row>
    <row r="9706" spans="33:33">
      <c r="AG9706" s="10"/>
    </row>
    <row r="9707" spans="33:33">
      <c r="AG9707" s="10"/>
    </row>
    <row r="9708" spans="33:33">
      <c r="AG9708" s="10"/>
    </row>
    <row r="9709" spans="33:33">
      <c r="AG9709" s="10"/>
    </row>
    <row r="9710" spans="33:33">
      <c r="AG9710" s="10"/>
    </row>
    <row r="9711" spans="33:33">
      <c r="AG9711" s="10"/>
    </row>
    <row r="9712" spans="33:33">
      <c r="AG9712" s="10"/>
    </row>
    <row r="9713" spans="33:33">
      <c r="AG9713" s="10"/>
    </row>
    <row r="9714" spans="33:33">
      <c r="AG9714" s="10"/>
    </row>
    <row r="9715" spans="33:33">
      <c r="AG9715" s="10"/>
    </row>
    <row r="9716" spans="33:33">
      <c r="AG9716" s="10"/>
    </row>
    <row r="9717" spans="33:33">
      <c r="AG9717" s="10"/>
    </row>
    <row r="9718" spans="33:33">
      <c r="AG9718" s="10"/>
    </row>
    <row r="9719" spans="33:33">
      <c r="AG9719" s="10"/>
    </row>
    <row r="9720" spans="33:33">
      <c r="AG9720" s="10"/>
    </row>
    <row r="9721" spans="33:33">
      <c r="AG9721" s="10"/>
    </row>
    <row r="9722" spans="33:33">
      <c r="AG9722" s="10"/>
    </row>
    <row r="9723" spans="33:33">
      <c r="AG9723" s="10"/>
    </row>
    <row r="9724" spans="33:33">
      <c r="AG9724" s="10"/>
    </row>
    <row r="9725" spans="33:33">
      <c r="AG9725" s="10"/>
    </row>
    <row r="9726" spans="33:33">
      <c r="AG9726" s="10"/>
    </row>
    <row r="9727" spans="33:33">
      <c r="AG9727" s="10"/>
    </row>
    <row r="9728" spans="33:33">
      <c r="AG9728" s="10"/>
    </row>
    <row r="9729" spans="33:33">
      <c r="AG9729" s="10"/>
    </row>
    <row r="9730" spans="33:33">
      <c r="AG9730" s="10"/>
    </row>
    <row r="9731" spans="33:33">
      <c r="AG9731" s="10"/>
    </row>
    <row r="9732" spans="33:33">
      <c r="AG9732" s="10"/>
    </row>
    <row r="9733" spans="33:33">
      <c r="AG9733" s="10"/>
    </row>
    <row r="9734" spans="33:33">
      <c r="AG9734" s="10"/>
    </row>
    <row r="9735" spans="33:33">
      <c r="AG9735" s="10"/>
    </row>
    <row r="9736" spans="33:33">
      <c r="AG9736" s="10"/>
    </row>
    <row r="9737" spans="33:33">
      <c r="AG9737" s="10"/>
    </row>
    <row r="9738" spans="33:33">
      <c r="AG9738" s="10"/>
    </row>
    <row r="9739" spans="33:33">
      <c r="AG9739" s="10"/>
    </row>
    <row r="9740" spans="33:33">
      <c r="AG9740" s="10"/>
    </row>
    <row r="9741" spans="33:33">
      <c r="AG9741" s="10"/>
    </row>
    <row r="9742" spans="33:33">
      <c r="AG9742" s="10"/>
    </row>
    <row r="9743" spans="33:33">
      <c r="AG9743" s="10"/>
    </row>
    <row r="9744" spans="33:33">
      <c r="AG9744" s="10"/>
    </row>
    <row r="9745" spans="33:33">
      <c r="AG9745" s="10"/>
    </row>
    <row r="9746" spans="33:33">
      <c r="AG9746" s="10"/>
    </row>
    <row r="9747" spans="33:33">
      <c r="AG9747" s="10"/>
    </row>
    <row r="9748" spans="33:33">
      <c r="AG9748" s="10"/>
    </row>
    <row r="9749" spans="33:33">
      <c r="AG9749" s="10"/>
    </row>
    <row r="9750" spans="33:33">
      <c r="AG9750" s="10"/>
    </row>
    <row r="9751" spans="33:33">
      <c r="AG9751" s="10"/>
    </row>
    <row r="9752" spans="33:33">
      <c r="AG9752" s="10"/>
    </row>
    <row r="9753" spans="33:33">
      <c r="AG9753" s="10"/>
    </row>
    <row r="9754" spans="33:33">
      <c r="AG9754" s="10"/>
    </row>
    <row r="9755" spans="33:33">
      <c r="AG9755" s="10"/>
    </row>
    <row r="9756" spans="33:33">
      <c r="AG9756" s="10"/>
    </row>
    <row r="9757" spans="33:33">
      <c r="AG9757" s="10"/>
    </row>
    <row r="9758" spans="33:33">
      <c r="AG9758" s="10"/>
    </row>
    <row r="9759" spans="33:33">
      <c r="AG9759" s="10"/>
    </row>
    <row r="9760" spans="33:33">
      <c r="AG9760" s="10"/>
    </row>
    <row r="9761" spans="33:33">
      <c r="AG9761" s="10"/>
    </row>
    <row r="9762" spans="33:33">
      <c r="AG9762" s="10"/>
    </row>
    <row r="9763" spans="33:33">
      <c r="AG9763" s="10"/>
    </row>
    <row r="9764" spans="33:33">
      <c r="AG9764" s="10"/>
    </row>
    <row r="9765" spans="33:33">
      <c r="AG9765" s="10"/>
    </row>
    <row r="9766" spans="33:33">
      <c r="AG9766" s="10"/>
    </row>
    <row r="9767" spans="33:33">
      <c r="AG9767" s="10"/>
    </row>
    <row r="9768" spans="33:33">
      <c r="AG9768" s="10"/>
    </row>
    <row r="9769" spans="33:33">
      <c r="AG9769" s="10"/>
    </row>
    <row r="9770" spans="33:33">
      <c r="AG9770" s="10"/>
    </row>
    <row r="9771" spans="33:33">
      <c r="AG9771" s="10"/>
    </row>
    <row r="9772" spans="33:33">
      <c r="AG9772" s="10"/>
    </row>
    <row r="9773" spans="33:33">
      <c r="AG9773" s="10"/>
    </row>
    <row r="9774" spans="33:33">
      <c r="AG9774" s="10"/>
    </row>
    <row r="9775" spans="33:33">
      <c r="AG9775" s="10"/>
    </row>
    <row r="9776" spans="33:33">
      <c r="AG9776" s="10"/>
    </row>
    <row r="9777" spans="33:33">
      <c r="AG9777" s="10"/>
    </row>
    <row r="9778" spans="33:33">
      <c r="AG9778" s="10"/>
    </row>
    <row r="9779" spans="33:33">
      <c r="AG9779" s="10"/>
    </row>
    <row r="9780" spans="33:33">
      <c r="AG9780" s="10"/>
    </row>
    <row r="9781" spans="33:33">
      <c r="AG9781" s="10"/>
    </row>
    <row r="9782" spans="33:33">
      <c r="AG9782" s="10"/>
    </row>
    <row r="9783" spans="33:33">
      <c r="AG9783" s="10"/>
    </row>
    <row r="9784" spans="33:33">
      <c r="AG9784" s="10"/>
    </row>
    <row r="9785" spans="33:33">
      <c r="AG9785" s="10"/>
    </row>
    <row r="9786" spans="33:33">
      <c r="AG9786" s="10"/>
    </row>
    <row r="9787" spans="33:33">
      <c r="AG9787" s="10"/>
    </row>
    <row r="9788" spans="33:33">
      <c r="AG9788" s="10"/>
    </row>
    <row r="9789" spans="33:33">
      <c r="AG9789" s="10"/>
    </row>
    <row r="9790" spans="33:33">
      <c r="AG9790" s="10"/>
    </row>
    <row r="9791" spans="33:33">
      <c r="AG9791" s="10"/>
    </row>
    <row r="9792" spans="33:33">
      <c r="AG9792" s="10"/>
    </row>
    <row r="9793" spans="33:33">
      <c r="AG9793" s="10"/>
    </row>
    <row r="9794" spans="33:33">
      <c r="AG9794" s="10"/>
    </row>
    <row r="9795" spans="33:33">
      <c r="AG9795" s="10"/>
    </row>
    <row r="9796" spans="33:33">
      <c r="AG9796" s="10"/>
    </row>
    <row r="9797" spans="33:33">
      <c r="AG9797" s="10"/>
    </row>
    <row r="9798" spans="33:33">
      <c r="AG9798" s="10"/>
    </row>
    <row r="9799" spans="33:33">
      <c r="AG9799" s="10"/>
    </row>
    <row r="9800" spans="33:33">
      <c r="AG9800" s="10"/>
    </row>
    <row r="9801" spans="33:33">
      <c r="AG9801" s="10"/>
    </row>
    <row r="9802" spans="33:33">
      <c r="AG9802" s="10"/>
    </row>
    <row r="9803" spans="33:33">
      <c r="AG9803" s="10"/>
    </row>
    <row r="9804" spans="33:33">
      <c r="AG9804" s="10"/>
    </row>
    <row r="9805" spans="33:33">
      <c r="AG9805" s="10"/>
    </row>
    <row r="9806" spans="33:33">
      <c r="AG9806" s="10"/>
    </row>
    <row r="9807" spans="33:33">
      <c r="AG9807" s="10"/>
    </row>
    <row r="9808" spans="33:33">
      <c r="AG9808" s="10"/>
    </row>
    <row r="9809" spans="33:33">
      <c r="AG9809" s="10"/>
    </row>
    <row r="9810" spans="33:33">
      <c r="AG9810" s="10"/>
    </row>
    <row r="9811" spans="33:33">
      <c r="AG9811" s="10"/>
    </row>
    <row r="9812" spans="33:33">
      <c r="AG9812" s="10"/>
    </row>
    <row r="9813" spans="33:33">
      <c r="AG9813" s="10"/>
    </row>
    <row r="9814" spans="33:33">
      <c r="AG9814" s="10"/>
    </row>
    <row r="9815" spans="33:33">
      <c r="AG9815" s="10"/>
    </row>
    <row r="9816" spans="33:33">
      <c r="AG9816" s="10"/>
    </row>
    <row r="9817" spans="33:33">
      <c r="AG9817" s="10"/>
    </row>
    <row r="9818" spans="33:33">
      <c r="AG9818" s="10"/>
    </row>
    <row r="9819" spans="33:33">
      <c r="AG9819" s="10"/>
    </row>
    <row r="9820" spans="33:33">
      <c r="AG9820" s="10"/>
    </row>
    <row r="9821" spans="33:33">
      <c r="AG9821" s="10"/>
    </row>
    <row r="9822" spans="33:33">
      <c r="AG9822" s="10"/>
    </row>
    <row r="9823" spans="33:33">
      <c r="AG9823" s="10"/>
    </row>
    <row r="9824" spans="33:33">
      <c r="AG9824" s="10"/>
    </row>
    <row r="9825" spans="33:33">
      <c r="AG9825" s="10"/>
    </row>
    <row r="9826" spans="33:33">
      <c r="AG9826" s="10"/>
    </row>
    <row r="9827" spans="33:33">
      <c r="AG9827" s="10"/>
    </row>
    <row r="9828" spans="33:33">
      <c r="AG9828" s="10"/>
    </row>
    <row r="9829" spans="33:33">
      <c r="AG9829" s="10"/>
    </row>
    <row r="9830" spans="33:33">
      <c r="AG9830" s="10"/>
    </row>
    <row r="9831" spans="33:33">
      <c r="AG9831" s="10"/>
    </row>
    <row r="9832" spans="33:33">
      <c r="AG9832" s="10"/>
    </row>
    <row r="9833" spans="33:33">
      <c r="AG9833" s="10"/>
    </row>
    <row r="9834" spans="33:33">
      <c r="AG9834" s="10"/>
    </row>
    <row r="9835" spans="33:33">
      <c r="AG9835" s="10"/>
    </row>
    <row r="9836" spans="33:33">
      <c r="AG9836" s="10"/>
    </row>
    <row r="9837" spans="33:33">
      <c r="AG9837" s="10"/>
    </row>
    <row r="9838" spans="33:33">
      <c r="AG9838" s="10"/>
    </row>
    <row r="9839" spans="33:33">
      <c r="AG9839" s="10"/>
    </row>
    <row r="9840" spans="33:33">
      <c r="AG9840" s="10"/>
    </row>
    <row r="9841" spans="33:33">
      <c r="AG9841" s="10"/>
    </row>
    <row r="9842" spans="33:33">
      <c r="AG9842" s="10"/>
    </row>
    <row r="9843" spans="33:33">
      <c r="AG9843" s="10"/>
    </row>
    <row r="9844" spans="33:33">
      <c r="AG9844" s="10"/>
    </row>
    <row r="9845" spans="33:33">
      <c r="AG9845" s="10"/>
    </row>
    <row r="9846" spans="33:33">
      <c r="AG9846" s="10"/>
    </row>
    <row r="9847" spans="33:33">
      <c r="AG9847" s="10"/>
    </row>
    <row r="9848" spans="33:33">
      <c r="AG9848" s="10"/>
    </row>
    <row r="9849" spans="33:33">
      <c r="AG9849" s="10"/>
    </row>
    <row r="9850" spans="33:33">
      <c r="AG9850" s="10"/>
    </row>
    <row r="9851" spans="33:33">
      <c r="AG9851" s="10"/>
    </row>
    <row r="9852" spans="33:33">
      <c r="AG9852" s="10"/>
    </row>
    <row r="9853" spans="33:33">
      <c r="AG9853" s="10"/>
    </row>
    <row r="9854" spans="33:33">
      <c r="AG9854" s="10"/>
    </row>
    <row r="9855" spans="33:33">
      <c r="AG9855" s="10"/>
    </row>
    <row r="9856" spans="33:33">
      <c r="AG9856" s="10"/>
    </row>
    <row r="9857" spans="33:33">
      <c r="AG9857" s="10"/>
    </row>
    <row r="9858" spans="33:33">
      <c r="AG9858" s="10"/>
    </row>
    <row r="9859" spans="33:33">
      <c r="AG9859" s="10"/>
    </row>
    <row r="9860" spans="33:33">
      <c r="AG9860" s="10"/>
    </row>
    <row r="9861" spans="33:33">
      <c r="AG9861" s="10"/>
    </row>
    <row r="9862" spans="33:33">
      <c r="AG9862" s="10"/>
    </row>
    <row r="9863" spans="33:33">
      <c r="AG9863" s="10"/>
    </row>
    <row r="9864" spans="33:33">
      <c r="AG9864" s="10"/>
    </row>
    <row r="9865" spans="33:33">
      <c r="AG9865" s="10"/>
    </row>
    <row r="9866" spans="33:33">
      <c r="AG9866" s="10"/>
    </row>
    <row r="9867" spans="33:33">
      <c r="AG9867" s="10"/>
    </row>
    <row r="9868" spans="33:33">
      <c r="AG9868" s="10"/>
    </row>
    <row r="9869" spans="33:33">
      <c r="AG9869" s="10"/>
    </row>
    <row r="9870" spans="33:33">
      <c r="AG9870" s="10"/>
    </row>
    <row r="9871" spans="33:33">
      <c r="AG9871" s="10"/>
    </row>
    <row r="9872" spans="33:33">
      <c r="AG9872" s="10"/>
    </row>
    <row r="9873" spans="33:33">
      <c r="AG9873" s="10"/>
    </row>
    <row r="9874" spans="33:33">
      <c r="AG9874" s="10"/>
    </row>
    <row r="9875" spans="33:33">
      <c r="AG9875" s="10"/>
    </row>
    <row r="9876" spans="33:33">
      <c r="AG9876" s="10"/>
    </row>
    <row r="9877" spans="33:33">
      <c r="AG9877" s="10"/>
    </row>
    <row r="9878" spans="33:33">
      <c r="AG9878" s="10"/>
    </row>
    <row r="9879" spans="33:33">
      <c r="AG9879" s="10"/>
    </row>
    <row r="9880" spans="33:33">
      <c r="AG9880" s="10"/>
    </row>
    <row r="9881" spans="33:33">
      <c r="AG9881" s="10"/>
    </row>
    <row r="9882" spans="33:33">
      <c r="AG9882" s="10"/>
    </row>
    <row r="9883" spans="33:33">
      <c r="AG9883" s="10"/>
    </row>
    <row r="9884" spans="33:33">
      <c r="AG9884" s="10"/>
    </row>
    <row r="9885" spans="33:33">
      <c r="AG9885" s="10"/>
    </row>
    <row r="9886" spans="33:33">
      <c r="AG9886" s="10"/>
    </row>
    <row r="9887" spans="33:33">
      <c r="AG9887" s="10"/>
    </row>
    <row r="9888" spans="33:33">
      <c r="AG9888" s="10"/>
    </row>
    <row r="9889" spans="33:33">
      <c r="AG9889" s="10"/>
    </row>
    <row r="9890" spans="33:33">
      <c r="AG9890" s="10"/>
    </row>
    <row r="9891" spans="33:33">
      <c r="AG9891" s="10"/>
    </row>
    <row r="9892" spans="33:33">
      <c r="AG9892" s="10"/>
    </row>
    <row r="9893" spans="33:33">
      <c r="AG9893" s="10"/>
    </row>
    <row r="9894" spans="33:33">
      <c r="AG9894" s="10"/>
    </row>
    <row r="9895" spans="33:33">
      <c r="AG9895" s="10"/>
    </row>
    <row r="9896" spans="33:33">
      <c r="AG9896" s="10"/>
    </row>
    <row r="9897" spans="33:33">
      <c r="AG9897" s="10"/>
    </row>
    <row r="9898" spans="33:33">
      <c r="AG9898" s="10"/>
    </row>
    <row r="9899" spans="33:33">
      <c r="AG9899" s="10"/>
    </row>
    <row r="9900" spans="33:33">
      <c r="AG9900" s="10"/>
    </row>
    <row r="9901" spans="33:33">
      <c r="AG9901" s="10"/>
    </row>
    <row r="9902" spans="33:33">
      <c r="AG9902" s="10"/>
    </row>
    <row r="9903" spans="33:33">
      <c r="AG9903" s="10"/>
    </row>
    <row r="9904" spans="33:33">
      <c r="AG9904" s="10"/>
    </row>
    <row r="9905" spans="33:33">
      <c r="AG9905" s="10"/>
    </row>
    <row r="9906" spans="33:33">
      <c r="AG9906" s="10"/>
    </row>
    <row r="9907" spans="33:33">
      <c r="AG9907" s="10"/>
    </row>
    <row r="9908" spans="33:33">
      <c r="AG9908" s="10"/>
    </row>
    <row r="9909" spans="33:33">
      <c r="AG9909" s="10"/>
    </row>
    <row r="9910" spans="33:33">
      <c r="AG9910" s="10"/>
    </row>
    <row r="9911" spans="33:33">
      <c r="AG9911" s="10"/>
    </row>
    <row r="9912" spans="33:33">
      <c r="AG9912" s="10"/>
    </row>
    <row r="9913" spans="33:33">
      <c r="AG9913" s="10"/>
    </row>
    <row r="9914" spans="33:33">
      <c r="AG9914" s="10"/>
    </row>
    <row r="9915" spans="33:33">
      <c r="AG9915" s="10"/>
    </row>
    <row r="9916" spans="33:33">
      <c r="AG9916" s="10"/>
    </row>
    <row r="9917" spans="33:33">
      <c r="AG9917" s="10"/>
    </row>
    <row r="9918" spans="33:33">
      <c r="AG9918" s="10"/>
    </row>
    <row r="9919" spans="33:33">
      <c r="AG9919" s="10"/>
    </row>
    <row r="9920" spans="33:33">
      <c r="AG9920" s="10"/>
    </row>
    <row r="9921" spans="33:33">
      <c r="AG9921" s="10"/>
    </row>
    <row r="9922" spans="33:33">
      <c r="AG9922" s="10"/>
    </row>
    <row r="9923" spans="33:33">
      <c r="AG9923" s="10"/>
    </row>
    <row r="9924" spans="33:33">
      <c r="AG9924" s="10"/>
    </row>
    <row r="9925" spans="33:33">
      <c r="AG9925" s="10"/>
    </row>
    <row r="9926" spans="33:33">
      <c r="AG9926" s="10"/>
    </row>
    <row r="9927" spans="33:33">
      <c r="AG9927" s="10"/>
    </row>
    <row r="9928" spans="33:33">
      <c r="AG9928" s="10"/>
    </row>
    <row r="9929" spans="33:33">
      <c r="AG9929" s="10"/>
    </row>
    <row r="9930" spans="33:33">
      <c r="AG9930" s="10"/>
    </row>
    <row r="9931" spans="33:33">
      <c r="AG9931" s="10"/>
    </row>
    <row r="9932" spans="33:33">
      <c r="AG9932" s="10"/>
    </row>
    <row r="9933" spans="33:33">
      <c r="AG9933" s="10"/>
    </row>
    <row r="9934" spans="33:33">
      <c r="AG9934" s="10"/>
    </row>
    <row r="9935" spans="33:33">
      <c r="AG9935" s="10"/>
    </row>
    <row r="9936" spans="33:33">
      <c r="AG9936" s="10"/>
    </row>
    <row r="9937" spans="33:33">
      <c r="AG9937" s="10"/>
    </row>
    <row r="9938" spans="33:33">
      <c r="AG9938" s="10"/>
    </row>
    <row r="9939" spans="33:33">
      <c r="AG9939" s="10"/>
    </row>
    <row r="9940" spans="33:33">
      <c r="AG9940" s="10"/>
    </row>
    <row r="9941" spans="33:33">
      <c r="AG9941" s="10"/>
    </row>
    <row r="9942" spans="33:33">
      <c r="AG9942" s="10"/>
    </row>
    <row r="9943" spans="33:33">
      <c r="AG9943" s="10"/>
    </row>
    <row r="9944" spans="33:33">
      <c r="AG9944" s="10"/>
    </row>
    <row r="9945" spans="33:33">
      <c r="AG9945" s="10"/>
    </row>
    <row r="9946" spans="33:33">
      <c r="AG9946" s="10"/>
    </row>
    <row r="9947" spans="33:33">
      <c r="AG9947" s="10"/>
    </row>
    <row r="9948" spans="33:33">
      <c r="AG9948" s="10"/>
    </row>
    <row r="9949" spans="33:33">
      <c r="AG9949" s="10"/>
    </row>
    <row r="9950" spans="33:33">
      <c r="AG9950" s="10"/>
    </row>
    <row r="9951" spans="33:33">
      <c r="AG9951" s="10"/>
    </row>
    <row r="9952" spans="33:33">
      <c r="AG9952" s="10"/>
    </row>
    <row r="9953" spans="33:33">
      <c r="AG9953" s="10"/>
    </row>
    <row r="9954" spans="33:33">
      <c r="AG9954" s="10"/>
    </row>
    <row r="9955" spans="33:33">
      <c r="AG9955" s="10"/>
    </row>
    <row r="9956" spans="33:33">
      <c r="AG9956" s="10"/>
    </row>
    <row r="9957" spans="33:33">
      <c r="AG9957" s="10"/>
    </row>
    <row r="9958" spans="33:33">
      <c r="AG9958" s="10"/>
    </row>
    <row r="9959" spans="33:33">
      <c r="AG9959" s="10"/>
    </row>
    <row r="9960" spans="33:33">
      <c r="AG9960" s="10"/>
    </row>
    <row r="9961" spans="33:33">
      <c r="AG9961" s="10"/>
    </row>
    <row r="9962" spans="33:33">
      <c r="AG9962" s="10"/>
    </row>
    <row r="9963" spans="33:33">
      <c r="AG9963" s="10"/>
    </row>
    <row r="9964" spans="33:33">
      <c r="AG9964" s="10"/>
    </row>
    <row r="9965" spans="33:33">
      <c r="AG9965" s="10"/>
    </row>
    <row r="9966" spans="33:33">
      <c r="AG9966" s="10"/>
    </row>
    <row r="9967" spans="33:33">
      <c r="AG9967" s="10"/>
    </row>
    <row r="9968" spans="33:33">
      <c r="AG9968" s="10"/>
    </row>
    <row r="9969" spans="33:33">
      <c r="AG9969" s="10"/>
    </row>
    <row r="9970" spans="33:33">
      <c r="AG9970" s="10"/>
    </row>
    <row r="9971" spans="33:33">
      <c r="AG9971" s="10"/>
    </row>
    <row r="9972" spans="33:33">
      <c r="AG9972" s="10"/>
    </row>
    <row r="9973" spans="33:33">
      <c r="AG9973" s="10"/>
    </row>
    <row r="9974" spans="33:33">
      <c r="AG9974" s="10"/>
    </row>
    <row r="9975" spans="33:33">
      <c r="AG9975" s="10"/>
    </row>
    <row r="9976" spans="33:33">
      <c r="AG9976" s="10"/>
    </row>
    <row r="9977" spans="33:33">
      <c r="AG9977" s="10"/>
    </row>
    <row r="9978" spans="33:33">
      <c r="AG9978" s="10"/>
    </row>
    <row r="9979" spans="33:33">
      <c r="AG9979" s="10"/>
    </row>
    <row r="9980" spans="33:33">
      <c r="AG9980" s="10"/>
    </row>
    <row r="9981" spans="33:33">
      <c r="AG9981" s="10"/>
    </row>
    <row r="9982" spans="33:33">
      <c r="AG9982" s="10"/>
    </row>
    <row r="9983" spans="33:33">
      <c r="AG9983" s="10"/>
    </row>
    <row r="9984" spans="33:33">
      <c r="AG9984" s="10"/>
    </row>
    <row r="9985" spans="33:33">
      <c r="AG9985" s="10"/>
    </row>
    <row r="9986" spans="33:33">
      <c r="AG9986" s="10"/>
    </row>
    <row r="9987" spans="33:33">
      <c r="AG9987" s="10"/>
    </row>
    <row r="9988" spans="33:33">
      <c r="AG9988" s="10"/>
    </row>
    <row r="9989" spans="33:33">
      <c r="AG9989" s="10"/>
    </row>
    <row r="9990" spans="33:33">
      <c r="AG9990" s="10"/>
    </row>
    <row r="9991" spans="33:33">
      <c r="AG9991" s="10"/>
    </row>
    <row r="9992" spans="33:33">
      <c r="AG9992" s="10"/>
    </row>
    <row r="9993" spans="33:33">
      <c r="AG9993" s="10"/>
    </row>
    <row r="9994" spans="33:33">
      <c r="AG9994" s="10"/>
    </row>
    <row r="9995" spans="33:33">
      <c r="AG9995" s="10"/>
    </row>
    <row r="9996" spans="33:33">
      <c r="AG9996" s="10"/>
    </row>
    <row r="9997" spans="33:33">
      <c r="AG9997" s="10"/>
    </row>
    <row r="9998" spans="33:33">
      <c r="AG9998" s="10"/>
    </row>
    <row r="9999" spans="33:33">
      <c r="AG9999" s="10"/>
    </row>
    <row r="10000" spans="33:33">
      <c r="AG10000" s="10"/>
    </row>
    <row r="10001" spans="33:33">
      <c r="AG10001" s="10"/>
    </row>
    <row r="10002" spans="33:33">
      <c r="AG10002" s="10"/>
    </row>
    <row r="10003" spans="33:33">
      <c r="AG10003" s="10"/>
    </row>
    <row r="10004" spans="33:33">
      <c r="AG10004" s="10"/>
    </row>
    <row r="10005" spans="33:33">
      <c r="AG10005" s="10"/>
    </row>
    <row r="10006" spans="33:33">
      <c r="AG10006" s="10"/>
    </row>
    <row r="10007" spans="33:33">
      <c r="AG10007" s="10"/>
    </row>
    <row r="10008" spans="33:33">
      <c r="AG10008" s="10"/>
    </row>
    <row r="10009" spans="33:33">
      <c r="AG10009" s="10"/>
    </row>
    <row r="10010" spans="33:33">
      <c r="AG10010" s="10"/>
    </row>
    <row r="10011" spans="33:33">
      <c r="AG10011" s="10"/>
    </row>
    <row r="10012" spans="33:33">
      <c r="AG10012" s="10"/>
    </row>
    <row r="10013" spans="33:33">
      <c r="AG10013" s="10"/>
    </row>
    <row r="10014" spans="33:33">
      <c r="AG10014" s="10"/>
    </row>
    <row r="10015" spans="33:33">
      <c r="AG10015" s="10"/>
    </row>
    <row r="10016" spans="33:33">
      <c r="AG10016" s="10"/>
    </row>
    <row r="10017" spans="33:33">
      <c r="AG10017" s="10"/>
    </row>
    <row r="10018" spans="33:33">
      <c r="AG10018" s="10"/>
    </row>
    <row r="10019" spans="33:33">
      <c r="AG10019" s="10"/>
    </row>
    <row r="10020" spans="33:33">
      <c r="AG10020" s="10"/>
    </row>
    <row r="10021" spans="33:33">
      <c r="AG10021" s="10"/>
    </row>
    <row r="10022" spans="33:33">
      <c r="AG10022" s="10"/>
    </row>
    <row r="10023" spans="33:33">
      <c r="AG10023" s="10"/>
    </row>
    <row r="10024" spans="33:33">
      <c r="AG10024" s="10"/>
    </row>
    <row r="10025" spans="33:33">
      <c r="AG10025" s="10"/>
    </row>
    <row r="10026" spans="33:33">
      <c r="AG10026" s="10"/>
    </row>
    <row r="10027" spans="33:33">
      <c r="AG10027" s="10"/>
    </row>
    <row r="10028" spans="33:33">
      <c r="AG10028" s="10"/>
    </row>
    <row r="10029" spans="33:33">
      <c r="AG10029" s="10"/>
    </row>
    <row r="10030" spans="33:33">
      <c r="AG10030" s="10"/>
    </row>
    <row r="10031" spans="33:33">
      <c r="AG10031" s="10"/>
    </row>
    <row r="10032" spans="33:33">
      <c r="AG10032" s="10"/>
    </row>
    <row r="10033" spans="33:33">
      <c r="AG10033" s="10"/>
    </row>
    <row r="10034" spans="33:33">
      <c r="AG10034" s="10"/>
    </row>
    <row r="10035" spans="33:33">
      <c r="AG10035" s="10"/>
    </row>
    <row r="10036" spans="33:33">
      <c r="AG10036" s="10"/>
    </row>
    <row r="10037" spans="33:33">
      <c r="AG10037" s="10"/>
    </row>
    <row r="10038" spans="33:33">
      <c r="AG10038" s="10"/>
    </row>
    <row r="10039" spans="33:33">
      <c r="AG10039" s="10"/>
    </row>
    <row r="10040" spans="33:33">
      <c r="AG10040" s="10"/>
    </row>
    <row r="10041" spans="33:33">
      <c r="AG10041" s="10"/>
    </row>
    <row r="10042" spans="33:33">
      <c r="AG10042" s="10"/>
    </row>
    <row r="10043" spans="33:33">
      <c r="AG10043" s="10"/>
    </row>
    <row r="10044" spans="33:33">
      <c r="AG10044" s="10"/>
    </row>
    <row r="10045" spans="33:33">
      <c r="AG10045" s="10"/>
    </row>
    <row r="10046" spans="33:33">
      <c r="AG10046" s="10"/>
    </row>
    <row r="10047" spans="33:33">
      <c r="AG10047" s="10"/>
    </row>
    <row r="10048" spans="33:33">
      <c r="AG10048" s="10"/>
    </row>
    <row r="10049" spans="33:33">
      <c r="AG10049" s="10"/>
    </row>
    <row r="10050" spans="33:33">
      <c r="AG10050" s="10"/>
    </row>
    <row r="10051" spans="33:33">
      <c r="AG10051" s="10"/>
    </row>
    <row r="10052" spans="33:33">
      <c r="AG10052" s="10"/>
    </row>
    <row r="10053" spans="33:33">
      <c r="AG10053" s="10"/>
    </row>
    <row r="10054" spans="33:33">
      <c r="AG10054" s="10"/>
    </row>
    <row r="10055" spans="33:33">
      <c r="AG10055" s="10"/>
    </row>
    <row r="10056" spans="33:33">
      <c r="AG10056" s="10"/>
    </row>
    <row r="10057" spans="33:33">
      <c r="AG10057" s="10"/>
    </row>
    <row r="10058" spans="33:33">
      <c r="AG10058" s="10"/>
    </row>
    <row r="10059" spans="33:33">
      <c r="AG10059" s="10"/>
    </row>
    <row r="10060" spans="33:33">
      <c r="AG10060" s="10"/>
    </row>
    <row r="10061" spans="33:33">
      <c r="AG10061" s="10"/>
    </row>
    <row r="10062" spans="33:33">
      <c r="AG10062" s="10"/>
    </row>
    <row r="10063" spans="33:33">
      <c r="AG10063" s="10"/>
    </row>
    <row r="10064" spans="33:33">
      <c r="AG10064" s="10"/>
    </row>
    <row r="10065" spans="33:33">
      <c r="AG10065" s="10"/>
    </row>
    <row r="10066" spans="33:33">
      <c r="AG10066" s="10"/>
    </row>
    <row r="10067" spans="33:33">
      <c r="AG10067" s="10"/>
    </row>
    <row r="10068" spans="33:33">
      <c r="AG10068" s="10"/>
    </row>
    <row r="10069" spans="33:33">
      <c r="AG10069" s="10"/>
    </row>
    <row r="10070" spans="33:33">
      <c r="AG10070" s="10"/>
    </row>
    <row r="10071" spans="33:33">
      <c r="AG10071" s="10"/>
    </row>
    <row r="10072" spans="33:33">
      <c r="AG10072" s="10"/>
    </row>
    <row r="10073" spans="33:33">
      <c r="AG10073" s="10"/>
    </row>
    <row r="10074" spans="33:33">
      <c r="AG10074" s="10"/>
    </row>
    <row r="10075" spans="33:33">
      <c r="AG10075" s="10"/>
    </row>
    <row r="10076" spans="33:33">
      <c r="AG10076" s="10"/>
    </row>
    <row r="10077" spans="33:33">
      <c r="AG10077" s="10"/>
    </row>
    <row r="10078" spans="33:33">
      <c r="AG10078" s="10"/>
    </row>
    <row r="10079" spans="33:33">
      <c r="AG10079" s="10"/>
    </row>
    <row r="10080" spans="33:33">
      <c r="AG10080" s="10"/>
    </row>
    <row r="10081" spans="33:33">
      <c r="AG10081" s="10"/>
    </row>
    <row r="10082" spans="33:33">
      <c r="AG10082" s="10"/>
    </row>
    <row r="10083" spans="33:33">
      <c r="AG10083" s="10"/>
    </row>
    <row r="10084" spans="33:33">
      <c r="AG10084" s="10"/>
    </row>
    <row r="10085" spans="33:33">
      <c r="AG10085" s="10"/>
    </row>
    <row r="10086" spans="33:33">
      <c r="AG10086" s="10"/>
    </row>
    <row r="10087" spans="33:33">
      <c r="AG10087" s="10"/>
    </row>
    <row r="10088" spans="33:33">
      <c r="AG10088" s="10"/>
    </row>
    <row r="10089" spans="33:33">
      <c r="AG10089" s="10"/>
    </row>
    <row r="10090" spans="33:33">
      <c r="AG10090" s="10"/>
    </row>
    <row r="10091" spans="33:33">
      <c r="AG10091" s="10"/>
    </row>
    <row r="10092" spans="33:33">
      <c r="AG10092" s="10"/>
    </row>
    <row r="10093" spans="33:33">
      <c r="AG10093" s="10"/>
    </row>
    <row r="10094" spans="33:33">
      <c r="AG10094" s="10"/>
    </row>
    <row r="10095" spans="33:33">
      <c r="AG10095" s="10"/>
    </row>
    <row r="10096" spans="33:33">
      <c r="AG10096" s="10"/>
    </row>
    <row r="10097" spans="33:33">
      <c r="AG10097" s="10"/>
    </row>
    <row r="10098" spans="33:33">
      <c r="AG10098" s="10"/>
    </row>
    <row r="10099" spans="33:33">
      <c r="AG10099" s="10"/>
    </row>
    <row r="10100" spans="33:33">
      <c r="AG10100" s="10"/>
    </row>
    <row r="10101" spans="33:33">
      <c r="AG10101" s="10"/>
    </row>
    <row r="10102" spans="33:33">
      <c r="AG10102" s="10"/>
    </row>
    <row r="10103" spans="33:33">
      <c r="AG10103" s="10"/>
    </row>
    <row r="10104" spans="33:33">
      <c r="AG10104" s="10"/>
    </row>
    <row r="10105" spans="33:33">
      <c r="AG10105" s="10"/>
    </row>
    <row r="10106" spans="33:33">
      <c r="AG10106" s="10"/>
    </row>
    <row r="10107" spans="33:33">
      <c r="AG10107" s="10"/>
    </row>
    <row r="10108" spans="33:33">
      <c r="AG10108" s="10"/>
    </row>
    <row r="10109" spans="33:33">
      <c r="AG10109" s="10"/>
    </row>
    <row r="10110" spans="33:33">
      <c r="AG10110" s="10"/>
    </row>
    <row r="10111" spans="33:33">
      <c r="AG10111" s="10"/>
    </row>
    <row r="10112" spans="33:33">
      <c r="AG10112" s="10"/>
    </row>
    <row r="10113" spans="33:33">
      <c r="AG10113" s="10"/>
    </row>
    <row r="10114" spans="33:33">
      <c r="AG10114" s="10"/>
    </row>
    <row r="10115" spans="33:33">
      <c r="AG10115" s="10"/>
    </row>
    <row r="10116" spans="33:33">
      <c r="AG10116" s="10"/>
    </row>
    <row r="10117" spans="33:33">
      <c r="AG10117" s="10"/>
    </row>
    <row r="10118" spans="33:33">
      <c r="AG10118" s="10"/>
    </row>
    <row r="10119" spans="33:33">
      <c r="AG10119" s="10"/>
    </row>
    <row r="10120" spans="33:33">
      <c r="AG10120" s="10"/>
    </row>
    <row r="10121" spans="33:33">
      <c r="AG10121" s="10"/>
    </row>
    <row r="10122" spans="33:33">
      <c r="AG10122" s="10"/>
    </row>
    <row r="10123" spans="33:33">
      <c r="AG10123" s="10"/>
    </row>
    <row r="10124" spans="33:33">
      <c r="AG10124" s="10"/>
    </row>
    <row r="10125" spans="33:33">
      <c r="AG10125" s="10"/>
    </row>
    <row r="10126" spans="33:33">
      <c r="AG10126" s="10"/>
    </row>
    <row r="10127" spans="33:33">
      <c r="AG10127" s="10"/>
    </row>
    <row r="10128" spans="33:33">
      <c r="AG10128" s="10"/>
    </row>
    <row r="10129" spans="33:33">
      <c r="AG10129" s="10"/>
    </row>
    <row r="10130" spans="33:33">
      <c r="AG10130" s="10"/>
    </row>
    <row r="10131" spans="33:33">
      <c r="AG10131" s="10"/>
    </row>
    <row r="10132" spans="33:33">
      <c r="AG10132" s="10"/>
    </row>
    <row r="10133" spans="33:33">
      <c r="AG10133" s="10"/>
    </row>
    <row r="10134" spans="33:33">
      <c r="AG10134" s="10"/>
    </row>
    <row r="10135" spans="33:33">
      <c r="AG10135" s="10"/>
    </row>
    <row r="10136" spans="33:33">
      <c r="AG10136" s="10"/>
    </row>
    <row r="10137" spans="33:33">
      <c r="AG10137" s="10"/>
    </row>
    <row r="10138" spans="33:33">
      <c r="AG10138" s="10"/>
    </row>
    <row r="10139" spans="33:33">
      <c r="AG10139" s="10"/>
    </row>
    <row r="10140" spans="33:33">
      <c r="AG10140" s="10"/>
    </row>
    <row r="10141" spans="33:33">
      <c r="AG10141" s="10"/>
    </row>
    <row r="10142" spans="33:33">
      <c r="AG10142" s="10"/>
    </row>
    <row r="10143" spans="33:33">
      <c r="AG10143" s="10"/>
    </row>
    <row r="10144" spans="33:33">
      <c r="AG10144" s="10"/>
    </row>
    <row r="10145" spans="33:33">
      <c r="AG10145" s="10"/>
    </row>
    <row r="10146" spans="33:33">
      <c r="AG10146" s="10"/>
    </row>
    <row r="10147" spans="33:33">
      <c r="AG10147" s="10"/>
    </row>
    <row r="10148" spans="33:33">
      <c r="AG10148" s="10"/>
    </row>
    <row r="10149" spans="33:33">
      <c r="AG10149" s="10"/>
    </row>
    <row r="10150" spans="33:33">
      <c r="AG10150" s="10"/>
    </row>
    <row r="10151" spans="33:33">
      <c r="AG10151" s="10"/>
    </row>
    <row r="10152" spans="33:33">
      <c r="AG10152" s="10"/>
    </row>
    <row r="10153" spans="33:33">
      <c r="AG10153" s="10"/>
    </row>
    <row r="10154" spans="33:33">
      <c r="AG10154" s="10"/>
    </row>
    <row r="10155" spans="33:33">
      <c r="AG10155" s="10"/>
    </row>
    <row r="10156" spans="33:33">
      <c r="AG10156" s="10"/>
    </row>
    <row r="10157" spans="33:33">
      <c r="AG10157" s="10"/>
    </row>
    <row r="10158" spans="33:33">
      <c r="AG10158" s="10"/>
    </row>
    <row r="10159" spans="33:33">
      <c r="AG10159" s="10"/>
    </row>
    <row r="10160" spans="33:33">
      <c r="AG10160" s="10"/>
    </row>
    <row r="10161" spans="33:33">
      <c r="AG10161" s="10"/>
    </row>
    <row r="10162" spans="33:33">
      <c r="AG10162" s="10"/>
    </row>
    <row r="10163" spans="33:33">
      <c r="AG10163" s="10"/>
    </row>
    <row r="10164" spans="33:33">
      <c r="AG10164" s="10"/>
    </row>
    <row r="10165" spans="33:33">
      <c r="AG10165" s="10"/>
    </row>
    <row r="10166" spans="33:33">
      <c r="AG10166" s="10"/>
    </row>
    <row r="10167" spans="33:33">
      <c r="AG10167" s="10"/>
    </row>
    <row r="10168" spans="33:33">
      <c r="AG10168" s="10"/>
    </row>
    <row r="10169" spans="33:33">
      <c r="AG10169" s="10"/>
    </row>
    <row r="10170" spans="33:33">
      <c r="AG10170" s="10"/>
    </row>
    <row r="10171" spans="33:33">
      <c r="AG10171" s="10"/>
    </row>
    <row r="10172" spans="33:33">
      <c r="AG10172" s="10"/>
    </row>
    <row r="10173" spans="33:33">
      <c r="AG10173" s="10"/>
    </row>
    <row r="10174" spans="33:33">
      <c r="AG10174" s="10"/>
    </row>
    <row r="10175" spans="33:33">
      <c r="AG10175" s="10"/>
    </row>
    <row r="10176" spans="33:33">
      <c r="AG10176" s="10"/>
    </row>
    <row r="10177" spans="33:33">
      <c r="AG10177" s="10"/>
    </row>
    <row r="10178" spans="33:33">
      <c r="AG10178" s="10"/>
    </row>
    <row r="10179" spans="33:33">
      <c r="AG10179" s="10"/>
    </row>
    <row r="10180" spans="33:33">
      <c r="AG10180" s="10"/>
    </row>
    <row r="10181" spans="33:33">
      <c r="AG10181" s="10"/>
    </row>
    <row r="10182" spans="33:33">
      <c r="AG10182" s="10"/>
    </row>
    <row r="10183" spans="33:33">
      <c r="AG10183" s="10"/>
    </row>
    <row r="10184" spans="33:33">
      <c r="AG10184" s="10"/>
    </row>
    <row r="10185" spans="33:33">
      <c r="AG10185" s="10"/>
    </row>
    <row r="10186" spans="33:33">
      <c r="AG10186" s="10"/>
    </row>
    <row r="10187" spans="33:33">
      <c r="AG10187" s="10"/>
    </row>
    <row r="10188" spans="33:33">
      <c r="AG10188" s="10"/>
    </row>
    <row r="10189" spans="33:33">
      <c r="AG10189" s="10"/>
    </row>
    <row r="10190" spans="33:33">
      <c r="AG10190" s="10"/>
    </row>
    <row r="10191" spans="33:33">
      <c r="AG10191" s="10"/>
    </row>
    <row r="10192" spans="33:33">
      <c r="AG10192" s="10"/>
    </row>
    <row r="10193" spans="33:33">
      <c r="AG10193" s="10"/>
    </row>
    <row r="10194" spans="33:33">
      <c r="AG10194" s="10"/>
    </row>
    <row r="10195" spans="33:33">
      <c r="AG10195" s="10"/>
    </row>
    <row r="10196" spans="33:33">
      <c r="AG10196" s="10"/>
    </row>
    <row r="10197" spans="33:33">
      <c r="AG10197" s="10"/>
    </row>
    <row r="10198" spans="33:33">
      <c r="AG10198" s="10"/>
    </row>
    <row r="10199" spans="33:33">
      <c r="AG10199" s="10"/>
    </row>
    <row r="10200" spans="33:33">
      <c r="AG10200" s="10"/>
    </row>
    <row r="10201" spans="33:33">
      <c r="AG10201" s="10"/>
    </row>
    <row r="10202" spans="33:33">
      <c r="AG10202" s="10"/>
    </row>
    <row r="10203" spans="33:33">
      <c r="AG10203" s="10"/>
    </row>
    <row r="10204" spans="33:33">
      <c r="AG10204" s="10"/>
    </row>
    <row r="10205" spans="33:33">
      <c r="AG10205" s="10"/>
    </row>
    <row r="10206" spans="33:33">
      <c r="AG10206" s="10"/>
    </row>
    <row r="10207" spans="33:33">
      <c r="AG10207" s="10"/>
    </row>
    <row r="10208" spans="33:33">
      <c r="AG10208" s="10"/>
    </row>
    <row r="10209" spans="33:33">
      <c r="AG10209" s="10"/>
    </row>
    <row r="10210" spans="33:33">
      <c r="AG10210" s="10"/>
    </row>
    <row r="10211" spans="33:33">
      <c r="AG10211" s="10"/>
    </row>
    <row r="10212" spans="33:33">
      <c r="AG10212" s="10"/>
    </row>
    <row r="10213" spans="33:33">
      <c r="AG10213" s="10"/>
    </row>
    <row r="10214" spans="33:33">
      <c r="AG10214" s="10"/>
    </row>
    <row r="10215" spans="33:33">
      <c r="AG10215" s="10"/>
    </row>
    <row r="10216" spans="33:33">
      <c r="AG10216" s="10"/>
    </row>
    <row r="10217" spans="33:33">
      <c r="AG10217" s="10"/>
    </row>
    <row r="10218" spans="33:33">
      <c r="AG10218" s="10"/>
    </row>
    <row r="10219" spans="33:33">
      <c r="AG10219" s="10"/>
    </row>
    <row r="10220" spans="33:33">
      <c r="AG10220" s="10"/>
    </row>
    <row r="10221" spans="33:33">
      <c r="AG10221" s="10"/>
    </row>
    <row r="10222" spans="33:33">
      <c r="AG10222" s="10"/>
    </row>
    <row r="10223" spans="33:33">
      <c r="AG10223" s="10"/>
    </row>
    <row r="10224" spans="33:33">
      <c r="AG10224" s="10"/>
    </row>
    <row r="10225" spans="33:33">
      <c r="AG10225" s="10"/>
    </row>
    <row r="10226" spans="33:33">
      <c r="AG10226" s="10"/>
    </row>
    <row r="10227" spans="33:33">
      <c r="AG10227" s="10"/>
    </row>
    <row r="10228" spans="33:33">
      <c r="AG10228" s="10"/>
    </row>
    <row r="10229" spans="33:33">
      <c r="AG10229" s="10"/>
    </row>
    <row r="10230" spans="33:33">
      <c r="AG10230" s="10"/>
    </row>
    <row r="10231" spans="33:33">
      <c r="AG10231" s="10"/>
    </row>
    <row r="10232" spans="33:33">
      <c r="AG10232" s="10"/>
    </row>
    <row r="10233" spans="33:33">
      <c r="AG10233" s="10"/>
    </row>
    <row r="10234" spans="33:33">
      <c r="AG10234" s="10"/>
    </row>
    <row r="10235" spans="33:33">
      <c r="AG10235" s="10"/>
    </row>
    <row r="10236" spans="33:33">
      <c r="AG10236" s="10"/>
    </row>
    <row r="10237" spans="33:33">
      <c r="AG10237" s="10"/>
    </row>
    <row r="10238" spans="33:33">
      <c r="AG10238" s="10"/>
    </row>
    <row r="10239" spans="33:33">
      <c r="AG10239" s="10"/>
    </row>
    <row r="10240" spans="33:33">
      <c r="AG10240" s="10"/>
    </row>
    <row r="10241" spans="33:33">
      <c r="AG10241" s="10"/>
    </row>
    <row r="10242" spans="33:33">
      <c r="AG10242" s="10"/>
    </row>
    <row r="10243" spans="33:33">
      <c r="AG10243" s="10"/>
    </row>
    <row r="10244" spans="33:33">
      <c r="AG10244" s="10"/>
    </row>
    <row r="10245" spans="33:33">
      <c r="AG10245" s="10"/>
    </row>
    <row r="10246" spans="33:33">
      <c r="AG10246" s="10"/>
    </row>
    <row r="10247" spans="33:33">
      <c r="AG10247" s="10"/>
    </row>
    <row r="10248" spans="33:33">
      <c r="AG10248" s="10"/>
    </row>
    <row r="10249" spans="33:33">
      <c r="AG10249" s="10"/>
    </row>
    <row r="10250" spans="33:33">
      <c r="AG10250" s="10"/>
    </row>
    <row r="10251" spans="33:33">
      <c r="AG10251" s="10"/>
    </row>
    <row r="10252" spans="33:33">
      <c r="AG10252" s="10"/>
    </row>
    <row r="10253" spans="33:33">
      <c r="AG10253" s="10"/>
    </row>
    <row r="10254" spans="33:33">
      <c r="AG10254" s="10"/>
    </row>
    <row r="10255" spans="33:33">
      <c r="AG10255" s="10"/>
    </row>
    <row r="10256" spans="33:33">
      <c r="AG10256" s="10"/>
    </row>
    <row r="10257" spans="33:33">
      <c r="AG10257" s="10"/>
    </row>
    <row r="10258" spans="33:33">
      <c r="AG10258" s="10"/>
    </row>
    <row r="10259" spans="33:33">
      <c r="AG10259" s="10"/>
    </row>
    <row r="10260" spans="33:33">
      <c r="AG10260" s="10"/>
    </row>
    <row r="10261" spans="33:33">
      <c r="AG10261" s="10"/>
    </row>
    <row r="10262" spans="33:33">
      <c r="AG10262" s="10"/>
    </row>
    <row r="10263" spans="33:33">
      <c r="AG10263" s="10"/>
    </row>
    <row r="10264" spans="33:33">
      <c r="AG10264" s="10"/>
    </row>
    <row r="10265" spans="33:33">
      <c r="AG10265" s="10"/>
    </row>
    <row r="10266" spans="33:33">
      <c r="AG10266" s="10"/>
    </row>
    <row r="10267" spans="33:33">
      <c r="AG10267" s="10"/>
    </row>
    <row r="10268" spans="33:33">
      <c r="AG10268" s="10"/>
    </row>
    <row r="10269" spans="33:33">
      <c r="AG10269" s="10"/>
    </row>
    <row r="10270" spans="33:33">
      <c r="AG10270" s="10"/>
    </row>
    <row r="10271" spans="33:33">
      <c r="AG10271" s="10"/>
    </row>
    <row r="10272" spans="33:33">
      <c r="AG10272" s="10"/>
    </row>
    <row r="10273" spans="33:33">
      <c r="AG10273" s="10"/>
    </row>
    <row r="10274" spans="33:33">
      <c r="AG10274" s="10"/>
    </row>
    <row r="10275" spans="33:33">
      <c r="AG10275" s="10"/>
    </row>
    <row r="10276" spans="33:33">
      <c r="AG10276" s="10"/>
    </row>
    <row r="10277" spans="33:33">
      <c r="AG10277" s="10"/>
    </row>
    <row r="10278" spans="33:33">
      <c r="AG10278" s="10"/>
    </row>
    <row r="10279" spans="33:33">
      <c r="AG10279" s="10"/>
    </row>
    <row r="10280" spans="33:33">
      <c r="AG10280" s="10"/>
    </row>
    <row r="10281" spans="33:33">
      <c r="AG10281" s="10"/>
    </row>
    <row r="10282" spans="33:33">
      <c r="AG10282" s="10"/>
    </row>
    <row r="10283" spans="33:33">
      <c r="AG10283" s="10"/>
    </row>
    <row r="10284" spans="33:33">
      <c r="AG10284" s="10"/>
    </row>
    <row r="10285" spans="33:33">
      <c r="AG10285" s="10"/>
    </row>
    <row r="10286" spans="33:33">
      <c r="AG10286" s="10"/>
    </row>
    <row r="10287" spans="33:33">
      <c r="AG10287" s="10"/>
    </row>
    <row r="10288" spans="33:33">
      <c r="AG10288" s="10"/>
    </row>
    <row r="10289" spans="33:33">
      <c r="AG10289" s="10"/>
    </row>
    <row r="10290" spans="33:33">
      <c r="AG10290" s="10"/>
    </row>
    <row r="10291" spans="33:33">
      <c r="AG10291" s="10"/>
    </row>
    <row r="10292" spans="33:33">
      <c r="AG10292" s="10"/>
    </row>
    <row r="10293" spans="33:33">
      <c r="AG10293" s="10"/>
    </row>
    <row r="10294" spans="33:33">
      <c r="AG10294" s="10"/>
    </row>
    <row r="10295" spans="33:33">
      <c r="AG10295" s="10"/>
    </row>
    <row r="10296" spans="33:33">
      <c r="AG10296" s="10"/>
    </row>
    <row r="10297" spans="33:33">
      <c r="AG10297" s="10"/>
    </row>
    <row r="10298" spans="33:33">
      <c r="AG10298" s="10"/>
    </row>
    <row r="10299" spans="33:33">
      <c r="AG10299" s="10"/>
    </row>
    <row r="10300" spans="33:33">
      <c r="AG10300" s="10"/>
    </row>
    <row r="10301" spans="33:33">
      <c r="AG10301" s="10"/>
    </row>
    <row r="10302" spans="33:33">
      <c r="AG10302" s="10"/>
    </row>
    <row r="10303" spans="33:33">
      <c r="AG10303" s="10"/>
    </row>
    <row r="10304" spans="33:33">
      <c r="AG10304" s="10"/>
    </row>
    <row r="10305" spans="33:33">
      <c r="AG10305" s="10"/>
    </row>
    <row r="10306" spans="33:33">
      <c r="AG10306" s="10"/>
    </row>
    <row r="10307" spans="33:33">
      <c r="AG10307" s="10"/>
    </row>
    <row r="10308" spans="33:33">
      <c r="AG10308" s="10"/>
    </row>
    <row r="10309" spans="33:33">
      <c r="AG10309" s="10"/>
    </row>
    <row r="10310" spans="33:33">
      <c r="AG10310" s="10"/>
    </row>
    <row r="10311" spans="33:33">
      <c r="AG10311" s="10"/>
    </row>
    <row r="10312" spans="33:33">
      <c r="AG10312" s="10"/>
    </row>
    <row r="10313" spans="33:33">
      <c r="AG10313" s="10"/>
    </row>
    <row r="10314" spans="33:33">
      <c r="AG10314" s="10"/>
    </row>
    <row r="10315" spans="33:33">
      <c r="AG10315" s="10"/>
    </row>
    <row r="10316" spans="33:33">
      <c r="AG10316" s="10"/>
    </row>
    <row r="10317" spans="33:33">
      <c r="AG10317" s="10"/>
    </row>
    <row r="10318" spans="33:33">
      <c r="AG10318" s="10"/>
    </row>
    <row r="10319" spans="33:33">
      <c r="AG10319" s="10"/>
    </row>
    <row r="10320" spans="33:33">
      <c r="AG10320" s="10"/>
    </row>
    <row r="10321" spans="33:33">
      <c r="AG10321" s="10"/>
    </row>
    <row r="10322" spans="33:33">
      <c r="AG10322" s="10"/>
    </row>
    <row r="10323" spans="33:33">
      <c r="AG10323" s="10"/>
    </row>
    <row r="10324" spans="33:33">
      <c r="AG10324" s="10"/>
    </row>
    <row r="10325" spans="33:33">
      <c r="AG10325" s="10"/>
    </row>
    <row r="10326" spans="33:33">
      <c r="AG10326" s="10"/>
    </row>
    <row r="10327" spans="33:33">
      <c r="AG10327" s="10"/>
    </row>
    <row r="10328" spans="33:33">
      <c r="AG10328" s="10"/>
    </row>
    <row r="10329" spans="33:33">
      <c r="AG10329" s="10"/>
    </row>
    <row r="10330" spans="33:33">
      <c r="AG10330" s="10"/>
    </row>
    <row r="10331" spans="33:33">
      <c r="AG10331" s="10"/>
    </row>
    <row r="10332" spans="33:33">
      <c r="AG10332" s="10"/>
    </row>
    <row r="10333" spans="33:33">
      <c r="AG10333" s="10"/>
    </row>
    <row r="10334" spans="33:33">
      <c r="AG10334" s="10"/>
    </row>
    <row r="10335" spans="33:33">
      <c r="AG10335" s="10"/>
    </row>
    <row r="10336" spans="33:33">
      <c r="AG10336" s="10"/>
    </row>
    <row r="10337" spans="33:33">
      <c r="AG10337" s="10"/>
    </row>
    <row r="10338" spans="33:33">
      <c r="AG10338" s="10"/>
    </row>
    <row r="10339" spans="33:33">
      <c r="AG10339" s="10"/>
    </row>
    <row r="10340" spans="33:33">
      <c r="AG10340" s="10"/>
    </row>
    <row r="10341" spans="33:33">
      <c r="AG10341" s="10"/>
    </row>
    <row r="10342" spans="33:33">
      <c r="AG10342" s="10"/>
    </row>
    <row r="10343" spans="33:33">
      <c r="AG10343" s="10"/>
    </row>
    <row r="10344" spans="33:33">
      <c r="AG10344" s="10"/>
    </row>
    <row r="10345" spans="33:33">
      <c r="AG10345" s="10"/>
    </row>
    <row r="10346" spans="33:33">
      <c r="AG10346" s="10"/>
    </row>
    <row r="10347" spans="33:33">
      <c r="AG10347" s="10"/>
    </row>
    <row r="10348" spans="33:33">
      <c r="AG10348" s="10"/>
    </row>
    <row r="10349" spans="33:33">
      <c r="AG10349" s="10"/>
    </row>
    <row r="10350" spans="33:33">
      <c r="AG10350" s="10"/>
    </row>
    <row r="10351" spans="33:33">
      <c r="AG10351" s="10"/>
    </row>
    <row r="10352" spans="33:33">
      <c r="AG10352" s="10"/>
    </row>
    <row r="10353" spans="33:33">
      <c r="AG10353" s="10"/>
    </row>
    <row r="10354" spans="33:33">
      <c r="AG10354" s="10"/>
    </row>
    <row r="10355" spans="33:33">
      <c r="AG10355" s="10"/>
    </row>
    <row r="10356" spans="33:33">
      <c r="AG10356" s="10"/>
    </row>
    <row r="10357" spans="33:33">
      <c r="AG10357" s="10"/>
    </row>
    <row r="10358" spans="33:33">
      <c r="AG10358" s="10"/>
    </row>
    <row r="10359" spans="33:33">
      <c r="AG10359" s="10"/>
    </row>
    <row r="10360" spans="33:33">
      <c r="AG10360" s="10"/>
    </row>
    <row r="10361" spans="33:33">
      <c r="AG10361" s="10"/>
    </row>
    <row r="10362" spans="33:33">
      <c r="AG10362" s="10"/>
    </row>
    <row r="10363" spans="33:33">
      <c r="AG10363" s="10"/>
    </row>
    <row r="10364" spans="33:33">
      <c r="AG10364" s="10"/>
    </row>
    <row r="10365" spans="33:33">
      <c r="AG10365" s="10"/>
    </row>
    <row r="10366" spans="33:33">
      <c r="AG10366" s="10"/>
    </row>
    <row r="10367" spans="33:33">
      <c r="AG10367" s="10"/>
    </row>
    <row r="10368" spans="33:33">
      <c r="AG10368" s="10"/>
    </row>
    <row r="10369" spans="33:33">
      <c r="AG10369" s="10"/>
    </row>
    <row r="10370" spans="33:33">
      <c r="AG10370" s="10"/>
    </row>
    <row r="10371" spans="33:33">
      <c r="AG10371" s="10"/>
    </row>
    <row r="10372" spans="33:33">
      <c r="AG10372" s="10"/>
    </row>
    <row r="10373" spans="33:33">
      <c r="AG10373" s="10"/>
    </row>
    <row r="10374" spans="33:33">
      <c r="AG10374" s="10"/>
    </row>
    <row r="10375" spans="33:33">
      <c r="AG10375" s="10"/>
    </row>
    <row r="10376" spans="33:33">
      <c r="AG10376" s="10"/>
    </row>
    <row r="10377" spans="33:33">
      <c r="AG10377" s="10"/>
    </row>
    <row r="10378" spans="33:33">
      <c r="AG10378" s="10"/>
    </row>
    <row r="10379" spans="33:33">
      <c r="AG10379" s="10"/>
    </row>
    <row r="10380" spans="33:33">
      <c r="AG10380" s="10"/>
    </row>
    <row r="10381" spans="33:33">
      <c r="AG10381" s="10"/>
    </row>
    <row r="10382" spans="33:33">
      <c r="AG10382" s="10"/>
    </row>
    <row r="10383" spans="33:33">
      <c r="AG10383" s="10"/>
    </row>
    <row r="10384" spans="33:33">
      <c r="AG10384" s="10"/>
    </row>
    <row r="10385" spans="33:33">
      <c r="AG10385" s="10"/>
    </row>
    <row r="10386" spans="33:33">
      <c r="AG10386" s="10"/>
    </row>
    <row r="10387" spans="33:33">
      <c r="AG10387" s="10"/>
    </row>
    <row r="10388" spans="33:33">
      <c r="AG10388" s="10"/>
    </row>
    <row r="10389" spans="33:33">
      <c r="AG10389" s="10"/>
    </row>
    <row r="10390" spans="33:33">
      <c r="AG10390" s="10"/>
    </row>
    <row r="10391" spans="33:33">
      <c r="AG10391" s="10"/>
    </row>
    <row r="10392" spans="33:33">
      <c r="AG10392" s="10"/>
    </row>
    <row r="10393" spans="33:33">
      <c r="AG10393" s="10"/>
    </row>
    <row r="10394" spans="33:33">
      <c r="AG10394" s="10"/>
    </row>
    <row r="10395" spans="33:33">
      <c r="AG10395" s="10"/>
    </row>
    <row r="10396" spans="33:33">
      <c r="AG10396" s="10"/>
    </row>
    <row r="10397" spans="33:33">
      <c r="AG10397" s="10"/>
    </row>
    <row r="10398" spans="33:33">
      <c r="AG10398" s="10"/>
    </row>
    <row r="10399" spans="33:33">
      <c r="AG10399" s="10"/>
    </row>
    <row r="10400" spans="33:33">
      <c r="AG10400" s="10"/>
    </row>
    <row r="10401" spans="33:33">
      <c r="AG10401" s="10"/>
    </row>
    <row r="10402" spans="33:33">
      <c r="AG10402" s="10"/>
    </row>
    <row r="10403" spans="33:33">
      <c r="AG10403" s="10"/>
    </row>
    <row r="10404" spans="33:33">
      <c r="AG10404" s="10"/>
    </row>
    <row r="10405" spans="33:33">
      <c r="AG10405" s="10"/>
    </row>
    <row r="10406" spans="33:33">
      <c r="AG10406" s="10"/>
    </row>
    <row r="10407" spans="33:33">
      <c r="AG10407" s="10"/>
    </row>
    <row r="10408" spans="33:33">
      <c r="AG10408" s="10"/>
    </row>
    <row r="10409" spans="33:33">
      <c r="AG10409" s="10"/>
    </row>
    <row r="10410" spans="33:33">
      <c r="AG10410" s="10"/>
    </row>
    <row r="10411" spans="33:33">
      <c r="AG10411" s="10"/>
    </row>
    <row r="10412" spans="33:33">
      <c r="AG10412" s="10"/>
    </row>
    <row r="10413" spans="33:33">
      <c r="AG10413" s="10"/>
    </row>
    <row r="10414" spans="33:33">
      <c r="AG10414" s="10"/>
    </row>
    <row r="10415" spans="33:33">
      <c r="AG10415" s="10"/>
    </row>
    <row r="10416" spans="33:33">
      <c r="AG10416" s="10"/>
    </row>
    <row r="10417" spans="33:33">
      <c r="AG10417" s="10"/>
    </row>
    <row r="10418" spans="33:33">
      <c r="AG10418" s="10"/>
    </row>
    <row r="10419" spans="33:33">
      <c r="AG10419" s="10"/>
    </row>
    <row r="10420" spans="33:33">
      <c r="AG10420" s="10"/>
    </row>
    <row r="10421" spans="33:33">
      <c r="AG10421" s="10"/>
    </row>
    <row r="10422" spans="33:33">
      <c r="AG10422" s="10"/>
    </row>
    <row r="10423" spans="33:33">
      <c r="AG10423" s="10"/>
    </row>
    <row r="10424" spans="33:33">
      <c r="AG10424" s="10"/>
    </row>
    <row r="10425" spans="33:33">
      <c r="AG10425" s="10"/>
    </row>
    <row r="10426" spans="33:33">
      <c r="AG10426" s="10"/>
    </row>
    <row r="10427" spans="33:33">
      <c r="AG10427" s="10"/>
    </row>
    <row r="10428" spans="33:33">
      <c r="AG10428" s="10"/>
    </row>
    <row r="10429" spans="33:33">
      <c r="AG10429" s="10"/>
    </row>
    <row r="10430" spans="33:33">
      <c r="AG10430" s="10"/>
    </row>
    <row r="10431" spans="33:33">
      <c r="AG10431" s="10"/>
    </row>
    <row r="10432" spans="33:33">
      <c r="AG10432" s="10"/>
    </row>
    <row r="10433" spans="33:33">
      <c r="AG10433" s="10"/>
    </row>
    <row r="10434" spans="33:33">
      <c r="AG10434" s="10"/>
    </row>
    <row r="10435" spans="33:33">
      <c r="AG10435" s="10"/>
    </row>
    <row r="10436" spans="33:33">
      <c r="AG10436" s="10"/>
    </row>
    <row r="10437" spans="33:33">
      <c r="AG10437" s="10"/>
    </row>
    <row r="10438" spans="33:33">
      <c r="AG10438" s="10"/>
    </row>
    <row r="10439" spans="33:33">
      <c r="AG10439" s="10"/>
    </row>
    <row r="10440" spans="33:33">
      <c r="AG10440" s="10"/>
    </row>
    <row r="10441" spans="33:33">
      <c r="AG10441" s="10"/>
    </row>
    <row r="10442" spans="33:33">
      <c r="AG10442" s="10"/>
    </row>
    <row r="10443" spans="33:33">
      <c r="AG10443" s="10"/>
    </row>
    <row r="10444" spans="33:33">
      <c r="AG10444" s="10"/>
    </row>
    <row r="10445" spans="33:33">
      <c r="AG10445" s="10"/>
    </row>
    <row r="10446" spans="33:33">
      <c r="AG10446" s="10"/>
    </row>
    <row r="10447" spans="33:33">
      <c r="AG10447" s="10"/>
    </row>
    <row r="10448" spans="33:33">
      <c r="AG10448" s="10"/>
    </row>
    <row r="10449" spans="33:33">
      <c r="AG10449" s="10"/>
    </row>
    <row r="10450" spans="33:33">
      <c r="AG10450" s="10"/>
    </row>
    <row r="10451" spans="33:33">
      <c r="AG10451" s="10"/>
    </row>
    <row r="10452" spans="33:33">
      <c r="AG10452" s="10"/>
    </row>
    <row r="10453" spans="33:33">
      <c r="AG10453" s="10"/>
    </row>
    <row r="10454" spans="33:33">
      <c r="AG10454" s="10"/>
    </row>
    <row r="10455" spans="33:33">
      <c r="AG10455" s="10"/>
    </row>
    <row r="10456" spans="33:33">
      <c r="AG10456" s="10"/>
    </row>
    <row r="10457" spans="33:33">
      <c r="AG10457" s="10"/>
    </row>
    <row r="10458" spans="33:33">
      <c r="AG10458" s="10"/>
    </row>
    <row r="10459" spans="33:33">
      <c r="AG10459" s="10"/>
    </row>
    <row r="10460" spans="33:33">
      <c r="AG10460" s="10"/>
    </row>
    <row r="10461" spans="33:33">
      <c r="AG10461" s="10"/>
    </row>
    <row r="10462" spans="33:33">
      <c r="AG10462" s="10"/>
    </row>
    <row r="10463" spans="33:33">
      <c r="AG10463" s="10"/>
    </row>
    <row r="10464" spans="33:33">
      <c r="AG10464" s="10"/>
    </row>
    <row r="10465" spans="33:33">
      <c r="AG10465" s="10"/>
    </row>
    <row r="10466" spans="33:33">
      <c r="AG10466" s="10"/>
    </row>
    <row r="10467" spans="33:33">
      <c r="AG10467" s="10"/>
    </row>
    <row r="10468" spans="33:33">
      <c r="AG10468" s="10"/>
    </row>
    <row r="10469" spans="33:33">
      <c r="AG10469" s="10"/>
    </row>
    <row r="10470" spans="33:33">
      <c r="AG10470" s="10"/>
    </row>
    <row r="10471" spans="33:33">
      <c r="AG10471" s="10"/>
    </row>
    <row r="10472" spans="33:33">
      <c r="AG10472" s="10"/>
    </row>
    <row r="10473" spans="33:33">
      <c r="AG10473" s="10"/>
    </row>
    <row r="10474" spans="33:33">
      <c r="AG10474" s="10"/>
    </row>
    <row r="10475" spans="33:33">
      <c r="AG10475" s="10"/>
    </row>
    <row r="10476" spans="33:33">
      <c r="AG10476" s="10"/>
    </row>
    <row r="10477" spans="33:33">
      <c r="AG10477" s="10"/>
    </row>
    <row r="10478" spans="33:33">
      <c r="AG10478" s="10"/>
    </row>
    <row r="10479" spans="33:33">
      <c r="AG10479" s="10"/>
    </row>
    <row r="10480" spans="33:33">
      <c r="AG10480" s="10"/>
    </row>
    <row r="10481" spans="33:33">
      <c r="AG10481" s="10"/>
    </row>
    <row r="10482" spans="33:33">
      <c r="AG10482" s="10"/>
    </row>
    <row r="10483" spans="33:33">
      <c r="AG10483" s="10"/>
    </row>
    <row r="10484" spans="33:33">
      <c r="AG10484" s="10"/>
    </row>
    <row r="10485" spans="33:33">
      <c r="AG10485" s="10"/>
    </row>
    <row r="10486" spans="33:33">
      <c r="AG10486" s="10"/>
    </row>
    <row r="10487" spans="33:33">
      <c r="AG10487" s="10"/>
    </row>
    <row r="10488" spans="33:33">
      <c r="AG10488" s="10"/>
    </row>
    <row r="10489" spans="33:33">
      <c r="AG10489" s="10"/>
    </row>
    <row r="10490" spans="33:33">
      <c r="AG10490" s="10"/>
    </row>
    <row r="10491" spans="33:33">
      <c r="AG10491" s="10"/>
    </row>
    <row r="10492" spans="33:33">
      <c r="AG10492" s="10"/>
    </row>
    <row r="10493" spans="33:33">
      <c r="AG10493" s="10"/>
    </row>
    <row r="10494" spans="33:33">
      <c r="AG10494" s="10"/>
    </row>
    <row r="10495" spans="33:33">
      <c r="AG10495" s="10"/>
    </row>
    <row r="10496" spans="33:33">
      <c r="AG10496" s="10"/>
    </row>
    <row r="10497" spans="33:33">
      <c r="AG10497" s="10"/>
    </row>
    <row r="10498" spans="33:33">
      <c r="AG10498" s="10"/>
    </row>
    <row r="10499" spans="33:33">
      <c r="AG10499" s="10"/>
    </row>
    <row r="10500" spans="33:33">
      <c r="AG10500" s="10"/>
    </row>
    <row r="10501" spans="33:33">
      <c r="AG10501" s="10"/>
    </row>
    <row r="10502" spans="33:33">
      <c r="AG10502" s="10"/>
    </row>
    <row r="10503" spans="33:33">
      <c r="AG10503" s="10"/>
    </row>
    <row r="10504" spans="33:33">
      <c r="AG10504" s="10"/>
    </row>
    <row r="10505" spans="33:33">
      <c r="AG10505" s="10"/>
    </row>
    <row r="10506" spans="33:33">
      <c r="AG10506" s="10"/>
    </row>
    <row r="10507" spans="33:33">
      <c r="AG10507" s="10"/>
    </row>
    <row r="10508" spans="33:33">
      <c r="AG10508" s="10"/>
    </row>
    <row r="10509" spans="33:33">
      <c r="AG10509" s="10"/>
    </row>
    <row r="10510" spans="33:33">
      <c r="AG10510" s="10"/>
    </row>
    <row r="10511" spans="33:33">
      <c r="AG10511" s="10"/>
    </row>
    <row r="10512" spans="33:33">
      <c r="AG10512" s="10"/>
    </row>
    <row r="10513" spans="33:33">
      <c r="AG10513" s="10"/>
    </row>
    <row r="10514" spans="33:33">
      <c r="AG10514" s="10"/>
    </row>
    <row r="10515" spans="33:33">
      <c r="AG10515" s="10"/>
    </row>
    <row r="10516" spans="33:33">
      <c r="AG10516" s="10"/>
    </row>
    <row r="10517" spans="33:33">
      <c r="AG10517" s="10"/>
    </row>
    <row r="10518" spans="33:33">
      <c r="AG10518" s="10"/>
    </row>
    <row r="10519" spans="33:33">
      <c r="AG10519" s="10"/>
    </row>
    <row r="10520" spans="33:33">
      <c r="AG10520" s="10"/>
    </row>
    <row r="10521" spans="33:33">
      <c r="AG10521" s="10"/>
    </row>
    <row r="10522" spans="33:33">
      <c r="AG10522" s="10"/>
    </row>
    <row r="10523" spans="33:33">
      <c r="AG10523" s="10"/>
    </row>
    <row r="10524" spans="33:33">
      <c r="AG10524" s="10"/>
    </row>
    <row r="10525" spans="33:33">
      <c r="AG10525" s="10"/>
    </row>
    <row r="10526" spans="33:33">
      <c r="AG10526" s="10"/>
    </row>
    <row r="10527" spans="33:33">
      <c r="AG10527" s="10"/>
    </row>
    <row r="10528" spans="33:33">
      <c r="AG10528" s="10"/>
    </row>
    <row r="10529" spans="33:33">
      <c r="AG10529" s="10"/>
    </row>
    <row r="10530" spans="33:33">
      <c r="AG10530" s="10"/>
    </row>
    <row r="10531" spans="33:33">
      <c r="AG10531" s="10"/>
    </row>
    <row r="10532" spans="33:33">
      <c r="AG10532" s="10"/>
    </row>
    <row r="10533" spans="33:33">
      <c r="AG10533" s="10"/>
    </row>
    <row r="10534" spans="33:33">
      <c r="AG10534" s="10"/>
    </row>
    <row r="10535" spans="33:33">
      <c r="AG10535" s="10"/>
    </row>
    <row r="10536" spans="33:33">
      <c r="AG10536" s="10"/>
    </row>
    <row r="10537" spans="33:33">
      <c r="AG10537" s="10"/>
    </row>
    <row r="10538" spans="33:33">
      <c r="AG10538" s="10"/>
    </row>
    <row r="10539" spans="33:33">
      <c r="AG10539" s="10"/>
    </row>
    <row r="10540" spans="33:33">
      <c r="AG10540" s="10"/>
    </row>
    <row r="10541" spans="33:33">
      <c r="AG10541" s="10"/>
    </row>
    <row r="10542" spans="33:33">
      <c r="AG10542" s="10"/>
    </row>
    <row r="10543" spans="33:33">
      <c r="AG10543" s="10"/>
    </row>
    <row r="10544" spans="33:33">
      <c r="AG10544" s="10"/>
    </row>
    <row r="10545" spans="33:33">
      <c r="AG10545" s="10"/>
    </row>
    <row r="10546" spans="33:33">
      <c r="AG10546" s="10"/>
    </row>
    <row r="10547" spans="33:33">
      <c r="AG10547" s="10"/>
    </row>
    <row r="10548" spans="33:33">
      <c r="AG10548" s="10"/>
    </row>
    <row r="10549" spans="33:33">
      <c r="AG10549" s="10"/>
    </row>
    <row r="10550" spans="33:33">
      <c r="AG10550" s="10"/>
    </row>
    <row r="10551" spans="33:33">
      <c r="AG10551" s="10"/>
    </row>
    <row r="10552" spans="33:33">
      <c r="AG10552" s="10"/>
    </row>
    <row r="10553" spans="33:33">
      <c r="AG10553" s="10"/>
    </row>
    <row r="10554" spans="33:33">
      <c r="AG10554" s="10"/>
    </row>
    <row r="10555" spans="33:33">
      <c r="AG10555" s="10"/>
    </row>
    <row r="10556" spans="33:33">
      <c r="AG10556" s="10"/>
    </row>
    <row r="10557" spans="33:33">
      <c r="AG10557" s="10"/>
    </row>
    <row r="10558" spans="33:33">
      <c r="AG10558" s="10"/>
    </row>
    <row r="10559" spans="33:33">
      <c r="AG10559" s="10"/>
    </row>
    <row r="10560" spans="33:33">
      <c r="AG10560" s="10"/>
    </row>
    <row r="10561" spans="33:33">
      <c r="AG10561" s="10"/>
    </row>
    <row r="10562" spans="33:33">
      <c r="AG10562" s="10"/>
    </row>
    <row r="10563" spans="33:33">
      <c r="AG10563" s="10"/>
    </row>
    <row r="10564" spans="33:33">
      <c r="AG10564" s="10"/>
    </row>
    <row r="10565" spans="33:33">
      <c r="AG10565" s="10"/>
    </row>
    <row r="10566" spans="33:33">
      <c r="AG10566" s="10"/>
    </row>
    <row r="10567" spans="33:33">
      <c r="AG10567" s="10"/>
    </row>
    <row r="10568" spans="33:33">
      <c r="AG10568" s="10"/>
    </row>
    <row r="10569" spans="33:33">
      <c r="AG10569" s="10"/>
    </row>
    <row r="10570" spans="33:33">
      <c r="AG10570" s="10"/>
    </row>
    <row r="10571" spans="33:33">
      <c r="AG10571" s="10"/>
    </row>
    <row r="10572" spans="33:33">
      <c r="AG10572" s="10"/>
    </row>
    <row r="10573" spans="33:33">
      <c r="AG10573" s="10"/>
    </row>
    <row r="10574" spans="33:33">
      <c r="AG10574" s="10"/>
    </row>
    <row r="10575" spans="33:33">
      <c r="AG10575" s="10"/>
    </row>
    <row r="10576" spans="33:33">
      <c r="AG10576" s="10"/>
    </row>
    <row r="10577" spans="33:33">
      <c r="AG10577" s="10"/>
    </row>
    <row r="10578" spans="33:33">
      <c r="AG10578" s="10"/>
    </row>
    <row r="10579" spans="33:33">
      <c r="AG10579" s="10"/>
    </row>
    <row r="10580" spans="33:33">
      <c r="AG10580" s="10"/>
    </row>
    <row r="10581" spans="33:33">
      <c r="AG10581" s="10"/>
    </row>
    <row r="10582" spans="33:33">
      <c r="AG10582" s="10"/>
    </row>
    <row r="10583" spans="33:33">
      <c r="AG10583" s="10"/>
    </row>
    <row r="10584" spans="33:33">
      <c r="AG10584" s="10"/>
    </row>
    <row r="10585" spans="33:33">
      <c r="AG10585" s="10"/>
    </row>
    <row r="10586" spans="33:33">
      <c r="AG10586" s="10"/>
    </row>
    <row r="10587" spans="33:33">
      <c r="AG10587" s="10"/>
    </row>
    <row r="10588" spans="33:33">
      <c r="AG10588" s="10"/>
    </row>
    <row r="10589" spans="33:33">
      <c r="AG10589" s="10"/>
    </row>
    <row r="10590" spans="33:33">
      <c r="AG10590" s="10"/>
    </row>
    <row r="10591" spans="33:33">
      <c r="AG10591" s="10"/>
    </row>
    <row r="10592" spans="33:33">
      <c r="AG10592" s="10"/>
    </row>
    <row r="10593" spans="33:33">
      <c r="AG10593" s="10"/>
    </row>
    <row r="10594" spans="33:33">
      <c r="AG10594" s="10"/>
    </row>
    <row r="10595" spans="33:33">
      <c r="AG10595" s="10"/>
    </row>
    <row r="10596" spans="33:33">
      <c r="AG10596" s="10"/>
    </row>
    <row r="10597" spans="33:33">
      <c r="AG10597" s="10"/>
    </row>
    <row r="10598" spans="33:33">
      <c r="AG10598" s="10"/>
    </row>
    <row r="10599" spans="33:33">
      <c r="AG10599" s="10"/>
    </row>
    <row r="10600" spans="33:33">
      <c r="AG10600" s="10"/>
    </row>
    <row r="10601" spans="33:33">
      <c r="AG10601" s="10"/>
    </row>
    <row r="10602" spans="33:33">
      <c r="AG10602" s="10"/>
    </row>
    <row r="10603" spans="33:33">
      <c r="AG10603" s="10"/>
    </row>
    <row r="10604" spans="33:33">
      <c r="AG10604" s="10"/>
    </row>
    <row r="10605" spans="33:33">
      <c r="AG10605" s="10"/>
    </row>
    <row r="10606" spans="33:33">
      <c r="AG10606" s="10"/>
    </row>
    <row r="10607" spans="33:33">
      <c r="AG10607" s="10"/>
    </row>
    <row r="10608" spans="33:33">
      <c r="AG10608" s="10"/>
    </row>
    <row r="10609" spans="33:33">
      <c r="AG10609" s="10"/>
    </row>
    <row r="10610" spans="33:33">
      <c r="AG10610" s="10"/>
    </row>
    <row r="10611" spans="33:33">
      <c r="AG10611" s="10"/>
    </row>
    <row r="10612" spans="33:33">
      <c r="AG10612" s="10"/>
    </row>
    <row r="10613" spans="33:33">
      <c r="AG10613" s="10"/>
    </row>
    <row r="10614" spans="33:33">
      <c r="AG10614" s="10"/>
    </row>
    <row r="10615" spans="33:33">
      <c r="AG10615" s="10"/>
    </row>
    <row r="10616" spans="33:33">
      <c r="AG10616" s="10"/>
    </row>
    <row r="10617" spans="33:33">
      <c r="AG10617" s="10"/>
    </row>
    <row r="10618" spans="33:33">
      <c r="AG10618" s="10"/>
    </row>
    <row r="10619" spans="33:33">
      <c r="AG10619" s="10"/>
    </row>
    <row r="10620" spans="33:33">
      <c r="AG10620" s="10"/>
    </row>
    <row r="10621" spans="33:33">
      <c r="AG10621" s="10"/>
    </row>
    <row r="10622" spans="33:33">
      <c r="AG10622" s="10"/>
    </row>
    <row r="10623" spans="33:33">
      <c r="AG10623" s="10"/>
    </row>
    <row r="10624" spans="33:33">
      <c r="AG10624" s="10"/>
    </row>
    <row r="10625" spans="33:33">
      <c r="AG10625" s="10"/>
    </row>
    <row r="10626" spans="33:33">
      <c r="AG10626" s="10"/>
    </row>
    <row r="10627" spans="33:33">
      <c r="AG10627" s="10"/>
    </row>
    <row r="10628" spans="33:33">
      <c r="AG10628" s="10"/>
    </row>
    <row r="10629" spans="33:33">
      <c r="AG10629" s="10"/>
    </row>
    <row r="10630" spans="33:33">
      <c r="AG10630" s="10"/>
    </row>
    <row r="10631" spans="33:33">
      <c r="AG10631" s="10"/>
    </row>
    <row r="10632" spans="33:33">
      <c r="AG10632" s="10"/>
    </row>
    <row r="10633" spans="33:33">
      <c r="AG10633" s="10"/>
    </row>
    <row r="10634" spans="33:33">
      <c r="AG10634" s="10"/>
    </row>
    <row r="10635" spans="33:33">
      <c r="AG10635" s="10"/>
    </row>
    <row r="10636" spans="33:33">
      <c r="AG10636" s="10"/>
    </row>
    <row r="10637" spans="33:33">
      <c r="AG10637" s="10"/>
    </row>
    <row r="10638" spans="33:33">
      <c r="AG10638" s="10"/>
    </row>
    <row r="10639" spans="33:33">
      <c r="AG10639" s="10"/>
    </row>
    <row r="10640" spans="33:33">
      <c r="AG10640" s="10"/>
    </row>
    <row r="10641" spans="33:33">
      <c r="AG10641" s="10"/>
    </row>
    <row r="10642" spans="33:33">
      <c r="AG10642" s="10"/>
    </row>
    <row r="10643" spans="33:33">
      <c r="AG10643" s="10"/>
    </row>
    <row r="10644" spans="33:33">
      <c r="AG10644" s="10"/>
    </row>
    <row r="10645" spans="33:33">
      <c r="AG10645" s="10"/>
    </row>
    <row r="10646" spans="33:33">
      <c r="AG10646" s="10"/>
    </row>
    <row r="10647" spans="33:33">
      <c r="AG10647" s="10"/>
    </row>
    <row r="10648" spans="33:33">
      <c r="AG10648" s="10"/>
    </row>
    <row r="10649" spans="33:33">
      <c r="AG10649" s="10"/>
    </row>
    <row r="10650" spans="33:33">
      <c r="AG10650" s="10"/>
    </row>
    <row r="10651" spans="33:33">
      <c r="AG10651" s="10"/>
    </row>
    <row r="10652" spans="33:33">
      <c r="AG10652" s="10"/>
    </row>
    <row r="10653" spans="33:33">
      <c r="AG10653" s="10"/>
    </row>
    <row r="10654" spans="33:33">
      <c r="AG10654" s="10"/>
    </row>
    <row r="10655" spans="33:33">
      <c r="AG10655" s="10"/>
    </row>
    <row r="10656" spans="33:33">
      <c r="AG10656" s="10"/>
    </row>
    <row r="10657" spans="33:33">
      <c r="AG10657" s="10"/>
    </row>
    <row r="10658" spans="33:33">
      <c r="AG10658" s="10"/>
    </row>
    <row r="10659" spans="33:33">
      <c r="AG10659" s="10"/>
    </row>
    <row r="10660" spans="33:33">
      <c r="AG10660" s="10"/>
    </row>
    <row r="10661" spans="33:33">
      <c r="AG10661" s="10"/>
    </row>
    <row r="10662" spans="33:33">
      <c r="AG10662" s="10"/>
    </row>
    <row r="10663" spans="33:33">
      <c r="AG10663" s="10"/>
    </row>
    <row r="10664" spans="33:33">
      <c r="AG10664" s="10"/>
    </row>
    <row r="10665" spans="33:33">
      <c r="AG10665" s="10"/>
    </row>
    <row r="10666" spans="33:33">
      <c r="AG10666" s="10"/>
    </row>
    <row r="10667" spans="33:33">
      <c r="AG10667" s="10"/>
    </row>
    <row r="10668" spans="33:33">
      <c r="AG10668" s="10"/>
    </row>
    <row r="10669" spans="33:33">
      <c r="AG10669" s="10"/>
    </row>
    <row r="10670" spans="33:33">
      <c r="AG10670" s="10"/>
    </row>
    <row r="10671" spans="33:33">
      <c r="AG10671" s="10"/>
    </row>
    <row r="10672" spans="33:33">
      <c r="AG10672" s="10"/>
    </row>
    <row r="10673" spans="33:33">
      <c r="AG10673" s="10"/>
    </row>
    <row r="10674" spans="33:33">
      <c r="AG10674" s="10"/>
    </row>
    <row r="10675" spans="33:33">
      <c r="AG10675" s="10"/>
    </row>
    <row r="10676" spans="33:33">
      <c r="AG10676" s="10"/>
    </row>
    <row r="10677" spans="33:33">
      <c r="AG10677" s="10"/>
    </row>
    <row r="10678" spans="33:33">
      <c r="AG10678" s="10"/>
    </row>
    <row r="10679" spans="33:33">
      <c r="AG10679" s="10"/>
    </row>
    <row r="10680" spans="33:33">
      <c r="AG10680" s="10"/>
    </row>
    <row r="10681" spans="33:33">
      <c r="AG10681" s="10"/>
    </row>
    <row r="10682" spans="33:33">
      <c r="AG10682" s="10"/>
    </row>
    <row r="10683" spans="33:33">
      <c r="AG10683" s="10"/>
    </row>
    <row r="10684" spans="33:33">
      <c r="AG10684" s="10"/>
    </row>
    <row r="10685" spans="33:33">
      <c r="AG10685" s="10"/>
    </row>
    <row r="10686" spans="33:33">
      <c r="AG10686" s="10"/>
    </row>
    <row r="10687" spans="33:33">
      <c r="AG10687" s="10"/>
    </row>
    <row r="10688" spans="33:33">
      <c r="AG10688" s="10"/>
    </row>
    <row r="10689" spans="33:33">
      <c r="AG10689" s="10"/>
    </row>
    <row r="10690" spans="33:33">
      <c r="AG10690" s="10"/>
    </row>
    <row r="10691" spans="33:33">
      <c r="AG10691" s="10"/>
    </row>
    <row r="10692" spans="33:33">
      <c r="AG10692" s="10"/>
    </row>
    <row r="10693" spans="33:33">
      <c r="AG10693" s="10"/>
    </row>
    <row r="10694" spans="33:33">
      <c r="AG10694" s="10"/>
    </row>
    <row r="10695" spans="33:33">
      <c r="AG10695" s="10"/>
    </row>
    <row r="10696" spans="33:33">
      <c r="AG10696" s="10"/>
    </row>
    <row r="10697" spans="33:33">
      <c r="AG10697" s="10"/>
    </row>
    <row r="10698" spans="33:33">
      <c r="AG10698" s="10"/>
    </row>
    <row r="10699" spans="33:33">
      <c r="AG10699" s="10"/>
    </row>
    <row r="10700" spans="33:33">
      <c r="AG10700" s="10"/>
    </row>
    <row r="10701" spans="33:33">
      <c r="AG10701" s="10"/>
    </row>
    <row r="10702" spans="33:33">
      <c r="AG10702" s="10"/>
    </row>
    <row r="10703" spans="33:33">
      <c r="AG10703" s="10"/>
    </row>
    <row r="10704" spans="33:33">
      <c r="AG10704" s="10"/>
    </row>
    <row r="10705" spans="33:33">
      <c r="AG10705" s="10"/>
    </row>
    <row r="10706" spans="33:33">
      <c r="AG10706" s="10"/>
    </row>
    <row r="10707" spans="33:33">
      <c r="AG10707" s="10"/>
    </row>
    <row r="10708" spans="33:33">
      <c r="AG10708" s="10"/>
    </row>
    <row r="10709" spans="33:33">
      <c r="AG10709" s="10"/>
    </row>
    <row r="10710" spans="33:33">
      <c r="AG10710" s="10"/>
    </row>
    <row r="10711" spans="33:33">
      <c r="AG10711" s="10"/>
    </row>
    <row r="10712" spans="33:33">
      <c r="AG10712" s="10"/>
    </row>
    <row r="10713" spans="33:33">
      <c r="AG10713" s="10"/>
    </row>
    <row r="10714" spans="33:33">
      <c r="AG10714" s="10"/>
    </row>
    <row r="10715" spans="33:33">
      <c r="AG10715" s="10"/>
    </row>
    <row r="10716" spans="33:33">
      <c r="AG10716" s="10"/>
    </row>
    <row r="10717" spans="33:33">
      <c r="AG10717" s="10"/>
    </row>
    <row r="10718" spans="33:33">
      <c r="AG10718" s="10"/>
    </row>
    <row r="10719" spans="33:33">
      <c r="AG10719" s="10"/>
    </row>
    <row r="10720" spans="33:33">
      <c r="AG10720" s="10"/>
    </row>
    <row r="10721" spans="33:33">
      <c r="AG10721" s="10"/>
    </row>
    <row r="10722" spans="33:33">
      <c r="AG10722" s="10"/>
    </row>
    <row r="10723" spans="33:33">
      <c r="AG10723" s="10"/>
    </row>
    <row r="10724" spans="33:33">
      <c r="AG10724" s="10"/>
    </row>
    <row r="10725" spans="33:33">
      <c r="AG10725" s="10"/>
    </row>
    <row r="10726" spans="33:33">
      <c r="AG10726" s="10"/>
    </row>
    <row r="10727" spans="33:33">
      <c r="AG10727" s="10"/>
    </row>
    <row r="10728" spans="33:33">
      <c r="AG10728" s="10"/>
    </row>
    <row r="10729" spans="33:33">
      <c r="AG10729" s="10"/>
    </row>
    <row r="10730" spans="33:33">
      <c r="AG10730" s="10"/>
    </row>
    <row r="10731" spans="33:33">
      <c r="AG10731" s="10"/>
    </row>
    <row r="10732" spans="33:33">
      <c r="AG10732" s="10"/>
    </row>
    <row r="10733" spans="33:33">
      <c r="AG10733" s="10"/>
    </row>
    <row r="10734" spans="33:33">
      <c r="AG10734" s="10"/>
    </row>
    <row r="10735" spans="33:33">
      <c r="AG10735" s="10"/>
    </row>
    <row r="10736" spans="33:33">
      <c r="AG10736" s="10"/>
    </row>
    <row r="10737" spans="33:33">
      <c r="AG10737" s="10"/>
    </row>
    <row r="10738" spans="33:33">
      <c r="AG10738" s="10"/>
    </row>
    <row r="10739" spans="33:33">
      <c r="AG10739" s="10"/>
    </row>
    <row r="10740" spans="33:33">
      <c r="AG10740" s="10"/>
    </row>
    <row r="10741" spans="33:33">
      <c r="AG10741" s="10"/>
    </row>
    <row r="10742" spans="33:33">
      <c r="AG10742" s="10"/>
    </row>
    <row r="10743" spans="33:33">
      <c r="AG10743" s="10"/>
    </row>
    <row r="10744" spans="33:33">
      <c r="AG10744" s="10"/>
    </row>
    <row r="10745" spans="33:33">
      <c r="AG10745" s="10"/>
    </row>
    <row r="10746" spans="33:33">
      <c r="AG10746" s="10"/>
    </row>
    <row r="10747" spans="33:33">
      <c r="AG10747" s="10"/>
    </row>
    <row r="10748" spans="33:33">
      <c r="AG10748" s="10"/>
    </row>
    <row r="10749" spans="33:33">
      <c r="AG10749" s="10"/>
    </row>
    <row r="10750" spans="33:33">
      <c r="AG10750" s="10"/>
    </row>
    <row r="10751" spans="33:33">
      <c r="AG10751" s="10"/>
    </row>
    <row r="10752" spans="33:33">
      <c r="AG10752" s="10"/>
    </row>
    <row r="10753" spans="33:33">
      <c r="AG10753" s="10"/>
    </row>
    <row r="10754" spans="33:33">
      <c r="AG10754" s="10"/>
    </row>
    <row r="10755" spans="33:33">
      <c r="AG10755" s="10"/>
    </row>
    <row r="10756" spans="33:33">
      <c r="AG10756" s="10"/>
    </row>
    <row r="10757" spans="33:33">
      <c r="AG10757" s="10"/>
    </row>
    <row r="10758" spans="33:33">
      <c r="AG10758" s="10"/>
    </row>
    <row r="10759" spans="33:33">
      <c r="AG10759" s="10"/>
    </row>
    <row r="10760" spans="33:33">
      <c r="AG10760" s="10"/>
    </row>
    <row r="10761" spans="33:33">
      <c r="AG10761" s="10"/>
    </row>
    <row r="10762" spans="33:33">
      <c r="AG10762" s="10"/>
    </row>
    <row r="10763" spans="33:33">
      <c r="AG10763" s="10"/>
    </row>
    <row r="10764" spans="33:33">
      <c r="AG10764" s="10"/>
    </row>
    <row r="10765" spans="33:33">
      <c r="AG10765" s="10"/>
    </row>
    <row r="10766" spans="33:33">
      <c r="AG10766" s="10"/>
    </row>
    <row r="10767" spans="33:33">
      <c r="AG10767" s="10"/>
    </row>
    <row r="10768" spans="33:33">
      <c r="AG10768" s="10"/>
    </row>
    <row r="10769" spans="33:33">
      <c r="AG10769" s="10"/>
    </row>
    <row r="10770" spans="33:33">
      <c r="AG10770" s="10"/>
    </row>
    <row r="10771" spans="33:33">
      <c r="AG10771" s="10"/>
    </row>
    <row r="10772" spans="33:33">
      <c r="AG10772" s="10"/>
    </row>
    <row r="10773" spans="33:33">
      <c r="AG10773" s="10"/>
    </row>
    <row r="10774" spans="33:33">
      <c r="AG10774" s="10"/>
    </row>
    <row r="10775" spans="33:33">
      <c r="AG10775" s="10"/>
    </row>
    <row r="10776" spans="33:33">
      <c r="AG10776" s="10"/>
    </row>
    <row r="10777" spans="33:33">
      <c r="AG10777" s="10"/>
    </row>
    <row r="10778" spans="33:33">
      <c r="AG10778" s="10"/>
    </row>
    <row r="10779" spans="33:33">
      <c r="AG10779" s="10"/>
    </row>
    <row r="10780" spans="33:33">
      <c r="AG10780" s="10"/>
    </row>
    <row r="10781" spans="33:33">
      <c r="AG10781" s="10"/>
    </row>
    <row r="10782" spans="33:33">
      <c r="AG10782" s="10"/>
    </row>
    <row r="10783" spans="33:33">
      <c r="AG10783" s="10"/>
    </row>
    <row r="10784" spans="33:33">
      <c r="AG10784" s="10"/>
    </row>
    <row r="10785" spans="33:33">
      <c r="AG10785" s="10"/>
    </row>
    <row r="10786" spans="33:33">
      <c r="AG10786" s="10"/>
    </row>
    <row r="10787" spans="33:33">
      <c r="AG10787" s="10"/>
    </row>
    <row r="10788" spans="33:33">
      <c r="AG10788" s="10"/>
    </row>
    <row r="10789" spans="33:33">
      <c r="AG10789" s="10"/>
    </row>
    <row r="10790" spans="33:33">
      <c r="AG10790" s="10"/>
    </row>
    <row r="10791" spans="33:33">
      <c r="AG10791" s="10"/>
    </row>
    <row r="10792" spans="33:33">
      <c r="AG10792" s="10"/>
    </row>
    <row r="10793" spans="33:33">
      <c r="AG10793" s="10"/>
    </row>
    <row r="10794" spans="33:33">
      <c r="AG10794" s="10"/>
    </row>
    <row r="10795" spans="33:33">
      <c r="AG10795" s="10"/>
    </row>
    <row r="10796" spans="33:33">
      <c r="AG10796" s="10"/>
    </row>
    <row r="10797" spans="33:33">
      <c r="AG10797" s="10"/>
    </row>
    <row r="10798" spans="33:33">
      <c r="AG10798" s="10"/>
    </row>
    <row r="10799" spans="33:33">
      <c r="AG10799" s="10"/>
    </row>
    <row r="10800" spans="33:33">
      <c r="AG10800" s="10"/>
    </row>
    <row r="10801" spans="33:33">
      <c r="AG10801" s="10"/>
    </row>
    <row r="10802" spans="33:33">
      <c r="AG10802" s="10"/>
    </row>
    <row r="10803" spans="33:33">
      <c r="AG10803" s="10"/>
    </row>
    <row r="10804" spans="33:33">
      <c r="AG10804" s="10"/>
    </row>
    <row r="10805" spans="33:33">
      <c r="AG10805" s="10"/>
    </row>
    <row r="10806" spans="33:33">
      <c r="AG10806" s="10"/>
    </row>
    <row r="10807" spans="33:33">
      <c r="AG10807" s="10"/>
    </row>
    <row r="10808" spans="33:33">
      <c r="AG10808" s="10"/>
    </row>
    <row r="10809" spans="33:33">
      <c r="AG10809" s="10"/>
    </row>
    <row r="10810" spans="33:33">
      <c r="AG10810" s="10"/>
    </row>
    <row r="10811" spans="33:33">
      <c r="AG10811" s="10"/>
    </row>
    <row r="10812" spans="33:33">
      <c r="AG10812" s="10"/>
    </row>
    <row r="10813" spans="33:33">
      <c r="AG10813" s="10"/>
    </row>
    <row r="10814" spans="33:33">
      <c r="AG10814" s="10"/>
    </row>
    <row r="10815" spans="33:33">
      <c r="AG10815" s="10"/>
    </row>
    <row r="10816" spans="33:33">
      <c r="AG10816" s="10"/>
    </row>
    <row r="10817" spans="33:33">
      <c r="AG10817" s="10"/>
    </row>
    <row r="10818" spans="33:33">
      <c r="AG10818" s="10"/>
    </row>
    <row r="10819" spans="33:33">
      <c r="AG10819" s="10"/>
    </row>
    <row r="10820" spans="33:33">
      <c r="AG10820" s="10"/>
    </row>
    <row r="10821" spans="33:33">
      <c r="AG10821" s="10"/>
    </row>
    <row r="10822" spans="33:33">
      <c r="AG10822" s="10"/>
    </row>
    <row r="10823" spans="33:33">
      <c r="AG10823" s="10"/>
    </row>
    <row r="10824" spans="33:33">
      <c r="AG10824" s="10"/>
    </row>
    <row r="10825" spans="33:33">
      <c r="AG10825" s="10"/>
    </row>
    <row r="10826" spans="33:33">
      <c r="AG10826" s="10"/>
    </row>
    <row r="10827" spans="33:33">
      <c r="AG10827" s="10"/>
    </row>
    <row r="10828" spans="33:33">
      <c r="AG10828" s="10"/>
    </row>
    <row r="10829" spans="33:33">
      <c r="AG10829" s="10"/>
    </row>
    <row r="10830" spans="33:33">
      <c r="AG10830" s="10"/>
    </row>
    <row r="10831" spans="33:33">
      <c r="AG10831" s="10"/>
    </row>
    <row r="10832" spans="33:33">
      <c r="AG10832" s="10"/>
    </row>
    <row r="10833" spans="33:33">
      <c r="AG10833" s="10"/>
    </row>
    <row r="10834" spans="33:33">
      <c r="AG10834" s="10"/>
    </row>
    <row r="10835" spans="33:33">
      <c r="AG10835" s="10"/>
    </row>
    <row r="10836" spans="33:33">
      <c r="AG10836" s="10"/>
    </row>
    <row r="10837" spans="33:33">
      <c r="AG10837" s="10"/>
    </row>
    <row r="10838" spans="33:33">
      <c r="AG10838" s="10"/>
    </row>
    <row r="10839" spans="33:33">
      <c r="AG10839" s="10"/>
    </row>
    <row r="10840" spans="33:33">
      <c r="AG10840" s="10"/>
    </row>
    <row r="10841" spans="33:33">
      <c r="AG10841" s="10"/>
    </row>
    <row r="10842" spans="33:33">
      <c r="AG10842" s="10"/>
    </row>
    <row r="10843" spans="33:33">
      <c r="AG10843" s="10"/>
    </row>
    <row r="10844" spans="33:33">
      <c r="AG10844" s="10"/>
    </row>
    <row r="10845" spans="33:33">
      <c r="AG10845" s="10"/>
    </row>
    <row r="10846" spans="33:33">
      <c r="AG10846" s="10"/>
    </row>
    <row r="10847" spans="33:33">
      <c r="AG10847" s="10"/>
    </row>
    <row r="10848" spans="33:33">
      <c r="AG10848" s="10"/>
    </row>
    <row r="10849" spans="33:33">
      <c r="AG10849" s="10"/>
    </row>
    <row r="10850" spans="33:33">
      <c r="AG10850" s="10"/>
    </row>
    <row r="10851" spans="33:33">
      <c r="AG10851" s="10"/>
    </row>
    <row r="10852" spans="33:33">
      <c r="AG10852" s="10"/>
    </row>
    <row r="10853" spans="33:33">
      <c r="AG10853" s="10"/>
    </row>
    <row r="10854" spans="33:33">
      <c r="AG10854" s="10"/>
    </row>
    <row r="10855" spans="33:33">
      <c r="AG10855" s="10"/>
    </row>
    <row r="10856" spans="33:33">
      <c r="AG10856" s="10"/>
    </row>
    <row r="10857" spans="33:33">
      <c r="AG10857" s="10"/>
    </row>
    <row r="10858" spans="33:33">
      <c r="AG10858" s="10"/>
    </row>
    <row r="10859" spans="33:33">
      <c r="AG10859" s="10"/>
    </row>
    <row r="10860" spans="33:33">
      <c r="AG10860" s="10"/>
    </row>
    <row r="10861" spans="33:33">
      <c r="AG10861" s="10"/>
    </row>
    <row r="10862" spans="33:33">
      <c r="AG10862" s="10"/>
    </row>
    <row r="10863" spans="33:33">
      <c r="AG10863" s="10"/>
    </row>
    <row r="10864" spans="33:33">
      <c r="AG10864" s="10"/>
    </row>
    <row r="10865" spans="33:33">
      <c r="AG10865" s="10"/>
    </row>
    <row r="10866" spans="33:33">
      <c r="AG10866" s="10"/>
    </row>
    <row r="10867" spans="33:33">
      <c r="AG10867" s="10"/>
    </row>
    <row r="10868" spans="33:33">
      <c r="AG10868" s="10"/>
    </row>
    <row r="10869" spans="33:33">
      <c r="AG10869" s="10"/>
    </row>
    <row r="10870" spans="33:33">
      <c r="AG10870" s="10"/>
    </row>
    <row r="10871" spans="33:33">
      <c r="AG10871" s="10"/>
    </row>
    <row r="10872" spans="33:33">
      <c r="AG10872" s="10"/>
    </row>
    <row r="10873" spans="33:33">
      <c r="AG10873" s="10"/>
    </row>
    <row r="10874" spans="33:33">
      <c r="AG10874" s="10"/>
    </row>
    <row r="10875" spans="33:33">
      <c r="AG10875" s="10"/>
    </row>
    <row r="10876" spans="33:33">
      <c r="AG10876" s="10"/>
    </row>
    <row r="10877" spans="33:33">
      <c r="AG10877" s="10"/>
    </row>
    <row r="10878" spans="33:33">
      <c r="AG10878" s="10"/>
    </row>
    <row r="10879" spans="33:33">
      <c r="AG10879" s="10"/>
    </row>
    <row r="10880" spans="33:33">
      <c r="AG10880" s="10"/>
    </row>
    <row r="10881" spans="33:33">
      <c r="AG10881" s="10"/>
    </row>
    <row r="10882" spans="33:33">
      <c r="AG10882" s="10"/>
    </row>
    <row r="10883" spans="33:33">
      <c r="AG10883" s="10"/>
    </row>
    <row r="10884" spans="33:33">
      <c r="AG10884" s="10"/>
    </row>
    <row r="10885" spans="33:33">
      <c r="AG10885" s="10"/>
    </row>
    <row r="10886" spans="33:33">
      <c r="AG10886" s="10"/>
    </row>
    <row r="10887" spans="33:33">
      <c r="AG10887" s="10"/>
    </row>
    <row r="10888" spans="33:33">
      <c r="AG10888" s="10"/>
    </row>
    <row r="10889" spans="33:33">
      <c r="AG10889" s="10"/>
    </row>
    <row r="10890" spans="33:33">
      <c r="AG10890" s="10"/>
    </row>
    <row r="10891" spans="33:33">
      <c r="AG10891" s="10"/>
    </row>
    <row r="10892" spans="33:33">
      <c r="AG10892" s="10"/>
    </row>
    <row r="10893" spans="33:33">
      <c r="AG10893" s="10"/>
    </row>
    <row r="10894" spans="33:33">
      <c r="AG10894" s="10"/>
    </row>
    <row r="10895" spans="33:33">
      <c r="AG10895" s="10"/>
    </row>
    <row r="10896" spans="33:33">
      <c r="AG10896" s="10"/>
    </row>
    <row r="10897" spans="33:33">
      <c r="AG10897" s="10"/>
    </row>
    <row r="10898" spans="33:33">
      <c r="AG10898" s="10"/>
    </row>
    <row r="10899" spans="33:33">
      <c r="AG10899" s="10"/>
    </row>
    <row r="10900" spans="33:33">
      <c r="AG10900" s="10"/>
    </row>
    <row r="10901" spans="33:33">
      <c r="AG10901" s="10"/>
    </row>
    <row r="10902" spans="33:33">
      <c r="AG10902" s="10"/>
    </row>
    <row r="10903" spans="33:33">
      <c r="AG10903" s="10"/>
    </row>
    <row r="10904" spans="33:33">
      <c r="AG10904" s="10"/>
    </row>
    <row r="10905" spans="33:33">
      <c r="AG10905" s="10"/>
    </row>
    <row r="10906" spans="33:33">
      <c r="AG10906" s="10"/>
    </row>
    <row r="10907" spans="33:33">
      <c r="AG10907" s="10"/>
    </row>
    <row r="10908" spans="33:33">
      <c r="AG10908" s="10"/>
    </row>
    <row r="10909" spans="33:33">
      <c r="AG10909" s="10"/>
    </row>
    <row r="10910" spans="33:33">
      <c r="AG10910" s="10"/>
    </row>
    <row r="10911" spans="33:33">
      <c r="AG10911" s="10"/>
    </row>
    <row r="10912" spans="33:33">
      <c r="AG10912" s="10"/>
    </row>
    <row r="10913" spans="33:33">
      <c r="AG10913" s="10"/>
    </row>
    <row r="10914" spans="33:33">
      <c r="AG10914" s="10"/>
    </row>
    <row r="10915" spans="33:33">
      <c r="AG10915" s="10"/>
    </row>
    <row r="10916" spans="33:33">
      <c r="AG10916" s="10"/>
    </row>
    <row r="10917" spans="33:33">
      <c r="AG10917" s="10"/>
    </row>
    <row r="10918" spans="33:33">
      <c r="AG10918" s="10"/>
    </row>
    <row r="10919" spans="33:33">
      <c r="AG10919" s="10"/>
    </row>
    <row r="10920" spans="33:33">
      <c r="AG10920" s="10"/>
    </row>
    <row r="10921" spans="33:33">
      <c r="AG10921" s="10"/>
    </row>
    <row r="10922" spans="33:33">
      <c r="AG10922" s="10"/>
    </row>
    <row r="10923" spans="33:33">
      <c r="AG10923" s="10"/>
    </row>
    <row r="10924" spans="33:33">
      <c r="AG10924" s="10"/>
    </row>
    <row r="10925" spans="33:33">
      <c r="AG10925" s="10"/>
    </row>
    <row r="10926" spans="33:33">
      <c r="AG10926" s="10"/>
    </row>
    <row r="10927" spans="33:33">
      <c r="AG10927" s="10"/>
    </row>
    <row r="10928" spans="33:33">
      <c r="AG10928" s="10"/>
    </row>
    <row r="10929" spans="33:33">
      <c r="AG10929" s="10"/>
    </row>
    <row r="10930" spans="33:33">
      <c r="AG10930" s="10"/>
    </row>
    <row r="10931" spans="33:33">
      <c r="AG10931" s="10"/>
    </row>
    <row r="10932" spans="33:33">
      <c r="AG10932" s="10"/>
    </row>
    <row r="10933" spans="33:33">
      <c r="AG10933" s="10"/>
    </row>
    <row r="10934" spans="33:33">
      <c r="AG10934" s="10"/>
    </row>
    <row r="10935" spans="33:33">
      <c r="AG10935" s="10"/>
    </row>
    <row r="10936" spans="33:33">
      <c r="AG10936" s="10"/>
    </row>
    <row r="10937" spans="33:33">
      <c r="AG10937" s="10"/>
    </row>
    <row r="10938" spans="33:33">
      <c r="AG10938" s="10"/>
    </row>
    <row r="10939" spans="33:33">
      <c r="AG10939" s="10"/>
    </row>
    <row r="10940" spans="33:33">
      <c r="AG10940" s="10"/>
    </row>
    <row r="10941" spans="33:33">
      <c r="AG10941" s="10"/>
    </row>
    <row r="10942" spans="33:33">
      <c r="AG10942" s="10"/>
    </row>
    <row r="10943" spans="33:33">
      <c r="AG10943" s="10"/>
    </row>
    <row r="10944" spans="33:33">
      <c r="AG10944" s="10"/>
    </row>
    <row r="10945" spans="33:33">
      <c r="AG10945" s="10"/>
    </row>
    <row r="10946" spans="33:33">
      <c r="AG10946" s="10"/>
    </row>
    <row r="10947" spans="33:33">
      <c r="AG10947" s="10"/>
    </row>
    <row r="10948" spans="33:33">
      <c r="AG10948" s="10"/>
    </row>
    <row r="10949" spans="33:33">
      <c r="AG10949" s="10"/>
    </row>
    <row r="10950" spans="33:33">
      <c r="AG10950" s="10"/>
    </row>
    <row r="10951" spans="33:33">
      <c r="AG10951" s="10"/>
    </row>
    <row r="10952" spans="33:33">
      <c r="AG10952" s="10"/>
    </row>
    <row r="10953" spans="33:33">
      <c r="AG10953" s="10"/>
    </row>
    <row r="10954" spans="33:33">
      <c r="AG10954" s="10"/>
    </row>
    <row r="10955" spans="33:33">
      <c r="AG10955" s="10"/>
    </row>
    <row r="10956" spans="33:33">
      <c r="AG10956" s="10"/>
    </row>
    <row r="10957" spans="33:33">
      <c r="AG10957" s="10"/>
    </row>
    <row r="10958" spans="33:33">
      <c r="AG10958" s="10"/>
    </row>
    <row r="10959" spans="33:33">
      <c r="AG10959" s="10"/>
    </row>
    <row r="10960" spans="33:33">
      <c r="AG10960" s="10"/>
    </row>
    <row r="10961" spans="33:33">
      <c r="AG10961" s="10"/>
    </row>
    <row r="10962" spans="33:33">
      <c r="AG10962" s="10"/>
    </row>
    <row r="10963" spans="33:33">
      <c r="AG10963" s="10"/>
    </row>
    <row r="10964" spans="33:33">
      <c r="AG10964" s="10"/>
    </row>
    <row r="10965" spans="33:33">
      <c r="AG10965" s="10"/>
    </row>
    <row r="10966" spans="33:33">
      <c r="AG10966" s="10"/>
    </row>
    <row r="10967" spans="33:33">
      <c r="AG10967" s="10"/>
    </row>
    <row r="10968" spans="33:33">
      <c r="AG10968" s="10"/>
    </row>
    <row r="10969" spans="33:33">
      <c r="AG10969" s="10"/>
    </row>
    <row r="10970" spans="33:33">
      <c r="AG10970" s="10"/>
    </row>
    <row r="10971" spans="33:33">
      <c r="AG10971" s="10"/>
    </row>
    <row r="10972" spans="33:33">
      <c r="AG10972" s="10"/>
    </row>
    <row r="10973" spans="33:33">
      <c r="AG10973" s="10"/>
    </row>
    <row r="10974" spans="33:33">
      <c r="AG10974" s="10"/>
    </row>
    <row r="10975" spans="33:33">
      <c r="AG10975" s="10"/>
    </row>
    <row r="10976" spans="33:33">
      <c r="AG10976" s="10"/>
    </row>
    <row r="10977" spans="33:33">
      <c r="AG10977" s="10"/>
    </row>
    <row r="10978" spans="33:33">
      <c r="AG10978" s="10"/>
    </row>
    <row r="10979" spans="33:33">
      <c r="AG10979" s="10"/>
    </row>
    <row r="10980" spans="33:33">
      <c r="AG10980" s="10"/>
    </row>
    <row r="10981" spans="33:33">
      <c r="AG10981" s="10"/>
    </row>
    <row r="10982" spans="33:33">
      <c r="AG10982" s="10"/>
    </row>
    <row r="10983" spans="33:33">
      <c r="AG10983" s="10"/>
    </row>
    <row r="10984" spans="33:33">
      <c r="AG10984" s="10"/>
    </row>
    <row r="10985" spans="33:33">
      <c r="AG10985" s="10"/>
    </row>
    <row r="10986" spans="33:33">
      <c r="AG10986" s="10"/>
    </row>
    <row r="10987" spans="33:33">
      <c r="AG10987" s="10"/>
    </row>
    <row r="10988" spans="33:33">
      <c r="AG10988" s="10"/>
    </row>
    <row r="10989" spans="33:33">
      <c r="AG10989" s="10"/>
    </row>
    <row r="10990" spans="33:33">
      <c r="AG10990" s="10"/>
    </row>
    <row r="10991" spans="33:33">
      <c r="AG10991" s="10"/>
    </row>
    <row r="10992" spans="33:33">
      <c r="AG10992" s="10"/>
    </row>
    <row r="10993" spans="33:33">
      <c r="AG10993" s="10"/>
    </row>
    <row r="10994" spans="33:33">
      <c r="AG10994" s="10"/>
    </row>
    <row r="10995" spans="33:33">
      <c r="AG10995" s="10"/>
    </row>
    <row r="10996" spans="33:33">
      <c r="AG10996" s="10"/>
    </row>
    <row r="10997" spans="33:33">
      <c r="AG10997" s="10"/>
    </row>
    <row r="10998" spans="33:33">
      <c r="AG10998" s="10"/>
    </row>
    <row r="10999" spans="33:33">
      <c r="AG10999" s="10"/>
    </row>
    <row r="11000" spans="33:33">
      <c r="AG11000" s="10"/>
    </row>
    <row r="11001" spans="33:33">
      <c r="AG11001" s="10"/>
    </row>
    <row r="11002" spans="33:33">
      <c r="AG11002" s="10"/>
    </row>
    <row r="11003" spans="33:33">
      <c r="AG11003" s="10"/>
    </row>
    <row r="11004" spans="33:33">
      <c r="AG11004" s="10"/>
    </row>
    <row r="11005" spans="33:33">
      <c r="AG11005" s="10"/>
    </row>
    <row r="11006" spans="33:33">
      <c r="AG11006" s="10"/>
    </row>
    <row r="11007" spans="33:33">
      <c r="AG11007" s="10"/>
    </row>
    <row r="11008" spans="33:33">
      <c r="AG11008" s="10"/>
    </row>
    <row r="11009" spans="33:33">
      <c r="AG11009" s="10"/>
    </row>
    <row r="11010" spans="33:33">
      <c r="AG11010" s="10"/>
    </row>
    <row r="11011" spans="33:33">
      <c r="AG11011" s="10"/>
    </row>
    <row r="11012" spans="33:33">
      <c r="AG11012" s="10"/>
    </row>
    <row r="11013" spans="33:33">
      <c r="AG11013" s="10"/>
    </row>
    <row r="11014" spans="33:33">
      <c r="AG11014" s="10"/>
    </row>
    <row r="11015" spans="33:33">
      <c r="AG11015" s="10"/>
    </row>
    <row r="11016" spans="33:33">
      <c r="AG11016" s="10"/>
    </row>
    <row r="11017" spans="33:33">
      <c r="AG11017" s="10"/>
    </row>
    <row r="11018" spans="33:33">
      <c r="AG11018" s="10"/>
    </row>
    <row r="11019" spans="33:33">
      <c r="AG11019" s="10"/>
    </row>
    <row r="11020" spans="33:33">
      <c r="AG11020" s="10"/>
    </row>
    <row r="11021" spans="33:33">
      <c r="AG11021" s="10"/>
    </row>
    <row r="11022" spans="33:33">
      <c r="AG11022" s="10"/>
    </row>
    <row r="11023" spans="33:33">
      <c r="AG11023" s="10"/>
    </row>
    <row r="11024" spans="33:33">
      <c r="AG11024" s="10"/>
    </row>
    <row r="11025" spans="33:33">
      <c r="AG11025" s="10"/>
    </row>
    <row r="11026" spans="33:33">
      <c r="AG11026" s="10"/>
    </row>
    <row r="11027" spans="33:33">
      <c r="AG11027" s="10"/>
    </row>
    <row r="11028" spans="33:33">
      <c r="AG11028" s="10"/>
    </row>
    <row r="11029" spans="33:33">
      <c r="AG11029" s="10"/>
    </row>
    <row r="11030" spans="33:33">
      <c r="AG11030" s="10"/>
    </row>
    <row r="11031" spans="33:33">
      <c r="AG11031" s="10"/>
    </row>
    <row r="11032" spans="33:33">
      <c r="AG11032" s="10"/>
    </row>
    <row r="11033" spans="33:33">
      <c r="AG11033" s="10"/>
    </row>
    <row r="11034" spans="33:33">
      <c r="AG11034" s="10"/>
    </row>
    <row r="11035" spans="33:33">
      <c r="AG11035" s="10"/>
    </row>
    <row r="11036" spans="33:33">
      <c r="AG11036" s="10"/>
    </row>
    <row r="11037" spans="33:33">
      <c r="AG11037" s="10"/>
    </row>
    <row r="11038" spans="33:33">
      <c r="AG11038" s="10"/>
    </row>
    <row r="11039" spans="33:33">
      <c r="AG11039" s="10"/>
    </row>
    <row r="11040" spans="33:33">
      <c r="AG11040" s="10"/>
    </row>
    <row r="11041" spans="33:33">
      <c r="AG11041" s="10"/>
    </row>
    <row r="11042" spans="33:33">
      <c r="AG11042" s="10"/>
    </row>
    <row r="11043" spans="33:33">
      <c r="AG11043" s="10"/>
    </row>
    <row r="11044" spans="33:33">
      <c r="AG11044" s="10"/>
    </row>
    <row r="11045" spans="33:33">
      <c r="AG11045" s="10"/>
    </row>
    <row r="11046" spans="33:33">
      <c r="AG11046" s="10"/>
    </row>
    <row r="11047" spans="33:33">
      <c r="AG11047" s="10"/>
    </row>
    <row r="11048" spans="33:33">
      <c r="AG11048" s="10"/>
    </row>
    <row r="11049" spans="33:33">
      <c r="AG11049" s="10"/>
    </row>
    <row r="11050" spans="33:33">
      <c r="AG11050" s="10"/>
    </row>
    <row r="11051" spans="33:33">
      <c r="AG11051" s="10"/>
    </row>
    <row r="11052" spans="33:33">
      <c r="AG11052" s="10"/>
    </row>
    <row r="11053" spans="33:33">
      <c r="AG11053" s="10"/>
    </row>
    <row r="11054" spans="33:33">
      <c r="AG11054" s="10"/>
    </row>
    <row r="11055" spans="33:33">
      <c r="AG11055" s="10"/>
    </row>
    <row r="11056" spans="33:33">
      <c r="AG11056" s="10"/>
    </row>
    <row r="11057" spans="33:33">
      <c r="AG11057" s="10"/>
    </row>
    <row r="11058" spans="33:33">
      <c r="AG11058" s="10"/>
    </row>
    <row r="11059" spans="33:33">
      <c r="AG11059" s="10"/>
    </row>
    <row r="11060" spans="33:33">
      <c r="AG11060" s="10"/>
    </row>
    <row r="11061" spans="33:33">
      <c r="AG11061" s="10"/>
    </row>
    <row r="11062" spans="33:33">
      <c r="AG11062" s="10"/>
    </row>
    <row r="11063" spans="33:33">
      <c r="AG11063" s="10"/>
    </row>
    <row r="11064" spans="33:33">
      <c r="AG11064" s="10"/>
    </row>
    <row r="11065" spans="33:33">
      <c r="AG11065" s="10"/>
    </row>
    <row r="11066" spans="33:33">
      <c r="AG11066" s="10"/>
    </row>
    <row r="11067" spans="33:33">
      <c r="AG11067" s="10"/>
    </row>
    <row r="11068" spans="33:33">
      <c r="AG11068" s="10"/>
    </row>
    <row r="11069" spans="33:33">
      <c r="AG11069" s="10"/>
    </row>
    <row r="11070" spans="33:33">
      <c r="AG11070" s="10"/>
    </row>
    <row r="11071" spans="33:33">
      <c r="AG11071" s="10"/>
    </row>
    <row r="11072" spans="33:33">
      <c r="AG11072" s="10"/>
    </row>
    <row r="11073" spans="33:33">
      <c r="AG11073" s="10"/>
    </row>
    <row r="11074" spans="33:33">
      <c r="AG11074" s="10"/>
    </row>
    <row r="11075" spans="33:33">
      <c r="AG11075" s="10"/>
    </row>
    <row r="11076" spans="33:33">
      <c r="AG11076" s="10"/>
    </row>
    <row r="11077" spans="33:33">
      <c r="AG11077" s="10"/>
    </row>
    <row r="11078" spans="33:33">
      <c r="AG11078" s="10"/>
    </row>
    <row r="11079" spans="33:33">
      <c r="AG11079" s="10"/>
    </row>
    <row r="11080" spans="33:33">
      <c r="AG11080" s="10"/>
    </row>
    <row r="11081" spans="33:33">
      <c r="AG11081" s="10"/>
    </row>
    <row r="11082" spans="33:33">
      <c r="AG11082" s="10"/>
    </row>
    <row r="11083" spans="33:33">
      <c r="AG11083" s="10"/>
    </row>
    <row r="11084" spans="33:33">
      <c r="AG11084" s="10"/>
    </row>
    <row r="11085" spans="33:33">
      <c r="AG11085" s="10"/>
    </row>
    <row r="11086" spans="33:33">
      <c r="AG11086" s="10"/>
    </row>
    <row r="11087" spans="33:33">
      <c r="AG11087" s="10"/>
    </row>
    <row r="11088" spans="33:33">
      <c r="AG11088" s="10"/>
    </row>
    <row r="11089" spans="33:33">
      <c r="AG11089" s="10"/>
    </row>
    <row r="11090" spans="33:33">
      <c r="AG11090" s="10"/>
    </row>
    <row r="11091" spans="33:33">
      <c r="AG11091" s="10"/>
    </row>
    <row r="11092" spans="33:33">
      <c r="AG11092" s="10"/>
    </row>
    <row r="11093" spans="33:33">
      <c r="AG11093" s="10"/>
    </row>
    <row r="11094" spans="33:33">
      <c r="AG11094" s="10"/>
    </row>
    <row r="11095" spans="33:33">
      <c r="AG11095" s="10"/>
    </row>
    <row r="11096" spans="33:33">
      <c r="AG11096" s="10"/>
    </row>
    <row r="11097" spans="33:33">
      <c r="AG11097" s="10"/>
    </row>
    <row r="11098" spans="33:33">
      <c r="AG11098" s="10"/>
    </row>
    <row r="11099" spans="33:33">
      <c r="AG11099" s="10"/>
    </row>
    <row r="11100" spans="33:33">
      <c r="AG11100" s="10"/>
    </row>
    <row r="11101" spans="33:33">
      <c r="AG11101" s="10"/>
    </row>
    <row r="11102" spans="33:33">
      <c r="AG11102" s="10"/>
    </row>
    <row r="11103" spans="33:33">
      <c r="AG11103" s="10"/>
    </row>
    <row r="11104" spans="33:33">
      <c r="AG11104" s="10"/>
    </row>
    <row r="11105" spans="33:33">
      <c r="AG11105" s="10"/>
    </row>
    <row r="11106" spans="33:33">
      <c r="AG11106" s="10"/>
    </row>
    <row r="11107" spans="33:33">
      <c r="AG11107" s="10"/>
    </row>
    <row r="11108" spans="33:33">
      <c r="AG11108" s="10"/>
    </row>
    <row r="11109" spans="33:33">
      <c r="AG11109" s="10"/>
    </row>
    <row r="11110" spans="33:33">
      <c r="AG11110" s="10"/>
    </row>
    <row r="11111" spans="33:33">
      <c r="AG11111" s="10"/>
    </row>
    <row r="11112" spans="33:33">
      <c r="AG11112" s="10"/>
    </row>
    <row r="11113" spans="33:33">
      <c r="AG11113" s="10"/>
    </row>
    <row r="11114" spans="33:33">
      <c r="AG11114" s="10"/>
    </row>
    <row r="11115" spans="33:33">
      <c r="AG11115" s="10"/>
    </row>
    <row r="11116" spans="33:33">
      <c r="AG11116" s="10"/>
    </row>
    <row r="11117" spans="33:33">
      <c r="AG11117" s="10"/>
    </row>
    <row r="11118" spans="33:33">
      <c r="AG11118" s="10"/>
    </row>
    <row r="11119" spans="33:33">
      <c r="AG11119" s="10"/>
    </row>
    <row r="11120" spans="33:33">
      <c r="AG11120" s="10"/>
    </row>
    <row r="11121" spans="33:33">
      <c r="AG11121" s="10"/>
    </row>
    <row r="11122" spans="33:33">
      <c r="AG11122" s="10"/>
    </row>
    <row r="11123" spans="33:33">
      <c r="AG11123" s="10"/>
    </row>
    <row r="11124" spans="33:33">
      <c r="AG11124" s="10"/>
    </row>
    <row r="11125" spans="33:33">
      <c r="AG11125" s="10"/>
    </row>
    <row r="11126" spans="33:33">
      <c r="AG11126" s="10"/>
    </row>
    <row r="11127" spans="33:33">
      <c r="AG11127" s="10"/>
    </row>
    <row r="11128" spans="33:33">
      <c r="AG11128" s="10"/>
    </row>
    <row r="11129" spans="33:33">
      <c r="AG11129" s="10"/>
    </row>
    <row r="11130" spans="33:33">
      <c r="AG11130" s="10"/>
    </row>
    <row r="11131" spans="33:33">
      <c r="AG11131" s="10"/>
    </row>
    <row r="11132" spans="33:33">
      <c r="AG11132" s="10"/>
    </row>
    <row r="11133" spans="33:33">
      <c r="AG11133" s="10"/>
    </row>
    <row r="11134" spans="33:33">
      <c r="AG11134" s="10"/>
    </row>
    <row r="11135" spans="33:33">
      <c r="AG11135" s="10"/>
    </row>
    <row r="11136" spans="33:33">
      <c r="AG11136" s="10"/>
    </row>
    <row r="11137" spans="33:33">
      <c r="AG11137" s="10"/>
    </row>
    <row r="11138" spans="33:33">
      <c r="AG11138" s="10"/>
    </row>
    <row r="11139" spans="33:33">
      <c r="AG11139" s="10"/>
    </row>
    <row r="11140" spans="33:33">
      <c r="AG11140" s="10"/>
    </row>
    <row r="11141" spans="33:33">
      <c r="AG11141" s="10"/>
    </row>
    <row r="11142" spans="33:33">
      <c r="AG11142" s="10"/>
    </row>
    <row r="11143" spans="33:33">
      <c r="AG11143" s="10"/>
    </row>
    <row r="11144" spans="33:33">
      <c r="AG11144" s="10"/>
    </row>
    <row r="11145" spans="33:33">
      <c r="AG11145" s="10"/>
    </row>
    <row r="11146" spans="33:33">
      <c r="AG11146" s="10"/>
    </row>
    <row r="11147" spans="33:33">
      <c r="AG11147" s="10"/>
    </row>
    <row r="11148" spans="33:33">
      <c r="AG11148" s="10"/>
    </row>
    <row r="11149" spans="33:33">
      <c r="AG11149" s="10"/>
    </row>
    <row r="11150" spans="33:33">
      <c r="AG11150" s="10"/>
    </row>
    <row r="11151" spans="33:33">
      <c r="AG11151" s="10"/>
    </row>
    <row r="11152" spans="33:33">
      <c r="AG11152" s="10"/>
    </row>
    <row r="11153" spans="33:33">
      <c r="AG11153" s="10"/>
    </row>
    <row r="11154" spans="33:33">
      <c r="AG11154" s="10"/>
    </row>
    <row r="11155" spans="33:33">
      <c r="AG11155" s="10"/>
    </row>
    <row r="11156" spans="33:33">
      <c r="AG11156" s="10"/>
    </row>
    <row r="11157" spans="33:33">
      <c r="AG11157" s="10"/>
    </row>
    <row r="11158" spans="33:33">
      <c r="AG11158" s="10"/>
    </row>
    <row r="11159" spans="33:33">
      <c r="AG11159" s="10"/>
    </row>
    <row r="11160" spans="33:33">
      <c r="AG11160" s="10"/>
    </row>
    <row r="11161" spans="33:33">
      <c r="AG11161" s="10"/>
    </row>
    <row r="11162" spans="33:33">
      <c r="AG11162" s="10"/>
    </row>
    <row r="11163" spans="33:33">
      <c r="AG11163" s="10"/>
    </row>
    <row r="11164" spans="33:33">
      <c r="AG11164" s="10"/>
    </row>
    <row r="11165" spans="33:33">
      <c r="AG11165" s="10"/>
    </row>
    <row r="11166" spans="33:33">
      <c r="AG11166" s="10"/>
    </row>
    <row r="11167" spans="33:33">
      <c r="AG11167" s="10"/>
    </row>
    <row r="11168" spans="33:33">
      <c r="AG11168" s="10"/>
    </row>
    <row r="11169" spans="33:33">
      <c r="AG11169" s="10"/>
    </row>
    <row r="11170" spans="33:33">
      <c r="AG11170" s="10"/>
    </row>
    <row r="11171" spans="33:33">
      <c r="AG11171" s="10"/>
    </row>
    <row r="11172" spans="33:33">
      <c r="AG11172" s="10"/>
    </row>
    <row r="11173" spans="33:33">
      <c r="AG11173" s="10"/>
    </row>
    <row r="11174" spans="33:33">
      <c r="AG11174" s="10"/>
    </row>
    <row r="11175" spans="33:33">
      <c r="AG11175" s="10"/>
    </row>
    <row r="11176" spans="33:33">
      <c r="AG11176" s="10"/>
    </row>
    <row r="11177" spans="33:33">
      <c r="AG11177" s="10"/>
    </row>
    <row r="11178" spans="33:33">
      <c r="AG11178" s="10"/>
    </row>
    <row r="11179" spans="33:33">
      <c r="AG11179" s="10"/>
    </row>
    <row r="11180" spans="33:33">
      <c r="AG11180" s="10"/>
    </row>
    <row r="11181" spans="33:33">
      <c r="AG11181" s="10"/>
    </row>
    <row r="11182" spans="33:33">
      <c r="AG11182" s="10"/>
    </row>
    <row r="11183" spans="33:33">
      <c r="AG11183" s="10"/>
    </row>
    <row r="11184" spans="33:33">
      <c r="AG11184" s="10"/>
    </row>
    <row r="11185" spans="33:33">
      <c r="AG11185" s="10"/>
    </row>
    <row r="11186" spans="33:33">
      <c r="AG11186" s="10"/>
    </row>
    <row r="11187" spans="33:33">
      <c r="AG11187" s="10"/>
    </row>
    <row r="11188" spans="33:33">
      <c r="AG11188" s="10"/>
    </row>
    <row r="11189" spans="33:33">
      <c r="AG11189" s="10"/>
    </row>
    <row r="11190" spans="33:33">
      <c r="AG11190" s="10"/>
    </row>
    <row r="11191" spans="33:33">
      <c r="AG11191" s="10"/>
    </row>
    <row r="11192" spans="33:33">
      <c r="AG11192" s="10"/>
    </row>
    <row r="11193" spans="33:33">
      <c r="AG11193" s="10"/>
    </row>
    <row r="11194" spans="33:33">
      <c r="AG11194" s="10"/>
    </row>
    <row r="11195" spans="33:33">
      <c r="AG11195" s="10"/>
    </row>
    <row r="11196" spans="33:33">
      <c r="AG11196" s="10"/>
    </row>
    <row r="11197" spans="33:33">
      <c r="AG11197" s="10"/>
    </row>
    <row r="11198" spans="33:33">
      <c r="AG11198" s="10"/>
    </row>
    <row r="11199" spans="33:33">
      <c r="AG11199" s="10"/>
    </row>
    <row r="11200" spans="33:33">
      <c r="AG11200" s="10"/>
    </row>
    <row r="11201" spans="33:33">
      <c r="AG11201" s="10"/>
    </row>
    <row r="11202" spans="33:33">
      <c r="AG11202" s="10"/>
    </row>
    <row r="11203" spans="33:33">
      <c r="AG11203" s="10"/>
    </row>
    <row r="11204" spans="33:33">
      <c r="AG11204" s="10"/>
    </row>
    <row r="11205" spans="33:33">
      <c r="AG11205" s="10"/>
    </row>
    <row r="11206" spans="33:33">
      <c r="AG11206" s="10"/>
    </row>
    <row r="11207" spans="33:33">
      <c r="AG11207" s="10"/>
    </row>
    <row r="11208" spans="33:33">
      <c r="AG11208" s="10"/>
    </row>
    <row r="11209" spans="33:33">
      <c r="AG11209" s="10"/>
    </row>
    <row r="11210" spans="33:33">
      <c r="AG11210" s="10"/>
    </row>
    <row r="11211" spans="33:33">
      <c r="AG11211" s="10"/>
    </row>
    <row r="11212" spans="33:33">
      <c r="AG11212" s="10"/>
    </row>
    <row r="11213" spans="33:33">
      <c r="AG11213" s="10"/>
    </row>
    <row r="11214" spans="33:33">
      <c r="AG11214" s="10"/>
    </row>
    <row r="11215" spans="33:33">
      <c r="AG11215" s="10"/>
    </row>
    <row r="11216" spans="33:33">
      <c r="AG11216" s="10"/>
    </row>
    <row r="11217" spans="33:33">
      <c r="AG11217" s="10"/>
    </row>
    <row r="11218" spans="33:33">
      <c r="AG11218" s="10"/>
    </row>
    <row r="11219" spans="33:33">
      <c r="AG11219" s="10"/>
    </row>
    <row r="11220" spans="33:33">
      <c r="AG11220" s="10"/>
    </row>
    <row r="11221" spans="33:33">
      <c r="AG11221" s="10"/>
    </row>
    <row r="11222" spans="33:33">
      <c r="AG11222" s="10"/>
    </row>
    <row r="11223" spans="33:33">
      <c r="AG11223" s="10"/>
    </row>
    <row r="11224" spans="33:33">
      <c r="AG11224" s="10"/>
    </row>
    <row r="11225" spans="33:33">
      <c r="AG11225" s="10"/>
    </row>
    <row r="11226" spans="33:33">
      <c r="AG11226" s="10"/>
    </row>
    <row r="11227" spans="33:33">
      <c r="AG11227" s="10"/>
    </row>
    <row r="11228" spans="33:33">
      <c r="AG11228" s="10"/>
    </row>
    <row r="11229" spans="33:33">
      <c r="AG11229" s="10"/>
    </row>
    <row r="11230" spans="33:33">
      <c r="AG11230" s="10"/>
    </row>
    <row r="11231" spans="33:33">
      <c r="AG11231" s="10"/>
    </row>
    <row r="11232" spans="33:33">
      <c r="AG11232" s="10"/>
    </row>
    <row r="11233" spans="33:33">
      <c r="AG11233" s="10"/>
    </row>
    <row r="11234" spans="33:33">
      <c r="AG11234" s="10"/>
    </row>
    <row r="11235" spans="33:33">
      <c r="AG11235" s="10"/>
    </row>
    <row r="11236" spans="33:33">
      <c r="AG11236" s="10"/>
    </row>
    <row r="11237" spans="33:33">
      <c r="AG11237" s="10"/>
    </row>
    <row r="11238" spans="33:33">
      <c r="AG11238" s="10"/>
    </row>
    <row r="11239" spans="33:33">
      <c r="AG11239" s="10"/>
    </row>
    <row r="11240" spans="33:33">
      <c r="AG11240" s="10"/>
    </row>
    <row r="11241" spans="33:33">
      <c r="AG11241" s="10"/>
    </row>
    <row r="11242" spans="33:33">
      <c r="AG11242" s="10"/>
    </row>
    <row r="11243" spans="33:33">
      <c r="AG11243" s="10"/>
    </row>
    <row r="11244" spans="33:33">
      <c r="AG11244" s="10"/>
    </row>
    <row r="11245" spans="33:33">
      <c r="AG11245" s="10"/>
    </row>
    <row r="11246" spans="33:33">
      <c r="AG11246" s="10"/>
    </row>
    <row r="11247" spans="33:33">
      <c r="AG11247" s="10"/>
    </row>
    <row r="11248" spans="33:33">
      <c r="AG11248" s="10"/>
    </row>
    <row r="11249" spans="33:33">
      <c r="AG11249" s="10"/>
    </row>
    <row r="11250" spans="33:33">
      <c r="AG11250" s="10"/>
    </row>
    <row r="11251" spans="33:33">
      <c r="AG11251" s="10"/>
    </row>
    <row r="11252" spans="33:33">
      <c r="AG11252" s="10"/>
    </row>
    <row r="11253" spans="33:33">
      <c r="AG11253" s="10"/>
    </row>
    <row r="11254" spans="33:33">
      <c r="AG11254" s="10"/>
    </row>
    <row r="11255" spans="33:33">
      <c r="AG11255" s="10"/>
    </row>
    <row r="11256" spans="33:33">
      <c r="AG11256" s="10"/>
    </row>
    <row r="11257" spans="33:33">
      <c r="AG11257" s="10"/>
    </row>
    <row r="11258" spans="33:33">
      <c r="AG11258" s="10"/>
    </row>
    <row r="11259" spans="33:33">
      <c r="AG11259" s="10"/>
    </row>
    <row r="11260" spans="33:33">
      <c r="AG11260" s="10"/>
    </row>
    <row r="11261" spans="33:33">
      <c r="AG11261" s="10"/>
    </row>
    <row r="11262" spans="33:33">
      <c r="AG11262" s="10"/>
    </row>
    <row r="11263" spans="33:33">
      <c r="AG11263" s="10"/>
    </row>
    <row r="11264" spans="33:33">
      <c r="AG11264" s="10"/>
    </row>
    <row r="11265" spans="33:33">
      <c r="AG11265" s="10"/>
    </row>
    <row r="11266" spans="33:33">
      <c r="AG11266" s="10"/>
    </row>
    <row r="11267" spans="33:33">
      <c r="AG11267" s="10"/>
    </row>
    <row r="11268" spans="33:33">
      <c r="AG11268" s="10"/>
    </row>
    <row r="11269" spans="33:33">
      <c r="AG11269" s="10"/>
    </row>
    <row r="11270" spans="33:33">
      <c r="AG11270" s="10"/>
    </row>
    <row r="11271" spans="33:33">
      <c r="AG11271" s="10"/>
    </row>
    <row r="11272" spans="33:33">
      <c r="AG11272" s="10"/>
    </row>
    <row r="11273" spans="33:33">
      <c r="AG11273" s="10"/>
    </row>
    <row r="11274" spans="33:33">
      <c r="AG11274" s="10"/>
    </row>
    <row r="11275" spans="33:33">
      <c r="AG11275" s="10"/>
    </row>
    <row r="11276" spans="33:33">
      <c r="AG11276" s="10"/>
    </row>
    <row r="11277" spans="33:33">
      <c r="AG11277" s="10"/>
    </row>
    <row r="11278" spans="33:33">
      <c r="AG11278" s="10"/>
    </row>
    <row r="11279" spans="33:33">
      <c r="AG11279" s="10"/>
    </row>
    <row r="11280" spans="33:33">
      <c r="AG11280" s="10"/>
    </row>
    <row r="11281" spans="33:33">
      <c r="AG11281" s="10"/>
    </row>
    <row r="11282" spans="33:33">
      <c r="AG11282" s="10"/>
    </row>
    <row r="11283" spans="33:33">
      <c r="AG11283" s="10"/>
    </row>
    <row r="11284" spans="33:33">
      <c r="AG11284" s="10"/>
    </row>
    <row r="11285" spans="33:33">
      <c r="AG11285" s="10"/>
    </row>
    <row r="11286" spans="33:33">
      <c r="AG11286" s="10"/>
    </row>
    <row r="11287" spans="33:33">
      <c r="AG11287" s="10"/>
    </row>
    <row r="11288" spans="33:33">
      <c r="AG11288" s="10"/>
    </row>
    <row r="11289" spans="33:33">
      <c r="AG11289" s="10"/>
    </row>
    <row r="11290" spans="33:33">
      <c r="AG11290" s="10"/>
    </row>
    <row r="11291" spans="33:33">
      <c r="AG11291" s="10"/>
    </row>
    <row r="11292" spans="33:33">
      <c r="AG11292" s="10"/>
    </row>
    <row r="11293" spans="33:33">
      <c r="AG11293" s="10"/>
    </row>
    <row r="11294" spans="33:33">
      <c r="AG11294" s="10"/>
    </row>
    <row r="11295" spans="33:33">
      <c r="AG11295" s="10"/>
    </row>
    <row r="11296" spans="33:33">
      <c r="AG11296" s="10"/>
    </row>
    <row r="11297" spans="33:33">
      <c r="AG11297" s="10"/>
    </row>
    <row r="11298" spans="33:33">
      <c r="AG11298" s="10"/>
    </row>
    <row r="11299" spans="33:33">
      <c r="AG11299" s="10"/>
    </row>
    <row r="11300" spans="33:33">
      <c r="AG11300" s="10"/>
    </row>
    <row r="11301" spans="33:33">
      <c r="AG11301" s="10"/>
    </row>
    <row r="11302" spans="33:33">
      <c r="AG11302" s="10"/>
    </row>
    <row r="11303" spans="33:33">
      <c r="AG11303" s="10"/>
    </row>
    <row r="11304" spans="33:33">
      <c r="AG11304" s="10"/>
    </row>
    <row r="11305" spans="33:33">
      <c r="AG11305" s="10"/>
    </row>
    <row r="11306" spans="33:33">
      <c r="AG11306" s="10"/>
    </row>
    <row r="11307" spans="33:33">
      <c r="AG11307" s="10"/>
    </row>
    <row r="11308" spans="33:33">
      <c r="AG11308" s="10"/>
    </row>
    <row r="11309" spans="33:33">
      <c r="AG11309" s="10"/>
    </row>
    <row r="11310" spans="33:33">
      <c r="AG11310" s="10"/>
    </row>
    <row r="11311" spans="33:33">
      <c r="AG11311" s="10"/>
    </row>
    <row r="11312" spans="33:33">
      <c r="AG11312" s="10"/>
    </row>
    <row r="11313" spans="33:33">
      <c r="AG11313" s="10"/>
    </row>
    <row r="11314" spans="33:33">
      <c r="AG11314" s="10"/>
    </row>
    <row r="11315" spans="33:33">
      <c r="AG11315" s="10"/>
    </row>
    <row r="11316" spans="33:33">
      <c r="AG11316" s="10"/>
    </row>
    <row r="11317" spans="33:33">
      <c r="AG11317" s="10"/>
    </row>
    <row r="11318" spans="33:33">
      <c r="AG11318" s="10"/>
    </row>
    <row r="11319" spans="33:33">
      <c r="AG11319" s="10"/>
    </row>
    <row r="11320" spans="33:33">
      <c r="AG11320" s="10"/>
    </row>
    <row r="11321" spans="33:33">
      <c r="AG11321" s="10"/>
    </row>
    <row r="11322" spans="33:33">
      <c r="AG11322" s="10"/>
    </row>
    <row r="11323" spans="33:33">
      <c r="AG11323" s="10"/>
    </row>
    <row r="11324" spans="33:33">
      <c r="AG11324" s="10"/>
    </row>
    <row r="11325" spans="33:33">
      <c r="AG11325" s="10"/>
    </row>
    <row r="11326" spans="33:33">
      <c r="AG11326" s="10"/>
    </row>
    <row r="11327" spans="33:33">
      <c r="AG11327" s="10"/>
    </row>
    <row r="11328" spans="33:33">
      <c r="AG11328" s="10"/>
    </row>
    <row r="11329" spans="33:33">
      <c r="AG11329" s="10"/>
    </row>
    <row r="11330" spans="33:33">
      <c r="AG11330" s="10"/>
    </row>
    <row r="11331" spans="33:33">
      <c r="AG11331" s="10"/>
    </row>
    <row r="11332" spans="33:33">
      <c r="AG11332" s="10"/>
    </row>
    <row r="11333" spans="33:33">
      <c r="AG11333" s="10"/>
    </row>
    <row r="11334" spans="33:33">
      <c r="AG11334" s="10"/>
    </row>
    <row r="11335" spans="33:33">
      <c r="AG11335" s="10"/>
    </row>
    <row r="11336" spans="33:33">
      <c r="AG11336" s="10"/>
    </row>
    <row r="11337" spans="33:33">
      <c r="AG11337" s="10"/>
    </row>
    <row r="11338" spans="33:33">
      <c r="AG11338" s="10"/>
    </row>
    <row r="11339" spans="33:33">
      <c r="AG11339" s="10"/>
    </row>
    <row r="11340" spans="33:33">
      <c r="AG11340" s="10"/>
    </row>
    <row r="11341" spans="33:33">
      <c r="AG11341" s="10"/>
    </row>
    <row r="11342" spans="33:33">
      <c r="AG11342" s="10"/>
    </row>
    <row r="11343" spans="33:33">
      <c r="AG11343" s="10"/>
    </row>
    <row r="11344" spans="33:33">
      <c r="AG11344" s="10"/>
    </row>
    <row r="11345" spans="33:33">
      <c r="AG11345" s="10"/>
    </row>
    <row r="11346" spans="33:33">
      <c r="AG11346" s="10"/>
    </row>
    <row r="11347" spans="33:33">
      <c r="AG11347" s="10"/>
    </row>
    <row r="11348" spans="33:33">
      <c r="AG11348" s="10"/>
    </row>
    <row r="11349" spans="33:33">
      <c r="AG11349" s="10"/>
    </row>
    <row r="11350" spans="33:33">
      <c r="AG11350" s="10"/>
    </row>
    <row r="11351" spans="33:33">
      <c r="AG11351" s="10"/>
    </row>
    <row r="11352" spans="33:33">
      <c r="AG11352" s="10"/>
    </row>
    <row r="11353" spans="33:33">
      <c r="AG11353" s="10"/>
    </row>
    <row r="11354" spans="33:33">
      <c r="AG11354" s="10"/>
    </row>
    <row r="11355" spans="33:33">
      <c r="AG11355" s="10"/>
    </row>
    <row r="11356" spans="33:33">
      <c r="AG11356" s="10"/>
    </row>
    <row r="11357" spans="33:33">
      <c r="AG11357" s="10"/>
    </row>
    <row r="11358" spans="33:33">
      <c r="AG11358" s="10"/>
    </row>
    <row r="11359" spans="33:33">
      <c r="AG11359" s="10"/>
    </row>
    <row r="11360" spans="33:33">
      <c r="AG11360" s="10"/>
    </row>
    <row r="11361" spans="33:33">
      <c r="AG11361" s="10"/>
    </row>
    <row r="11362" spans="33:33">
      <c r="AG11362" s="10"/>
    </row>
    <row r="11363" spans="33:33">
      <c r="AG11363" s="10"/>
    </row>
    <row r="11364" spans="33:33">
      <c r="AG11364" s="10"/>
    </row>
    <row r="11365" spans="33:33">
      <c r="AG11365" s="10"/>
    </row>
    <row r="11366" spans="33:33">
      <c r="AG11366" s="10"/>
    </row>
    <row r="11367" spans="33:33">
      <c r="AG11367" s="10"/>
    </row>
    <row r="11368" spans="33:33">
      <c r="AG11368" s="10"/>
    </row>
    <row r="11369" spans="33:33">
      <c r="AG11369" s="10"/>
    </row>
    <row r="11370" spans="33:33">
      <c r="AG11370" s="10"/>
    </row>
    <row r="11371" spans="33:33">
      <c r="AG11371" s="10"/>
    </row>
    <row r="11372" spans="33:33">
      <c r="AG11372" s="10"/>
    </row>
    <row r="11373" spans="33:33">
      <c r="AG11373" s="10"/>
    </row>
    <row r="11374" spans="33:33">
      <c r="AG11374" s="10"/>
    </row>
    <row r="11375" spans="33:33">
      <c r="AG11375" s="10"/>
    </row>
    <row r="11376" spans="33:33">
      <c r="AG11376" s="10"/>
    </row>
    <row r="11377" spans="33:33">
      <c r="AG11377" s="10"/>
    </row>
    <row r="11378" spans="33:33">
      <c r="AG11378" s="10"/>
    </row>
    <row r="11379" spans="33:33">
      <c r="AG11379" s="10"/>
    </row>
    <row r="11380" spans="33:33">
      <c r="AG11380" s="10"/>
    </row>
    <row r="11381" spans="33:33">
      <c r="AG11381" s="10"/>
    </row>
    <row r="11382" spans="33:33">
      <c r="AG11382" s="10"/>
    </row>
    <row r="11383" spans="33:33">
      <c r="AG11383" s="10"/>
    </row>
    <row r="11384" spans="33:33">
      <c r="AG11384" s="10"/>
    </row>
    <row r="11385" spans="33:33">
      <c r="AG11385" s="10"/>
    </row>
    <row r="11386" spans="33:33">
      <c r="AG11386" s="10"/>
    </row>
    <row r="11387" spans="33:33">
      <c r="AG11387" s="10"/>
    </row>
    <row r="11388" spans="33:33">
      <c r="AG11388" s="10"/>
    </row>
    <row r="11389" spans="33:33">
      <c r="AG11389" s="10"/>
    </row>
    <row r="11390" spans="33:33">
      <c r="AG11390" s="10"/>
    </row>
    <row r="11391" spans="33:33">
      <c r="AG11391" s="10"/>
    </row>
    <row r="11392" spans="33:33">
      <c r="AG11392" s="10"/>
    </row>
    <row r="11393" spans="33:33">
      <c r="AG11393" s="10"/>
    </row>
    <row r="11394" spans="33:33">
      <c r="AG11394" s="10"/>
    </row>
    <row r="11395" spans="33:33">
      <c r="AG11395" s="10"/>
    </row>
    <row r="11396" spans="33:33">
      <c r="AG11396" s="10"/>
    </row>
    <row r="11397" spans="33:33">
      <c r="AG11397" s="10"/>
    </row>
    <row r="11398" spans="33:33">
      <c r="AG11398" s="10"/>
    </row>
    <row r="11399" spans="33:33">
      <c r="AG11399" s="10"/>
    </row>
    <row r="11400" spans="33:33">
      <c r="AG11400" s="10"/>
    </row>
    <row r="11401" spans="33:33">
      <c r="AG11401" s="10"/>
    </row>
    <row r="11402" spans="33:33">
      <c r="AG11402" s="10"/>
    </row>
    <row r="11403" spans="33:33">
      <c r="AG11403" s="10"/>
    </row>
    <row r="11404" spans="33:33">
      <c r="AG11404" s="10"/>
    </row>
    <row r="11405" spans="33:33">
      <c r="AG11405" s="10"/>
    </row>
    <row r="11406" spans="33:33">
      <c r="AG11406" s="10"/>
    </row>
    <row r="11407" spans="33:33">
      <c r="AG11407" s="10"/>
    </row>
    <row r="11408" spans="33:33">
      <c r="AG11408" s="10"/>
    </row>
    <row r="11409" spans="33:33">
      <c r="AG11409" s="10"/>
    </row>
    <row r="11410" spans="33:33">
      <c r="AG11410" s="10"/>
    </row>
    <row r="11411" spans="33:33">
      <c r="AG11411" s="10"/>
    </row>
    <row r="11412" spans="33:33">
      <c r="AG11412" s="10"/>
    </row>
    <row r="11413" spans="33:33">
      <c r="AG11413" s="10"/>
    </row>
    <row r="11414" spans="33:33">
      <c r="AG11414" s="10"/>
    </row>
    <row r="11415" spans="33:33">
      <c r="AG11415" s="10"/>
    </row>
    <row r="11416" spans="33:33">
      <c r="AG11416" s="10"/>
    </row>
    <row r="11417" spans="33:33">
      <c r="AG11417" s="10"/>
    </row>
    <row r="11418" spans="33:33">
      <c r="AG11418" s="10"/>
    </row>
    <row r="11419" spans="33:33">
      <c r="AG11419" s="10"/>
    </row>
    <row r="11420" spans="33:33">
      <c r="AG11420" s="10"/>
    </row>
    <row r="11421" spans="33:33">
      <c r="AG11421" s="10"/>
    </row>
    <row r="11422" spans="33:33">
      <c r="AG11422" s="10"/>
    </row>
    <row r="11423" spans="33:33">
      <c r="AG11423" s="10"/>
    </row>
    <row r="11424" spans="33:33">
      <c r="AG11424" s="10"/>
    </row>
    <row r="11425" spans="33:33">
      <c r="AG11425" s="10"/>
    </row>
    <row r="11426" spans="33:33">
      <c r="AG11426" s="10"/>
    </row>
    <row r="11427" spans="33:33">
      <c r="AG11427" s="10"/>
    </row>
    <row r="11428" spans="33:33">
      <c r="AG11428" s="10"/>
    </row>
    <row r="11429" spans="33:33">
      <c r="AG11429" s="10"/>
    </row>
    <row r="11430" spans="33:33">
      <c r="AG11430" s="10"/>
    </row>
    <row r="11431" spans="33:33">
      <c r="AG11431" s="10"/>
    </row>
    <row r="11432" spans="33:33">
      <c r="AG11432" s="10"/>
    </row>
    <row r="11433" spans="33:33">
      <c r="AG11433" s="10"/>
    </row>
    <row r="11434" spans="33:33">
      <c r="AG11434" s="10"/>
    </row>
    <row r="11435" spans="33:33">
      <c r="AG11435" s="10"/>
    </row>
    <row r="11436" spans="33:33">
      <c r="AG11436" s="10"/>
    </row>
    <row r="11437" spans="33:33">
      <c r="AG11437" s="10"/>
    </row>
    <row r="11438" spans="33:33">
      <c r="AG11438" s="10"/>
    </row>
    <row r="11439" spans="33:33">
      <c r="AG11439" s="10"/>
    </row>
    <row r="11440" spans="33:33">
      <c r="AG11440" s="10"/>
    </row>
    <row r="11441" spans="33:33">
      <c r="AG11441" s="10"/>
    </row>
    <row r="11442" spans="33:33">
      <c r="AG11442" s="10"/>
    </row>
    <row r="11443" spans="33:33">
      <c r="AG11443" s="10"/>
    </row>
    <row r="11444" spans="33:33">
      <c r="AG11444" s="10"/>
    </row>
    <row r="11445" spans="33:33">
      <c r="AG11445" s="10"/>
    </row>
    <row r="11446" spans="33:33">
      <c r="AG11446" s="10"/>
    </row>
    <row r="11447" spans="33:33">
      <c r="AG11447" s="10"/>
    </row>
    <row r="11448" spans="33:33">
      <c r="AG11448" s="10"/>
    </row>
    <row r="11449" spans="33:33">
      <c r="AG11449" s="10"/>
    </row>
    <row r="11450" spans="33:33">
      <c r="AG11450" s="10"/>
    </row>
    <row r="11451" spans="33:33">
      <c r="AG11451" s="10"/>
    </row>
    <row r="11452" spans="33:33">
      <c r="AG11452" s="10"/>
    </row>
    <row r="11453" spans="33:33">
      <c r="AG11453" s="10"/>
    </row>
    <row r="11454" spans="33:33">
      <c r="AG11454" s="10"/>
    </row>
    <row r="11455" spans="33:33">
      <c r="AG11455" s="10"/>
    </row>
    <row r="11456" spans="33:33">
      <c r="AG11456" s="10"/>
    </row>
    <row r="11457" spans="33:33">
      <c r="AG11457" s="10"/>
    </row>
    <row r="11458" spans="33:33">
      <c r="AG11458" s="10"/>
    </row>
    <row r="11459" spans="33:33">
      <c r="AG11459" s="10"/>
    </row>
    <row r="11460" spans="33:33">
      <c r="AG11460" s="10"/>
    </row>
    <row r="11461" spans="33:33">
      <c r="AG11461" s="10"/>
    </row>
    <row r="11462" spans="33:33">
      <c r="AG11462" s="10"/>
    </row>
    <row r="11463" spans="33:33">
      <c r="AG11463" s="10"/>
    </row>
    <row r="11464" spans="33:33">
      <c r="AG11464" s="10"/>
    </row>
    <row r="11465" spans="33:33">
      <c r="AG11465" s="10"/>
    </row>
    <row r="11466" spans="33:33">
      <c r="AG11466" s="10"/>
    </row>
    <row r="11467" spans="33:33">
      <c r="AG11467" s="10"/>
    </row>
    <row r="11468" spans="33:33">
      <c r="AG11468" s="10"/>
    </row>
    <row r="11469" spans="33:33">
      <c r="AG11469" s="10"/>
    </row>
    <row r="11470" spans="33:33">
      <c r="AG11470" s="10"/>
    </row>
    <row r="11471" spans="33:33">
      <c r="AG11471" s="10"/>
    </row>
    <row r="11472" spans="33:33">
      <c r="AG11472" s="10"/>
    </row>
    <row r="11473" spans="33:33">
      <c r="AG11473" s="10"/>
    </row>
    <row r="11474" spans="33:33">
      <c r="AG11474" s="10"/>
    </row>
    <row r="11475" spans="33:33">
      <c r="AG11475" s="10"/>
    </row>
    <row r="11476" spans="33:33">
      <c r="AG11476" s="10"/>
    </row>
    <row r="11477" spans="33:33">
      <c r="AG11477" s="10"/>
    </row>
    <row r="11478" spans="33:33">
      <c r="AG11478" s="10"/>
    </row>
    <row r="11479" spans="33:33">
      <c r="AG11479" s="10"/>
    </row>
    <row r="11480" spans="33:33">
      <c r="AG11480" s="10"/>
    </row>
    <row r="11481" spans="33:33">
      <c r="AG11481" s="10"/>
    </row>
    <row r="11482" spans="33:33">
      <c r="AG11482" s="10"/>
    </row>
    <row r="11483" spans="33:33">
      <c r="AG11483" s="10"/>
    </row>
    <row r="11484" spans="33:33">
      <c r="AG11484" s="10"/>
    </row>
    <row r="11485" spans="33:33">
      <c r="AG11485" s="10"/>
    </row>
    <row r="11486" spans="33:33">
      <c r="AG11486" s="10"/>
    </row>
    <row r="11487" spans="33:33">
      <c r="AG11487" s="10"/>
    </row>
    <row r="11488" spans="33:33">
      <c r="AG11488" s="10"/>
    </row>
    <row r="11489" spans="33:33">
      <c r="AG11489" s="10"/>
    </row>
    <row r="11490" spans="33:33">
      <c r="AG11490" s="10"/>
    </row>
    <row r="11491" spans="33:33">
      <c r="AG11491" s="10"/>
    </row>
    <row r="11492" spans="33:33">
      <c r="AG11492" s="10"/>
    </row>
    <row r="11493" spans="33:33">
      <c r="AG11493" s="10"/>
    </row>
    <row r="11494" spans="33:33">
      <c r="AG11494" s="10"/>
    </row>
    <row r="11495" spans="33:33">
      <c r="AG11495" s="10"/>
    </row>
    <row r="11496" spans="33:33">
      <c r="AG11496" s="10"/>
    </row>
    <row r="11497" spans="33:33">
      <c r="AG11497" s="10"/>
    </row>
    <row r="11498" spans="33:33">
      <c r="AG11498" s="10"/>
    </row>
    <row r="11499" spans="33:33">
      <c r="AG11499" s="10"/>
    </row>
    <row r="11500" spans="33:33">
      <c r="AG11500" s="10"/>
    </row>
    <row r="11501" spans="33:33">
      <c r="AG11501" s="10"/>
    </row>
    <row r="11502" spans="33:33">
      <c r="AG11502" s="10"/>
    </row>
    <row r="11503" spans="33:33">
      <c r="AG11503" s="10"/>
    </row>
    <row r="11504" spans="33:33">
      <c r="AG11504" s="10"/>
    </row>
    <row r="11505" spans="33:33">
      <c r="AG11505" s="10"/>
    </row>
    <row r="11506" spans="33:33">
      <c r="AG11506" s="10"/>
    </row>
    <row r="11507" spans="33:33">
      <c r="AG11507" s="10"/>
    </row>
    <row r="11508" spans="33:33">
      <c r="AG11508" s="10"/>
    </row>
    <row r="11509" spans="33:33">
      <c r="AG11509" s="10"/>
    </row>
    <row r="11510" spans="33:33">
      <c r="AG11510" s="10"/>
    </row>
    <row r="11511" spans="33:33">
      <c r="AG11511" s="10"/>
    </row>
    <row r="11512" spans="33:33">
      <c r="AG11512" s="10"/>
    </row>
    <row r="11513" spans="33:33">
      <c r="AG11513" s="10"/>
    </row>
    <row r="11514" spans="33:33">
      <c r="AG11514" s="10"/>
    </row>
    <row r="11515" spans="33:33">
      <c r="AG11515" s="10"/>
    </row>
    <row r="11516" spans="33:33">
      <c r="AG11516" s="10"/>
    </row>
    <row r="11517" spans="33:33">
      <c r="AG11517" s="10"/>
    </row>
    <row r="11518" spans="33:33">
      <c r="AG11518" s="10"/>
    </row>
    <row r="11519" spans="33:33">
      <c r="AG11519" s="10"/>
    </row>
    <row r="11520" spans="33:33">
      <c r="AG11520" s="10"/>
    </row>
    <row r="11521" spans="33:33">
      <c r="AG11521" s="10"/>
    </row>
    <row r="11522" spans="33:33">
      <c r="AG11522" s="10"/>
    </row>
    <row r="11523" spans="33:33">
      <c r="AG11523" s="10"/>
    </row>
    <row r="11524" spans="33:33">
      <c r="AG11524" s="10"/>
    </row>
    <row r="11525" spans="33:33">
      <c r="AG11525" s="10"/>
    </row>
    <row r="11526" spans="33:33">
      <c r="AG11526" s="10"/>
    </row>
    <row r="11527" spans="33:33">
      <c r="AG11527" s="10"/>
    </row>
    <row r="11528" spans="33:33">
      <c r="AG11528" s="10"/>
    </row>
    <row r="11529" spans="33:33">
      <c r="AG11529" s="10"/>
    </row>
    <row r="11530" spans="33:33">
      <c r="AG11530" s="10"/>
    </row>
    <row r="11531" spans="33:33">
      <c r="AG11531" s="10"/>
    </row>
    <row r="11532" spans="33:33">
      <c r="AG11532" s="10"/>
    </row>
    <row r="11533" spans="33:33">
      <c r="AG11533" s="10"/>
    </row>
    <row r="11534" spans="33:33">
      <c r="AG11534" s="10"/>
    </row>
    <row r="11535" spans="33:33">
      <c r="AG11535" s="10"/>
    </row>
    <row r="11536" spans="33:33">
      <c r="AG11536" s="10"/>
    </row>
    <row r="11537" spans="33:33">
      <c r="AG11537" s="10"/>
    </row>
    <row r="11538" spans="33:33">
      <c r="AG11538" s="10"/>
    </row>
    <row r="11539" spans="33:33">
      <c r="AG11539" s="10"/>
    </row>
    <row r="11540" spans="33:33">
      <c r="AG11540" s="10"/>
    </row>
    <row r="11541" spans="33:33">
      <c r="AG11541" s="10"/>
    </row>
    <row r="11542" spans="33:33">
      <c r="AG11542" s="10"/>
    </row>
    <row r="11543" spans="33:33">
      <c r="AG11543" s="10"/>
    </row>
    <row r="11544" spans="33:33">
      <c r="AG11544" s="10"/>
    </row>
    <row r="11545" spans="33:33">
      <c r="AG11545" s="10"/>
    </row>
    <row r="11546" spans="33:33">
      <c r="AG11546" s="10"/>
    </row>
    <row r="11547" spans="33:33">
      <c r="AG11547" s="10"/>
    </row>
    <row r="11548" spans="33:33">
      <c r="AG11548" s="10"/>
    </row>
    <row r="11549" spans="33:33">
      <c r="AG11549" s="10"/>
    </row>
    <row r="11550" spans="33:33">
      <c r="AG11550" s="10"/>
    </row>
    <row r="11551" spans="33:33">
      <c r="AG11551" s="10"/>
    </row>
    <row r="11552" spans="33:33">
      <c r="AG11552" s="10"/>
    </row>
    <row r="11553" spans="33:33">
      <c r="AG11553" s="10"/>
    </row>
    <row r="11554" spans="33:33">
      <c r="AG11554" s="10"/>
    </row>
    <row r="11555" spans="33:33">
      <c r="AG11555" s="10"/>
    </row>
    <row r="11556" spans="33:33">
      <c r="AG11556" s="10"/>
    </row>
    <row r="11557" spans="33:33">
      <c r="AG11557" s="10"/>
    </row>
    <row r="11558" spans="33:33">
      <c r="AG11558" s="10"/>
    </row>
    <row r="11559" spans="33:33">
      <c r="AG11559" s="10"/>
    </row>
    <row r="11560" spans="33:33">
      <c r="AG11560" s="10"/>
    </row>
    <row r="11561" spans="33:33">
      <c r="AG11561" s="10"/>
    </row>
    <row r="11562" spans="33:33">
      <c r="AG11562" s="10"/>
    </row>
    <row r="11563" spans="33:33">
      <c r="AG11563" s="10"/>
    </row>
    <row r="11564" spans="33:33">
      <c r="AG11564" s="10"/>
    </row>
    <row r="11565" spans="33:33">
      <c r="AG11565" s="10"/>
    </row>
    <row r="11566" spans="33:33">
      <c r="AG11566" s="10"/>
    </row>
    <row r="11567" spans="33:33">
      <c r="AG11567" s="10"/>
    </row>
    <row r="11568" spans="33:33">
      <c r="AG11568" s="10"/>
    </row>
    <row r="11569" spans="33:33">
      <c r="AG11569" s="10"/>
    </row>
    <row r="11570" spans="33:33">
      <c r="AG11570" s="10"/>
    </row>
    <row r="11571" spans="33:33">
      <c r="AG11571" s="10"/>
    </row>
    <row r="11572" spans="33:33">
      <c r="AG11572" s="10"/>
    </row>
    <row r="11573" spans="33:33">
      <c r="AG11573" s="10"/>
    </row>
    <row r="11574" spans="33:33">
      <c r="AG11574" s="10"/>
    </row>
    <row r="11575" spans="33:33">
      <c r="AG11575" s="10"/>
    </row>
    <row r="11576" spans="33:33">
      <c r="AG11576" s="10"/>
    </row>
    <row r="11577" spans="33:33">
      <c r="AG11577" s="10"/>
    </row>
    <row r="11578" spans="33:33">
      <c r="AG11578" s="10"/>
    </row>
    <row r="11579" spans="33:33">
      <c r="AG11579" s="10"/>
    </row>
    <row r="11580" spans="33:33">
      <c r="AG11580" s="10"/>
    </row>
    <row r="11581" spans="33:33">
      <c r="AG11581" s="10"/>
    </row>
    <row r="11582" spans="33:33">
      <c r="AG11582" s="10"/>
    </row>
    <row r="11583" spans="33:33">
      <c r="AG11583" s="10"/>
    </row>
    <row r="11584" spans="33:33">
      <c r="AG11584" s="10"/>
    </row>
    <row r="11585" spans="33:33">
      <c r="AG11585" s="10"/>
    </row>
    <row r="11586" spans="33:33">
      <c r="AG11586" s="10"/>
    </row>
    <row r="11587" spans="33:33">
      <c r="AG11587" s="10"/>
    </row>
    <row r="11588" spans="33:33">
      <c r="AG11588" s="10"/>
    </row>
    <row r="11589" spans="33:33">
      <c r="AG11589" s="10"/>
    </row>
    <row r="11590" spans="33:33">
      <c r="AG11590" s="10"/>
    </row>
    <row r="11591" spans="33:33">
      <c r="AG11591" s="10"/>
    </row>
    <row r="11592" spans="33:33">
      <c r="AG11592" s="10"/>
    </row>
    <row r="11593" spans="33:33">
      <c r="AG11593" s="10"/>
    </row>
    <row r="11594" spans="33:33">
      <c r="AG11594" s="10"/>
    </row>
    <row r="11595" spans="33:33">
      <c r="AG11595" s="10"/>
    </row>
    <row r="11596" spans="33:33">
      <c r="AG11596" s="10"/>
    </row>
    <row r="11597" spans="33:33">
      <c r="AG11597" s="10"/>
    </row>
    <row r="11598" spans="33:33">
      <c r="AG11598" s="10"/>
    </row>
    <row r="11599" spans="33:33">
      <c r="AG11599" s="10"/>
    </row>
    <row r="11600" spans="33:33">
      <c r="AG11600" s="10"/>
    </row>
    <row r="11601" spans="33:33">
      <c r="AG11601" s="10"/>
    </row>
    <row r="11602" spans="33:33">
      <c r="AG11602" s="10"/>
    </row>
    <row r="11603" spans="33:33">
      <c r="AG11603" s="10"/>
    </row>
    <row r="11604" spans="33:33">
      <c r="AG11604" s="10"/>
    </row>
    <row r="11605" spans="33:33">
      <c r="AG11605" s="10"/>
    </row>
    <row r="11606" spans="33:33">
      <c r="AG11606" s="10"/>
    </row>
    <row r="11607" spans="33:33">
      <c r="AG11607" s="10"/>
    </row>
    <row r="11608" spans="33:33">
      <c r="AG11608" s="10"/>
    </row>
    <row r="11609" spans="33:33">
      <c r="AG11609" s="10"/>
    </row>
    <row r="11610" spans="33:33">
      <c r="AG11610" s="10"/>
    </row>
    <row r="11611" spans="33:33">
      <c r="AG11611" s="10"/>
    </row>
    <row r="11612" spans="33:33">
      <c r="AG11612" s="10"/>
    </row>
    <row r="11613" spans="33:33">
      <c r="AG11613" s="10"/>
    </row>
    <row r="11614" spans="33:33">
      <c r="AG11614" s="10"/>
    </row>
    <row r="11615" spans="33:33">
      <c r="AG11615" s="10"/>
    </row>
    <row r="11616" spans="33:33">
      <c r="AG11616" s="10"/>
    </row>
    <row r="11617" spans="33:33">
      <c r="AG11617" s="10"/>
    </row>
    <row r="11618" spans="33:33">
      <c r="AG11618" s="10"/>
    </row>
    <row r="11619" spans="33:33">
      <c r="AG11619" s="10"/>
    </row>
    <row r="11620" spans="33:33">
      <c r="AG11620" s="10"/>
    </row>
    <row r="11621" spans="33:33">
      <c r="AG11621" s="10"/>
    </row>
    <row r="11622" spans="33:33">
      <c r="AG11622" s="10"/>
    </row>
    <row r="11623" spans="33:33">
      <c r="AG11623" s="10"/>
    </row>
    <row r="11624" spans="33:33">
      <c r="AG11624" s="10"/>
    </row>
    <row r="11625" spans="33:33">
      <c r="AG11625" s="10"/>
    </row>
    <row r="11626" spans="33:33">
      <c r="AG11626" s="10"/>
    </row>
    <row r="11627" spans="33:33">
      <c r="AG11627" s="10"/>
    </row>
    <row r="11628" spans="33:33">
      <c r="AG11628" s="10"/>
    </row>
    <row r="11629" spans="33:33">
      <c r="AG11629" s="10"/>
    </row>
    <row r="11630" spans="33:33">
      <c r="AG11630" s="10"/>
    </row>
    <row r="11631" spans="33:33">
      <c r="AG11631" s="10"/>
    </row>
    <row r="11632" spans="33:33">
      <c r="AG11632" s="10"/>
    </row>
    <row r="11633" spans="33:33">
      <c r="AG11633" s="10"/>
    </row>
    <row r="11634" spans="33:33">
      <c r="AG11634" s="10"/>
    </row>
    <row r="11635" spans="33:33">
      <c r="AG11635" s="10"/>
    </row>
    <row r="11636" spans="33:33">
      <c r="AG11636" s="10"/>
    </row>
    <row r="11637" spans="33:33">
      <c r="AG11637" s="10"/>
    </row>
    <row r="11638" spans="33:33">
      <c r="AG11638" s="10"/>
    </row>
    <row r="11639" spans="33:33">
      <c r="AG11639" s="10"/>
    </row>
    <row r="11640" spans="33:33">
      <c r="AG11640" s="10"/>
    </row>
    <row r="11641" spans="33:33">
      <c r="AG11641" s="10"/>
    </row>
    <row r="11642" spans="33:33">
      <c r="AG11642" s="10"/>
    </row>
    <row r="11643" spans="33:33">
      <c r="AG11643" s="10"/>
    </row>
    <row r="11644" spans="33:33">
      <c r="AG11644" s="10"/>
    </row>
    <row r="11645" spans="33:33">
      <c r="AG11645" s="10"/>
    </row>
    <row r="11646" spans="33:33">
      <c r="AG11646" s="10"/>
    </row>
    <row r="11647" spans="33:33">
      <c r="AG11647" s="10"/>
    </row>
    <row r="11648" spans="33:33">
      <c r="AG11648" s="10"/>
    </row>
    <row r="11649" spans="33:33">
      <c r="AG11649" s="10"/>
    </row>
    <row r="11650" spans="33:33">
      <c r="AG11650" s="10"/>
    </row>
    <row r="11651" spans="33:33">
      <c r="AG11651" s="10"/>
    </row>
    <row r="11652" spans="33:33">
      <c r="AG11652" s="10"/>
    </row>
    <row r="11653" spans="33:33">
      <c r="AG11653" s="10"/>
    </row>
    <row r="11654" spans="33:33">
      <c r="AG11654" s="10"/>
    </row>
    <row r="11655" spans="33:33">
      <c r="AG11655" s="10"/>
    </row>
    <row r="11656" spans="33:33">
      <c r="AG11656" s="10"/>
    </row>
    <row r="11657" spans="33:33">
      <c r="AG11657" s="10"/>
    </row>
    <row r="11658" spans="33:33">
      <c r="AG11658" s="10"/>
    </row>
    <row r="11659" spans="33:33">
      <c r="AG11659" s="10"/>
    </row>
    <row r="11660" spans="33:33">
      <c r="AG11660" s="10"/>
    </row>
    <row r="11661" spans="33:33">
      <c r="AG11661" s="10"/>
    </row>
    <row r="11662" spans="33:33">
      <c r="AG11662" s="10"/>
    </row>
    <row r="11663" spans="33:33">
      <c r="AG11663" s="10"/>
    </row>
    <row r="11664" spans="33:33">
      <c r="AG11664" s="10"/>
    </row>
    <row r="11665" spans="33:33">
      <c r="AG11665" s="10"/>
    </row>
    <row r="11666" spans="33:33">
      <c r="AG11666" s="10"/>
    </row>
    <row r="11667" spans="33:33">
      <c r="AG11667" s="10"/>
    </row>
    <row r="11668" spans="33:33">
      <c r="AG11668" s="10"/>
    </row>
    <row r="11669" spans="33:33">
      <c r="AG11669" s="10"/>
    </row>
    <row r="11670" spans="33:33">
      <c r="AG11670" s="10"/>
    </row>
    <row r="11671" spans="33:33">
      <c r="AG11671" s="10"/>
    </row>
    <row r="11672" spans="33:33">
      <c r="AG11672" s="10"/>
    </row>
    <row r="11673" spans="33:33">
      <c r="AG11673" s="10"/>
    </row>
    <row r="11674" spans="33:33">
      <c r="AG11674" s="10"/>
    </row>
    <row r="11675" spans="33:33">
      <c r="AG11675" s="10"/>
    </row>
    <row r="11676" spans="33:33">
      <c r="AG11676" s="10"/>
    </row>
    <row r="11677" spans="33:33">
      <c r="AG11677" s="10"/>
    </row>
    <row r="11678" spans="33:33">
      <c r="AG11678" s="10"/>
    </row>
    <row r="11679" spans="33:33">
      <c r="AG11679" s="10"/>
    </row>
    <row r="11680" spans="33:33">
      <c r="AG11680" s="10"/>
    </row>
    <row r="11681" spans="33:33">
      <c r="AG11681" s="10"/>
    </row>
    <row r="11682" spans="33:33">
      <c r="AG11682" s="10"/>
    </row>
    <row r="11683" spans="33:33">
      <c r="AG11683" s="10"/>
    </row>
    <row r="11684" spans="33:33">
      <c r="AG11684" s="10"/>
    </row>
    <row r="11685" spans="33:33">
      <c r="AG11685" s="10"/>
    </row>
    <row r="11686" spans="33:33">
      <c r="AG11686" s="10"/>
    </row>
    <row r="11687" spans="33:33">
      <c r="AG11687" s="10"/>
    </row>
    <row r="11688" spans="33:33">
      <c r="AG11688" s="10"/>
    </row>
    <row r="11689" spans="33:33">
      <c r="AG11689" s="10"/>
    </row>
    <row r="11690" spans="33:33">
      <c r="AG11690" s="10"/>
    </row>
    <row r="11691" spans="33:33">
      <c r="AG11691" s="10"/>
    </row>
    <row r="11692" spans="33:33">
      <c r="AG11692" s="10"/>
    </row>
    <row r="11693" spans="33:33">
      <c r="AG11693" s="10"/>
    </row>
    <row r="11694" spans="33:33">
      <c r="AG11694" s="10"/>
    </row>
    <row r="11695" spans="33:33">
      <c r="AG11695" s="10"/>
    </row>
    <row r="11696" spans="33:33">
      <c r="AG11696" s="10"/>
    </row>
    <row r="11697" spans="33:33">
      <c r="AG11697" s="10"/>
    </row>
    <row r="11698" spans="33:33">
      <c r="AG11698" s="10"/>
    </row>
    <row r="11699" spans="33:33">
      <c r="AG11699" s="10"/>
    </row>
    <row r="11700" spans="33:33">
      <c r="AG11700" s="10"/>
    </row>
    <row r="11701" spans="33:33">
      <c r="AG11701" s="10"/>
    </row>
    <row r="11702" spans="33:33">
      <c r="AG11702" s="10"/>
    </row>
    <row r="11703" spans="33:33">
      <c r="AG11703" s="10"/>
    </row>
    <row r="11704" spans="33:33">
      <c r="AG11704" s="10"/>
    </row>
    <row r="11705" spans="33:33">
      <c r="AG11705" s="10"/>
    </row>
    <row r="11706" spans="33:33">
      <c r="AG11706" s="10"/>
    </row>
    <row r="11707" spans="33:33">
      <c r="AG11707" s="10"/>
    </row>
    <row r="11708" spans="33:33">
      <c r="AG11708" s="10"/>
    </row>
    <row r="11709" spans="33:33">
      <c r="AG11709" s="10"/>
    </row>
    <row r="11710" spans="33:33">
      <c r="AG11710" s="10"/>
    </row>
    <row r="11711" spans="33:33">
      <c r="AG11711" s="10"/>
    </row>
    <row r="11712" spans="33:33">
      <c r="AG11712" s="10"/>
    </row>
    <row r="11713" spans="33:33">
      <c r="AG11713" s="10"/>
    </row>
    <row r="11714" spans="33:33">
      <c r="AG11714" s="10"/>
    </row>
    <row r="11715" spans="33:33">
      <c r="AG11715" s="10"/>
    </row>
    <row r="11716" spans="33:33">
      <c r="AG11716" s="10"/>
    </row>
    <row r="11717" spans="33:33">
      <c r="AG11717" s="10"/>
    </row>
    <row r="11718" spans="33:33">
      <c r="AG11718" s="10"/>
    </row>
    <row r="11719" spans="33:33">
      <c r="AG11719" s="10"/>
    </row>
    <row r="11720" spans="33:33">
      <c r="AG11720" s="10"/>
    </row>
    <row r="11721" spans="33:33">
      <c r="AG11721" s="10"/>
    </row>
    <row r="11722" spans="33:33">
      <c r="AG11722" s="10"/>
    </row>
    <row r="11723" spans="33:33">
      <c r="AG11723" s="10"/>
    </row>
    <row r="11724" spans="33:33">
      <c r="AG11724" s="10"/>
    </row>
    <row r="11725" spans="33:33">
      <c r="AG11725" s="10"/>
    </row>
    <row r="11726" spans="33:33">
      <c r="AG11726" s="10"/>
    </row>
    <row r="11727" spans="33:33">
      <c r="AG11727" s="10"/>
    </row>
    <row r="11728" spans="33:33">
      <c r="AG11728" s="10"/>
    </row>
    <row r="11729" spans="33:33">
      <c r="AG11729" s="10"/>
    </row>
    <row r="11730" spans="33:33">
      <c r="AG11730" s="10"/>
    </row>
    <row r="11731" spans="33:33">
      <c r="AG11731" s="10"/>
    </row>
    <row r="11732" spans="33:33">
      <c r="AG11732" s="10"/>
    </row>
    <row r="11733" spans="33:33">
      <c r="AG11733" s="10"/>
    </row>
    <row r="11734" spans="33:33">
      <c r="AG11734" s="10"/>
    </row>
    <row r="11735" spans="33:33">
      <c r="AG11735" s="10"/>
    </row>
    <row r="11736" spans="33:33">
      <c r="AG11736" s="10"/>
    </row>
    <row r="11737" spans="33:33">
      <c r="AG11737" s="10"/>
    </row>
    <row r="11738" spans="33:33">
      <c r="AG11738" s="10"/>
    </row>
    <row r="11739" spans="33:33">
      <c r="AG11739" s="10"/>
    </row>
    <row r="11740" spans="33:33">
      <c r="AG11740" s="10"/>
    </row>
    <row r="11741" spans="33:33">
      <c r="AG11741" s="10"/>
    </row>
    <row r="11742" spans="33:33">
      <c r="AG11742" s="10"/>
    </row>
    <row r="11743" spans="33:33">
      <c r="AG11743" s="10"/>
    </row>
    <row r="11744" spans="33:33">
      <c r="AG11744" s="10"/>
    </row>
    <row r="11745" spans="33:33">
      <c r="AG11745" s="10"/>
    </row>
    <row r="11746" spans="33:33">
      <c r="AG11746" s="10"/>
    </row>
    <row r="11747" spans="33:33">
      <c r="AG11747" s="10"/>
    </row>
    <row r="11748" spans="33:33">
      <c r="AG11748" s="10"/>
    </row>
    <row r="11749" spans="33:33">
      <c r="AG11749" s="10"/>
    </row>
    <row r="11750" spans="33:33">
      <c r="AG11750" s="10"/>
    </row>
    <row r="11751" spans="33:33">
      <c r="AG11751" s="10"/>
    </row>
    <row r="11752" spans="33:33">
      <c r="AG11752" s="10"/>
    </row>
    <row r="11753" spans="33:33">
      <c r="AG11753" s="10"/>
    </row>
    <row r="11754" spans="33:33">
      <c r="AG11754" s="10"/>
    </row>
    <row r="11755" spans="33:33">
      <c r="AG11755" s="10"/>
    </row>
    <row r="11756" spans="33:33">
      <c r="AG11756" s="10"/>
    </row>
    <row r="11757" spans="33:33">
      <c r="AG11757" s="10"/>
    </row>
    <row r="11758" spans="33:33">
      <c r="AG11758" s="10"/>
    </row>
    <row r="11759" spans="33:33">
      <c r="AG11759" s="10"/>
    </row>
    <row r="11760" spans="33:33">
      <c r="AG11760" s="10"/>
    </row>
    <row r="11761" spans="33:33">
      <c r="AG11761" s="10"/>
    </row>
    <row r="11762" spans="33:33">
      <c r="AG11762" s="10"/>
    </row>
    <row r="11763" spans="33:33">
      <c r="AG11763" s="10"/>
    </row>
    <row r="11764" spans="33:33">
      <c r="AG11764" s="10"/>
    </row>
    <row r="11765" spans="33:33">
      <c r="AG11765" s="10"/>
    </row>
    <row r="11766" spans="33:33">
      <c r="AG11766" s="10"/>
    </row>
    <row r="11767" spans="33:33">
      <c r="AG11767" s="10"/>
    </row>
    <row r="11768" spans="33:33">
      <c r="AG11768" s="10"/>
    </row>
    <row r="11769" spans="33:33">
      <c r="AG11769" s="10"/>
    </row>
    <row r="11770" spans="33:33">
      <c r="AG11770" s="10"/>
    </row>
    <row r="11771" spans="33:33">
      <c r="AG11771" s="10"/>
    </row>
    <row r="11772" spans="33:33">
      <c r="AG11772" s="10"/>
    </row>
    <row r="11773" spans="33:33">
      <c r="AG11773" s="10"/>
    </row>
    <row r="11774" spans="33:33">
      <c r="AG11774" s="10"/>
    </row>
    <row r="11775" spans="33:33">
      <c r="AG11775" s="10"/>
    </row>
    <row r="11776" spans="33:33">
      <c r="AG11776" s="10"/>
    </row>
    <row r="11777" spans="33:33">
      <c r="AG11777" s="10"/>
    </row>
    <row r="11778" spans="33:33">
      <c r="AG11778" s="10"/>
    </row>
    <row r="11779" spans="33:33">
      <c r="AG11779" s="10"/>
    </row>
    <row r="11780" spans="33:33">
      <c r="AG11780" s="10"/>
    </row>
    <row r="11781" spans="33:33">
      <c r="AG11781" s="10"/>
    </row>
    <row r="11782" spans="33:33">
      <c r="AG11782" s="10"/>
    </row>
    <row r="11783" spans="33:33">
      <c r="AG11783" s="10"/>
    </row>
    <row r="11784" spans="33:33">
      <c r="AG11784" s="10"/>
    </row>
    <row r="11785" spans="33:33">
      <c r="AG11785" s="10"/>
    </row>
    <row r="11786" spans="33:33">
      <c r="AG11786" s="10"/>
    </row>
    <row r="11787" spans="33:33">
      <c r="AG11787" s="10"/>
    </row>
    <row r="11788" spans="33:33">
      <c r="AG11788" s="10"/>
    </row>
    <row r="11789" spans="33:33">
      <c r="AG11789" s="10"/>
    </row>
    <row r="11790" spans="33:33">
      <c r="AG11790" s="10"/>
    </row>
    <row r="11791" spans="33:33">
      <c r="AG11791" s="10"/>
    </row>
    <row r="11792" spans="33:33">
      <c r="AG11792" s="10"/>
    </row>
    <row r="11793" spans="33:33">
      <c r="AG11793" s="10"/>
    </row>
    <row r="11794" spans="33:33">
      <c r="AG11794" s="10"/>
    </row>
    <row r="11795" spans="33:33">
      <c r="AG11795" s="10"/>
    </row>
    <row r="11796" spans="33:33">
      <c r="AG11796" s="10"/>
    </row>
    <row r="11797" spans="33:33">
      <c r="AG11797" s="10"/>
    </row>
    <row r="11798" spans="33:33">
      <c r="AG11798" s="10"/>
    </row>
    <row r="11799" spans="33:33">
      <c r="AG11799" s="10"/>
    </row>
    <row r="11800" spans="33:33">
      <c r="AG11800" s="10"/>
    </row>
    <row r="11801" spans="33:33">
      <c r="AG11801" s="10"/>
    </row>
    <row r="11802" spans="33:33">
      <c r="AG11802" s="10"/>
    </row>
    <row r="11803" spans="33:33">
      <c r="AG11803" s="10"/>
    </row>
    <row r="11804" spans="33:33">
      <c r="AG11804" s="10"/>
    </row>
    <row r="11805" spans="33:33">
      <c r="AG11805" s="10"/>
    </row>
    <row r="11806" spans="33:33">
      <c r="AG11806" s="10"/>
    </row>
    <row r="11807" spans="33:33">
      <c r="AG11807" s="10"/>
    </row>
    <row r="11808" spans="33:33">
      <c r="AG11808" s="10"/>
    </row>
    <row r="11809" spans="33:33">
      <c r="AG11809" s="10"/>
    </row>
    <row r="11810" spans="33:33">
      <c r="AG11810" s="10"/>
    </row>
    <row r="11811" spans="33:33">
      <c r="AG11811" s="10"/>
    </row>
    <row r="11812" spans="33:33">
      <c r="AG11812" s="10"/>
    </row>
    <row r="11813" spans="33:33">
      <c r="AG11813" s="10"/>
    </row>
    <row r="11814" spans="33:33">
      <c r="AG11814" s="10"/>
    </row>
    <row r="11815" spans="33:33">
      <c r="AG11815" s="10"/>
    </row>
    <row r="11816" spans="33:33">
      <c r="AG11816" s="10"/>
    </row>
    <row r="11817" spans="33:33">
      <c r="AG11817" s="10"/>
    </row>
    <row r="11818" spans="33:33">
      <c r="AG11818" s="10"/>
    </row>
    <row r="11819" spans="33:33">
      <c r="AG11819" s="10"/>
    </row>
    <row r="11820" spans="33:33">
      <c r="AG11820" s="10"/>
    </row>
    <row r="11821" spans="33:33">
      <c r="AG11821" s="10"/>
    </row>
    <row r="11822" spans="33:33">
      <c r="AG11822" s="10"/>
    </row>
    <row r="11823" spans="33:33">
      <c r="AG11823" s="10"/>
    </row>
    <row r="11824" spans="33:33">
      <c r="AG11824" s="10"/>
    </row>
    <row r="11825" spans="33:33">
      <c r="AG11825" s="10"/>
    </row>
    <row r="11826" spans="33:33">
      <c r="AG11826" s="10"/>
    </row>
    <row r="11827" spans="33:33">
      <c r="AG11827" s="10"/>
    </row>
    <row r="11828" spans="33:33">
      <c r="AG11828" s="10"/>
    </row>
    <row r="11829" spans="33:33">
      <c r="AG11829" s="10"/>
    </row>
    <row r="11830" spans="33:33">
      <c r="AG11830" s="10"/>
    </row>
    <row r="11831" spans="33:33">
      <c r="AG11831" s="10"/>
    </row>
    <row r="11832" spans="33:33">
      <c r="AG11832" s="10"/>
    </row>
    <row r="11833" spans="33:33">
      <c r="AG11833" s="10"/>
    </row>
    <row r="11834" spans="33:33">
      <c r="AG11834" s="10"/>
    </row>
    <row r="11835" spans="33:33">
      <c r="AG11835" s="10"/>
    </row>
    <row r="11836" spans="33:33">
      <c r="AG11836" s="10"/>
    </row>
    <row r="11837" spans="33:33">
      <c r="AG11837" s="10"/>
    </row>
    <row r="11838" spans="33:33">
      <c r="AG11838" s="10"/>
    </row>
    <row r="11839" spans="33:33">
      <c r="AG11839" s="10"/>
    </row>
    <row r="11840" spans="33:33">
      <c r="AG11840" s="10"/>
    </row>
    <row r="11841" spans="33:33">
      <c r="AG11841" s="10"/>
    </row>
    <row r="11842" spans="33:33">
      <c r="AG11842" s="10"/>
    </row>
    <row r="11843" spans="33:33">
      <c r="AG11843" s="10"/>
    </row>
    <row r="11844" spans="33:33">
      <c r="AG11844" s="10"/>
    </row>
    <row r="11845" spans="33:33">
      <c r="AG11845" s="10"/>
    </row>
    <row r="11846" spans="33:33">
      <c r="AG11846" s="10"/>
    </row>
    <row r="11847" spans="33:33">
      <c r="AG11847" s="10"/>
    </row>
    <row r="11848" spans="33:33">
      <c r="AG11848" s="10"/>
    </row>
    <row r="11849" spans="33:33">
      <c r="AG11849" s="10"/>
    </row>
    <row r="11850" spans="33:33">
      <c r="AG11850" s="10"/>
    </row>
    <row r="11851" spans="33:33">
      <c r="AG11851" s="10"/>
    </row>
    <row r="11852" spans="33:33">
      <c r="AG11852" s="10"/>
    </row>
    <row r="11853" spans="33:33">
      <c r="AG11853" s="10"/>
    </row>
    <row r="11854" spans="33:33">
      <c r="AG11854" s="10"/>
    </row>
    <row r="11855" spans="33:33">
      <c r="AG11855" s="10"/>
    </row>
    <row r="11856" spans="33:33">
      <c r="AG11856" s="10"/>
    </row>
    <row r="11857" spans="33:33">
      <c r="AG11857" s="10"/>
    </row>
    <row r="11858" spans="33:33">
      <c r="AG11858" s="10"/>
    </row>
    <row r="11859" spans="33:33">
      <c r="AG11859" s="10"/>
    </row>
    <row r="11860" spans="33:33">
      <c r="AG11860" s="10"/>
    </row>
    <row r="11861" spans="33:33">
      <c r="AG11861" s="10"/>
    </row>
    <row r="11862" spans="33:33">
      <c r="AG11862" s="10"/>
    </row>
    <row r="11863" spans="33:33">
      <c r="AG11863" s="10"/>
    </row>
    <row r="11864" spans="33:33">
      <c r="AG11864" s="10"/>
    </row>
    <row r="11865" spans="33:33">
      <c r="AG11865" s="10"/>
    </row>
    <row r="11866" spans="33:33">
      <c r="AG11866" s="10"/>
    </row>
    <row r="11867" spans="33:33">
      <c r="AG11867" s="10"/>
    </row>
    <row r="11868" spans="33:33">
      <c r="AG11868" s="10"/>
    </row>
    <row r="11869" spans="33:33">
      <c r="AG11869" s="10"/>
    </row>
    <row r="11870" spans="33:33">
      <c r="AG11870" s="10"/>
    </row>
    <row r="11871" spans="33:33">
      <c r="AG11871" s="10"/>
    </row>
    <row r="11872" spans="33:33">
      <c r="AG11872" s="10"/>
    </row>
    <row r="11873" spans="33:33">
      <c r="AG11873" s="10"/>
    </row>
    <row r="11874" spans="33:33">
      <c r="AG11874" s="10"/>
    </row>
    <row r="11875" spans="33:33">
      <c r="AG11875" s="10"/>
    </row>
    <row r="11876" spans="33:33">
      <c r="AG11876" s="10"/>
    </row>
    <row r="11877" spans="33:33">
      <c r="AG11877" s="10"/>
    </row>
    <row r="11878" spans="33:33">
      <c r="AG11878" s="10"/>
    </row>
    <row r="11879" spans="33:33">
      <c r="AG11879" s="10"/>
    </row>
    <row r="11880" spans="33:33">
      <c r="AG11880" s="10"/>
    </row>
    <row r="11881" spans="33:33">
      <c r="AG11881" s="10"/>
    </row>
    <row r="11882" spans="33:33">
      <c r="AG11882" s="10"/>
    </row>
    <row r="11883" spans="33:33">
      <c r="AG11883" s="10"/>
    </row>
    <row r="11884" spans="33:33">
      <c r="AG11884" s="10"/>
    </row>
    <row r="11885" spans="33:33">
      <c r="AG11885" s="10"/>
    </row>
    <row r="11886" spans="33:33">
      <c r="AG11886" s="10"/>
    </row>
    <row r="11887" spans="33:33">
      <c r="AG11887" s="10"/>
    </row>
    <row r="11888" spans="33:33">
      <c r="AG11888" s="10"/>
    </row>
    <row r="11889" spans="33:33">
      <c r="AG11889" s="10"/>
    </row>
    <row r="11890" spans="33:33">
      <c r="AG11890" s="10"/>
    </row>
    <row r="11891" spans="33:33">
      <c r="AG11891" s="10"/>
    </row>
    <row r="11892" spans="33:33">
      <c r="AG11892" s="10"/>
    </row>
    <row r="11893" spans="33:33">
      <c r="AG11893" s="10"/>
    </row>
    <row r="11894" spans="33:33">
      <c r="AG11894" s="10"/>
    </row>
    <row r="11895" spans="33:33">
      <c r="AG11895" s="10"/>
    </row>
    <row r="11896" spans="33:33">
      <c r="AG11896" s="10"/>
    </row>
    <row r="11897" spans="33:33">
      <c r="AG11897" s="10"/>
    </row>
    <row r="11898" spans="33:33">
      <c r="AG11898" s="10"/>
    </row>
    <row r="11899" spans="33:33">
      <c r="AG11899" s="10"/>
    </row>
    <row r="11900" spans="33:33">
      <c r="AG11900" s="10"/>
    </row>
    <row r="11901" spans="33:33">
      <c r="AG11901" s="10"/>
    </row>
    <row r="11902" spans="33:33">
      <c r="AG11902" s="10"/>
    </row>
    <row r="11903" spans="33:33">
      <c r="AG11903" s="10"/>
    </row>
    <row r="11904" spans="33:33">
      <c r="AG11904" s="10"/>
    </row>
    <row r="11905" spans="33:33">
      <c r="AG11905" s="10"/>
    </row>
    <row r="11906" spans="33:33">
      <c r="AG11906" s="10"/>
    </row>
    <row r="11907" spans="33:33">
      <c r="AG11907" s="10"/>
    </row>
    <row r="11908" spans="33:33">
      <c r="AG11908" s="10"/>
    </row>
    <row r="11909" spans="33:33">
      <c r="AG11909" s="10"/>
    </row>
    <row r="11910" spans="33:33">
      <c r="AG11910" s="10"/>
    </row>
    <row r="11911" spans="33:33">
      <c r="AG11911" s="10"/>
    </row>
    <row r="11912" spans="33:33">
      <c r="AG11912" s="10"/>
    </row>
    <row r="11913" spans="33:33">
      <c r="AG11913" s="10"/>
    </row>
    <row r="11914" spans="33:33">
      <c r="AG11914" s="10"/>
    </row>
    <row r="11915" spans="33:33">
      <c r="AG11915" s="10"/>
    </row>
    <row r="11916" spans="33:33">
      <c r="AG11916" s="10"/>
    </row>
    <row r="11917" spans="33:33">
      <c r="AG11917" s="10"/>
    </row>
    <row r="11918" spans="33:33">
      <c r="AG11918" s="10"/>
    </row>
    <row r="11919" spans="33:33">
      <c r="AG11919" s="10"/>
    </row>
    <row r="11920" spans="33:33">
      <c r="AG11920" s="10"/>
    </row>
    <row r="11921" spans="33:33">
      <c r="AG11921" s="10"/>
    </row>
    <row r="11922" spans="33:33">
      <c r="AG11922" s="10"/>
    </row>
    <row r="11923" spans="33:33">
      <c r="AG11923" s="10"/>
    </row>
    <row r="11924" spans="33:33">
      <c r="AG11924" s="10"/>
    </row>
    <row r="11925" spans="33:33">
      <c r="AG11925" s="10"/>
    </row>
    <row r="11926" spans="33:33">
      <c r="AG11926" s="10"/>
    </row>
    <row r="11927" spans="33:33">
      <c r="AG11927" s="10"/>
    </row>
    <row r="11928" spans="33:33">
      <c r="AG11928" s="10"/>
    </row>
    <row r="11929" spans="33:33">
      <c r="AG11929" s="10"/>
    </row>
    <row r="11930" spans="33:33">
      <c r="AG11930" s="10"/>
    </row>
    <row r="11931" spans="33:33">
      <c r="AG11931" s="10"/>
    </row>
    <row r="11932" spans="33:33">
      <c r="AG11932" s="10"/>
    </row>
    <row r="11933" spans="33:33">
      <c r="AG11933" s="10"/>
    </row>
    <row r="11934" spans="33:33">
      <c r="AG11934" s="10"/>
    </row>
    <row r="11935" spans="33:33">
      <c r="AG11935" s="10"/>
    </row>
    <row r="11936" spans="33:33">
      <c r="AG11936" s="10"/>
    </row>
    <row r="11937" spans="33:33">
      <c r="AG11937" s="10"/>
    </row>
    <row r="11938" spans="33:33">
      <c r="AG11938" s="10"/>
    </row>
    <row r="11939" spans="33:33">
      <c r="AG11939" s="10"/>
    </row>
    <row r="11940" spans="33:33">
      <c r="AG11940" s="10"/>
    </row>
    <row r="11941" spans="33:33">
      <c r="AG11941" s="10"/>
    </row>
    <row r="11942" spans="33:33">
      <c r="AG11942" s="10"/>
    </row>
    <row r="11943" spans="33:33">
      <c r="AG11943" s="10"/>
    </row>
    <row r="11944" spans="33:33">
      <c r="AG11944" s="10"/>
    </row>
    <row r="11945" spans="33:33">
      <c r="AG11945" s="10"/>
    </row>
    <row r="11946" spans="33:33">
      <c r="AG11946" s="10"/>
    </row>
    <row r="11947" spans="33:33">
      <c r="AG11947" s="10"/>
    </row>
    <row r="11948" spans="33:33">
      <c r="AG11948" s="10"/>
    </row>
    <row r="11949" spans="33:33">
      <c r="AG11949" s="10"/>
    </row>
    <row r="11950" spans="33:33">
      <c r="AG11950" s="10"/>
    </row>
    <row r="11951" spans="33:33">
      <c r="AG11951" s="10"/>
    </row>
    <row r="11952" spans="33:33">
      <c r="AG11952" s="10"/>
    </row>
    <row r="11953" spans="33:33">
      <c r="AG11953" s="10"/>
    </row>
    <row r="11954" spans="33:33">
      <c r="AG11954" s="10"/>
    </row>
    <row r="11955" spans="33:33">
      <c r="AG11955" s="10"/>
    </row>
    <row r="11956" spans="33:33">
      <c r="AG11956" s="10"/>
    </row>
    <row r="11957" spans="33:33">
      <c r="AG11957" s="10"/>
    </row>
    <row r="11958" spans="33:33">
      <c r="AG11958" s="10"/>
    </row>
    <row r="11959" spans="33:33">
      <c r="AG11959" s="10"/>
    </row>
    <row r="11960" spans="33:33">
      <c r="AG11960" s="10"/>
    </row>
    <row r="11961" spans="33:33">
      <c r="AG11961" s="10"/>
    </row>
    <row r="11962" spans="33:33">
      <c r="AG11962" s="10"/>
    </row>
    <row r="11963" spans="33:33">
      <c r="AG11963" s="10"/>
    </row>
    <row r="11964" spans="33:33">
      <c r="AG11964" s="10"/>
    </row>
    <row r="11965" spans="33:33">
      <c r="AG11965" s="10"/>
    </row>
    <row r="11966" spans="33:33">
      <c r="AG11966" s="10"/>
    </row>
    <row r="11967" spans="33:33">
      <c r="AG11967" s="10"/>
    </row>
    <row r="11968" spans="33:33">
      <c r="AG11968" s="10"/>
    </row>
    <row r="11969" spans="33:33">
      <c r="AG11969" s="10"/>
    </row>
    <row r="11970" spans="33:33">
      <c r="AG11970" s="10"/>
    </row>
    <row r="11971" spans="33:33">
      <c r="AG11971" s="10"/>
    </row>
    <row r="11972" spans="33:33">
      <c r="AG11972" s="10"/>
    </row>
    <row r="11973" spans="33:33">
      <c r="AG11973" s="10"/>
    </row>
    <row r="11974" spans="33:33">
      <c r="AG11974" s="10"/>
    </row>
    <row r="11975" spans="33:33">
      <c r="AG11975" s="10"/>
    </row>
    <row r="11976" spans="33:33">
      <c r="AG11976" s="10"/>
    </row>
    <row r="11977" spans="33:33">
      <c r="AG11977" s="10"/>
    </row>
    <row r="11978" spans="33:33">
      <c r="AG11978" s="10"/>
    </row>
    <row r="11979" spans="33:33">
      <c r="AG11979" s="10"/>
    </row>
    <row r="11980" spans="33:33">
      <c r="AG11980" s="10"/>
    </row>
    <row r="11981" spans="33:33">
      <c r="AG11981" s="10"/>
    </row>
    <row r="11982" spans="33:33">
      <c r="AG11982" s="10"/>
    </row>
    <row r="11983" spans="33:33">
      <c r="AG11983" s="10"/>
    </row>
    <row r="11984" spans="33:33">
      <c r="AG11984" s="10"/>
    </row>
    <row r="11985" spans="33:33">
      <c r="AG11985" s="10"/>
    </row>
    <row r="11986" spans="33:33">
      <c r="AG11986" s="10"/>
    </row>
    <row r="11987" spans="33:33">
      <c r="AG11987" s="10"/>
    </row>
    <row r="11988" spans="33:33">
      <c r="AG11988" s="10"/>
    </row>
    <row r="11989" spans="33:33">
      <c r="AG11989" s="10"/>
    </row>
    <row r="11990" spans="33:33">
      <c r="AG11990" s="10"/>
    </row>
    <row r="11991" spans="33:33">
      <c r="AG11991" s="10"/>
    </row>
    <row r="11992" spans="33:33">
      <c r="AG11992" s="10"/>
    </row>
    <row r="11993" spans="33:33">
      <c r="AG11993" s="10"/>
    </row>
    <row r="11994" spans="33:33">
      <c r="AG11994" s="10"/>
    </row>
    <row r="11995" spans="33:33">
      <c r="AG11995" s="10"/>
    </row>
    <row r="11996" spans="33:33">
      <c r="AG11996" s="10"/>
    </row>
    <row r="11997" spans="33:33">
      <c r="AG11997" s="10"/>
    </row>
    <row r="11998" spans="33:33">
      <c r="AG11998" s="10"/>
    </row>
    <row r="11999" spans="33:33">
      <c r="AG11999" s="10"/>
    </row>
    <row r="12000" spans="33:33">
      <c r="AG12000" s="10"/>
    </row>
    <row r="12001" spans="33:33">
      <c r="AG12001" s="10"/>
    </row>
    <row r="12002" spans="33:33">
      <c r="AG12002" s="10"/>
    </row>
    <row r="12003" spans="33:33">
      <c r="AG12003" s="10"/>
    </row>
    <row r="12004" spans="33:33">
      <c r="AG12004" s="10"/>
    </row>
    <row r="12005" spans="33:33">
      <c r="AG12005" s="10"/>
    </row>
    <row r="12006" spans="33:33">
      <c r="AG12006" s="10"/>
    </row>
    <row r="12007" spans="33:33">
      <c r="AG12007" s="10"/>
    </row>
    <row r="12008" spans="33:33">
      <c r="AG12008" s="10"/>
    </row>
    <row r="12009" spans="33:33">
      <c r="AG12009" s="10"/>
    </row>
    <row r="12010" spans="33:33">
      <c r="AG12010" s="10"/>
    </row>
    <row r="12011" spans="33:33">
      <c r="AG12011" s="10"/>
    </row>
    <row r="12012" spans="33:33">
      <c r="AG12012" s="10"/>
    </row>
    <row r="12013" spans="33:33">
      <c r="AG12013" s="10"/>
    </row>
    <row r="12014" spans="33:33">
      <c r="AG12014" s="10"/>
    </row>
    <row r="12015" spans="33:33">
      <c r="AG12015" s="10"/>
    </row>
    <row r="12016" spans="33:33">
      <c r="AG12016" s="10"/>
    </row>
    <row r="12017" spans="33:33">
      <c r="AG12017" s="10"/>
    </row>
    <row r="12018" spans="33:33">
      <c r="AG12018" s="10"/>
    </row>
    <row r="12019" spans="33:33">
      <c r="AG12019" s="10"/>
    </row>
    <row r="12020" spans="33:33">
      <c r="AG12020" s="10"/>
    </row>
    <row r="12021" spans="33:33">
      <c r="AG12021" s="10"/>
    </row>
    <row r="12022" spans="33:33">
      <c r="AG12022" s="10"/>
    </row>
    <row r="12023" spans="33:33">
      <c r="AG12023" s="10"/>
    </row>
    <row r="12024" spans="33:33">
      <c r="AG12024" s="10"/>
    </row>
    <row r="12025" spans="33:33">
      <c r="AG12025" s="10"/>
    </row>
    <row r="12026" spans="33:33">
      <c r="AG12026" s="10"/>
    </row>
    <row r="12027" spans="33:33">
      <c r="AG12027" s="10"/>
    </row>
    <row r="12028" spans="33:33">
      <c r="AG12028" s="10"/>
    </row>
    <row r="12029" spans="33:33">
      <c r="AG12029" s="10"/>
    </row>
    <row r="12030" spans="33:33">
      <c r="AG12030" s="10"/>
    </row>
    <row r="12031" spans="33:33">
      <c r="AG12031" s="10"/>
    </row>
    <row r="12032" spans="33:33">
      <c r="AG12032" s="10"/>
    </row>
    <row r="12033" spans="33:33">
      <c r="AG12033" s="10"/>
    </row>
    <row r="12034" spans="33:33">
      <c r="AG12034" s="10"/>
    </row>
    <row r="12035" spans="33:33">
      <c r="AG12035" s="10"/>
    </row>
    <row r="12036" spans="33:33">
      <c r="AG12036" s="10"/>
    </row>
    <row r="12037" spans="33:33">
      <c r="AG12037" s="10"/>
    </row>
    <row r="12038" spans="33:33">
      <c r="AG12038" s="10"/>
    </row>
    <row r="12039" spans="33:33">
      <c r="AG12039" s="10"/>
    </row>
    <row r="12040" spans="33:33">
      <c r="AG12040" s="10"/>
    </row>
    <row r="12041" spans="33:33">
      <c r="AG12041" s="10"/>
    </row>
    <row r="12042" spans="33:33">
      <c r="AG12042" s="10"/>
    </row>
    <row r="12043" spans="33:33">
      <c r="AG12043" s="10"/>
    </row>
    <row r="12044" spans="33:33">
      <c r="AG12044" s="10"/>
    </row>
    <row r="12045" spans="33:33">
      <c r="AG12045" s="10"/>
    </row>
    <row r="12046" spans="33:33">
      <c r="AG12046" s="10"/>
    </row>
    <row r="12047" spans="33:33">
      <c r="AG12047" s="10"/>
    </row>
    <row r="12048" spans="33:33">
      <c r="AG12048" s="10"/>
    </row>
    <row r="12049" spans="33:33">
      <c r="AG12049" s="10"/>
    </row>
    <row r="12050" spans="33:33">
      <c r="AG12050" s="10"/>
    </row>
    <row r="12051" spans="33:33">
      <c r="AG12051" s="10"/>
    </row>
    <row r="12052" spans="33:33">
      <c r="AG12052" s="10"/>
    </row>
    <row r="12053" spans="33:33">
      <c r="AG12053" s="10"/>
    </row>
    <row r="12054" spans="33:33">
      <c r="AG12054" s="10"/>
    </row>
    <row r="12055" spans="33:33">
      <c r="AG12055" s="10"/>
    </row>
    <row r="12056" spans="33:33">
      <c r="AG12056" s="10"/>
    </row>
    <row r="12057" spans="33:33">
      <c r="AG12057" s="10"/>
    </row>
    <row r="12058" spans="33:33">
      <c r="AG12058" s="10"/>
    </row>
    <row r="12059" spans="33:33">
      <c r="AG12059" s="10"/>
    </row>
    <row r="12060" spans="33:33">
      <c r="AG12060" s="10"/>
    </row>
    <row r="12061" spans="33:33">
      <c r="AG12061" s="10"/>
    </row>
    <row r="12062" spans="33:33">
      <c r="AG12062" s="10"/>
    </row>
    <row r="12063" spans="33:33">
      <c r="AG12063" s="10"/>
    </row>
    <row r="12064" spans="33:33">
      <c r="AG12064" s="10"/>
    </row>
    <row r="12065" spans="33:33">
      <c r="AG12065" s="10"/>
    </row>
    <row r="12066" spans="33:33">
      <c r="AG12066" s="10"/>
    </row>
    <row r="12067" spans="33:33">
      <c r="AG12067" s="10"/>
    </row>
    <row r="12068" spans="33:33">
      <c r="AG12068" s="10"/>
    </row>
    <row r="12069" spans="33:33">
      <c r="AG12069" s="10"/>
    </row>
    <row r="12070" spans="33:33">
      <c r="AG12070" s="10"/>
    </row>
    <row r="12071" spans="33:33">
      <c r="AG12071" s="10"/>
    </row>
    <row r="12072" spans="33:33">
      <c r="AG12072" s="10"/>
    </row>
    <row r="12073" spans="33:33">
      <c r="AG12073" s="10"/>
    </row>
    <row r="12074" spans="33:33">
      <c r="AG12074" s="10"/>
    </row>
    <row r="12075" spans="33:33">
      <c r="AG12075" s="10"/>
    </row>
    <row r="12076" spans="33:33">
      <c r="AG12076" s="10"/>
    </row>
    <row r="12077" spans="33:33">
      <c r="AG12077" s="10"/>
    </row>
    <row r="12078" spans="33:33">
      <c r="AG12078" s="10"/>
    </row>
    <row r="12079" spans="33:33">
      <c r="AG12079" s="10"/>
    </row>
    <row r="12080" spans="33:33">
      <c r="AG12080" s="10"/>
    </row>
    <row r="12081" spans="33:33">
      <c r="AG12081" s="10"/>
    </row>
    <row r="12082" spans="33:33">
      <c r="AG12082" s="10"/>
    </row>
    <row r="12083" spans="33:33">
      <c r="AG12083" s="10"/>
    </row>
    <row r="12084" spans="33:33">
      <c r="AG12084" s="10"/>
    </row>
    <row r="12085" spans="33:33">
      <c r="AG12085" s="10"/>
    </row>
    <row r="12086" spans="33:33">
      <c r="AG12086" s="10"/>
    </row>
    <row r="12087" spans="33:33">
      <c r="AG12087" s="10"/>
    </row>
    <row r="12088" spans="33:33">
      <c r="AG12088" s="10"/>
    </row>
    <row r="12089" spans="33:33">
      <c r="AG12089" s="10"/>
    </row>
    <row r="12090" spans="33:33">
      <c r="AG12090" s="10"/>
    </row>
    <row r="12091" spans="33:33">
      <c r="AG12091" s="10"/>
    </row>
    <row r="12092" spans="33:33">
      <c r="AG12092" s="10"/>
    </row>
    <row r="12093" spans="33:33">
      <c r="AG12093" s="10"/>
    </row>
    <row r="12094" spans="33:33">
      <c r="AG12094" s="10"/>
    </row>
    <row r="12095" spans="33:33">
      <c r="AG12095" s="10"/>
    </row>
    <row r="12096" spans="33:33">
      <c r="AG12096" s="10"/>
    </row>
    <row r="12097" spans="33:33">
      <c r="AG12097" s="10"/>
    </row>
    <row r="12098" spans="33:33">
      <c r="AG12098" s="10"/>
    </row>
    <row r="12099" spans="33:33">
      <c r="AG12099" s="10"/>
    </row>
    <row r="12100" spans="33:33">
      <c r="AG12100" s="10"/>
    </row>
    <row r="12101" spans="33:33">
      <c r="AG12101" s="10"/>
    </row>
    <row r="12102" spans="33:33">
      <c r="AG12102" s="10"/>
    </row>
    <row r="12103" spans="33:33">
      <c r="AG12103" s="10"/>
    </row>
    <row r="12104" spans="33:33">
      <c r="AG12104" s="10"/>
    </row>
    <row r="12105" spans="33:33">
      <c r="AG12105" s="10"/>
    </row>
    <row r="12106" spans="33:33">
      <c r="AG12106" s="10"/>
    </row>
    <row r="12107" spans="33:33">
      <c r="AG12107" s="10"/>
    </row>
    <row r="12108" spans="33:33">
      <c r="AG12108" s="10"/>
    </row>
    <row r="12109" spans="33:33">
      <c r="AG12109" s="10"/>
    </row>
    <row r="12110" spans="33:33">
      <c r="AG12110" s="10"/>
    </row>
    <row r="12111" spans="33:33">
      <c r="AG12111" s="10"/>
    </row>
    <row r="12112" spans="33:33">
      <c r="AG12112" s="10"/>
    </row>
    <row r="12113" spans="33:33">
      <c r="AG12113" s="10"/>
    </row>
    <row r="12114" spans="33:33">
      <c r="AG12114" s="10"/>
    </row>
    <row r="12115" spans="33:33">
      <c r="AG12115" s="10"/>
    </row>
    <row r="12116" spans="33:33">
      <c r="AG12116" s="10"/>
    </row>
    <row r="12117" spans="33:33">
      <c r="AG12117" s="10"/>
    </row>
    <row r="12118" spans="33:33">
      <c r="AG12118" s="10"/>
    </row>
    <row r="12119" spans="33:33">
      <c r="AG12119" s="10"/>
    </row>
    <row r="12120" spans="33:33">
      <c r="AG12120" s="10"/>
    </row>
    <row r="12121" spans="33:33">
      <c r="AG12121" s="10"/>
    </row>
    <row r="12122" spans="33:33">
      <c r="AG12122" s="10"/>
    </row>
    <row r="12123" spans="33:33">
      <c r="AG12123" s="10"/>
    </row>
    <row r="12124" spans="33:33">
      <c r="AG12124" s="10"/>
    </row>
    <row r="12125" spans="33:33">
      <c r="AG12125" s="10"/>
    </row>
    <row r="12126" spans="33:33">
      <c r="AG12126" s="10"/>
    </row>
    <row r="12127" spans="33:33">
      <c r="AG12127" s="10"/>
    </row>
    <row r="12128" spans="33:33">
      <c r="AG12128" s="10"/>
    </row>
    <row r="12129" spans="33:33">
      <c r="AG12129" s="10"/>
    </row>
    <row r="12130" spans="33:33">
      <c r="AG12130" s="10"/>
    </row>
    <row r="12131" spans="33:33">
      <c r="AG12131" s="10"/>
    </row>
    <row r="12132" spans="33:33">
      <c r="AG12132" s="10"/>
    </row>
    <row r="12133" spans="33:33">
      <c r="AG12133" s="10"/>
    </row>
    <row r="12134" spans="33:33">
      <c r="AG12134" s="10"/>
    </row>
    <row r="12135" spans="33:33">
      <c r="AG12135" s="10"/>
    </row>
    <row r="12136" spans="33:33">
      <c r="AG12136" s="10"/>
    </row>
    <row r="12137" spans="33:33">
      <c r="AG12137" s="10"/>
    </row>
    <row r="12138" spans="33:33">
      <c r="AG12138" s="10"/>
    </row>
    <row r="12139" spans="33:33">
      <c r="AG12139" s="10"/>
    </row>
    <row r="12140" spans="33:33">
      <c r="AG12140" s="10"/>
    </row>
    <row r="12141" spans="33:33">
      <c r="AG12141" s="10"/>
    </row>
    <row r="12142" spans="33:33">
      <c r="AG12142" s="10"/>
    </row>
    <row r="12143" spans="33:33">
      <c r="AG12143" s="10"/>
    </row>
    <row r="12144" spans="33:33">
      <c r="AG12144" s="10"/>
    </row>
    <row r="12145" spans="33:33">
      <c r="AG12145" s="10"/>
    </row>
    <row r="12146" spans="33:33">
      <c r="AG12146" s="10"/>
    </row>
    <row r="12147" spans="33:33">
      <c r="AG12147" s="10"/>
    </row>
    <row r="12148" spans="33:33">
      <c r="AG12148" s="10"/>
    </row>
    <row r="12149" spans="33:33">
      <c r="AG12149" s="10"/>
    </row>
    <row r="12150" spans="33:33">
      <c r="AG12150" s="10"/>
    </row>
    <row r="12151" spans="33:33">
      <c r="AG12151" s="10"/>
    </row>
    <row r="12152" spans="33:33">
      <c r="AG12152" s="10"/>
    </row>
    <row r="12153" spans="33:33">
      <c r="AG12153" s="10"/>
    </row>
    <row r="12154" spans="33:33">
      <c r="AG12154" s="10"/>
    </row>
    <row r="12155" spans="33:33">
      <c r="AG12155" s="10"/>
    </row>
    <row r="12156" spans="33:33">
      <c r="AG12156" s="10"/>
    </row>
    <row r="12157" spans="33:33">
      <c r="AG12157" s="10"/>
    </row>
    <row r="12158" spans="33:33">
      <c r="AG12158" s="10"/>
    </row>
    <row r="12159" spans="33:33">
      <c r="AG12159" s="10"/>
    </row>
    <row r="12160" spans="33:33">
      <c r="AG12160" s="10"/>
    </row>
    <row r="12161" spans="33:33">
      <c r="AG12161" s="10"/>
    </row>
    <row r="12162" spans="33:33">
      <c r="AG12162" s="10"/>
    </row>
    <row r="12163" spans="33:33">
      <c r="AG12163" s="10"/>
    </row>
    <row r="12164" spans="33:33">
      <c r="AG12164" s="10"/>
    </row>
    <row r="12165" spans="33:33">
      <c r="AG12165" s="10"/>
    </row>
    <row r="12166" spans="33:33">
      <c r="AG12166" s="10"/>
    </row>
    <row r="12167" spans="33:33">
      <c r="AG12167" s="10"/>
    </row>
    <row r="12168" spans="33:33">
      <c r="AG12168" s="10"/>
    </row>
    <row r="12169" spans="33:33">
      <c r="AG12169" s="10"/>
    </row>
    <row r="12170" spans="33:33">
      <c r="AG12170" s="10"/>
    </row>
    <row r="12171" spans="33:33">
      <c r="AG12171" s="10"/>
    </row>
    <row r="12172" spans="33:33">
      <c r="AG12172" s="10"/>
    </row>
    <row r="12173" spans="33:33">
      <c r="AG12173" s="10"/>
    </row>
    <row r="12174" spans="33:33">
      <c r="AG12174" s="10"/>
    </row>
    <row r="12175" spans="33:33">
      <c r="AG12175" s="10"/>
    </row>
    <row r="12176" spans="33:33">
      <c r="AG12176" s="10"/>
    </row>
    <row r="12177" spans="33:33">
      <c r="AG12177" s="10"/>
    </row>
    <row r="12178" spans="33:33">
      <c r="AG12178" s="10"/>
    </row>
    <row r="12179" spans="33:33">
      <c r="AG12179" s="10"/>
    </row>
    <row r="12180" spans="33:33">
      <c r="AG12180" s="10"/>
    </row>
    <row r="12181" spans="33:33">
      <c r="AG12181" s="10"/>
    </row>
    <row r="12182" spans="33:33">
      <c r="AG12182" s="10"/>
    </row>
    <row r="12183" spans="33:33">
      <c r="AG12183" s="10"/>
    </row>
    <row r="12184" spans="33:33">
      <c r="AG12184" s="10"/>
    </row>
    <row r="12185" spans="33:33">
      <c r="AG12185" s="10"/>
    </row>
    <row r="12186" spans="33:33">
      <c r="AG12186" s="10"/>
    </row>
    <row r="12187" spans="33:33">
      <c r="AG12187" s="10"/>
    </row>
    <row r="12188" spans="33:33">
      <c r="AG12188" s="10"/>
    </row>
    <row r="12189" spans="33:33">
      <c r="AG12189" s="10"/>
    </row>
    <row r="12190" spans="33:33">
      <c r="AG12190" s="10"/>
    </row>
    <row r="12191" spans="33:33">
      <c r="AG12191" s="10"/>
    </row>
    <row r="12192" spans="33:33">
      <c r="AG12192" s="10"/>
    </row>
    <row r="12193" spans="33:33">
      <c r="AG12193" s="10"/>
    </row>
    <row r="12194" spans="33:33">
      <c r="AG12194" s="10"/>
    </row>
    <row r="12195" spans="33:33">
      <c r="AG12195" s="10"/>
    </row>
    <row r="12196" spans="33:33">
      <c r="AG12196" s="10"/>
    </row>
    <row r="12197" spans="33:33">
      <c r="AG12197" s="10"/>
    </row>
    <row r="12198" spans="33:33">
      <c r="AG12198" s="10"/>
    </row>
    <row r="12199" spans="33:33">
      <c r="AG12199" s="10"/>
    </row>
    <row r="12200" spans="33:33">
      <c r="AG12200" s="10"/>
    </row>
    <row r="12201" spans="33:33">
      <c r="AG12201" s="10"/>
    </row>
    <row r="12202" spans="33:33">
      <c r="AG12202" s="10"/>
    </row>
    <row r="12203" spans="33:33">
      <c r="AG12203" s="10"/>
    </row>
    <row r="12204" spans="33:33">
      <c r="AG12204" s="10"/>
    </row>
    <row r="12205" spans="33:33">
      <c r="AG12205" s="10"/>
    </row>
    <row r="12206" spans="33:33">
      <c r="AG12206" s="10"/>
    </row>
    <row r="12207" spans="33:33">
      <c r="AG12207" s="10"/>
    </row>
    <row r="12208" spans="33:33">
      <c r="AG12208" s="10"/>
    </row>
    <row r="12209" spans="33:33">
      <c r="AG12209" s="10"/>
    </row>
    <row r="12210" spans="33:33">
      <c r="AG12210" s="10"/>
    </row>
    <row r="12211" spans="33:33">
      <c r="AG12211" s="10"/>
    </row>
    <row r="12212" spans="33:33">
      <c r="AG12212" s="10"/>
    </row>
    <row r="12213" spans="33:33">
      <c r="AG12213" s="10"/>
    </row>
    <row r="12214" spans="33:33">
      <c r="AG12214" s="10"/>
    </row>
    <row r="12215" spans="33:33">
      <c r="AG12215" s="10"/>
    </row>
    <row r="12216" spans="33:33">
      <c r="AG12216" s="10"/>
    </row>
    <row r="12217" spans="33:33">
      <c r="AG12217" s="10"/>
    </row>
    <row r="12218" spans="33:33">
      <c r="AG12218" s="10"/>
    </row>
    <row r="12219" spans="33:33">
      <c r="AG12219" s="10"/>
    </row>
    <row r="12220" spans="33:33">
      <c r="AG12220" s="10"/>
    </row>
    <row r="12221" spans="33:33">
      <c r="AG12221" s="10"/>
    </row>
    <row r="12222" spans="33:33">
      <c r="AG12222" s="10"/>
    </row>
    <row r="12223" spans="33:33">
      <c r="AG12223" s="10"/>
    </row>
    <row r="12224" spans="33:33">
      <c r="AG12224" s="10"/>
    </row>
    <row r="12225" spans="33:33">
      <c r="AG12225" s="10"/>
    </row>
    <row r="12226" spans="33:33">
      <c r="AG12226" s="10"/>
    </row>
    <row r="12227" spans="33:33">
      <c r="AG12227" s="10"/>
    </row>
    <row r="12228" spans="33:33">
      <c r="AG12228" s="10"/>
    </row>
    <row r="12229" spans="33:33">
      <c r="AG12229" s="10"/>
    </row>
    <row r="12230" spans="33:33">
      <c r="AG12230" s="10"/>
    </row>
    <row r="12231" spans="33:33">
      <c r="AG12231" s="10"/>
    </row>
    <row r="12232" spans="33:33">
      <c r="AG12232" s="10"/>
    </row>
    <row r="12233" spans="33:33">
      <c r="AG12233" s="10"/>
    </row>
    <row r="12234" spans="33:33">
      <c r="AG12234" s="10"/>
    </row>
    <row r="12235" spans="33:33">
      <c r="AG12235" s="10"/>
    </row>
    <row r="12236" spans="33:33">
      <c r="AG12236" s="10"/>
    </row>
    <row r="12237" spans="33:33">
      <c r="AG12237" s="10"/>
    </row>
    <row r="12238" spans="33:33">
      <c r="AG12238" s="10"/>
    </row>
    <row r="12239" spans="33:33">
      <c r="AG12239" s="10"/>
    </row>
    <row r="12240" spans="33:33">
      <c r="AG12240" s="10"/>
    </row>
    <row r="12241" spans="33:33">
      <c r="AG12241" s="10"/>
    </row>
    <row r="12242" spans="33:33">
      <c r="AG12242" s="10"/>
    </row>
    <row r="12243" spans="33:33">
      <c r="AG12243" s="10"/>
    </row>
    <row r="12244" spans="33:33">
      <c r="AG12244" s="10"/>
    </row>
    <row r="12245" spans="33:33">
      <c r="AG12245" s="10"/>
    </row>
    <row r="12246" spans="33:33">
      <c r="AG12246" s="10"/>
    </row>
    <row r="12247" spans="33:33">
      <c r="AG12247" s="10"/>
    </row>
    <row r="12248" spans="33:33">
      <c r="AG12248" s="10"/>
    </row>
    <row r="12249" spans="33:33">
      <c r="AG12249" s="10"/>
    </row>
    <row r="12250" spans="33:33">
      <c r="AG12250" s="10"/>
    </row>
    <row r="12251" spans="33:33">
      <c r="AG12251" s="10"/>
    </row>
    <row r="12252" spans="33:33">
      <c r="AG12252" s="10"/>
    </row>
    <row r="12253" spans="33:33">
      <c r="AG12253" s="10"/>
    </row>
    <row r="12254" spans="33:33">
      <c r="AG12254" s="10"/>
    </row>
    <row r="12255" spans="33:33">
      <c r="AG12255" s="10"/>
    </row>
    <row r="12256" spans="33:33">
      <c r="AG12256" s="10"/>
    </row>
    <row r="12257" spans="33:33">
      <c r="AG12257" s="10"/>
    </row>
    <row r="12258" spans="33:33">
      <c r="AG12258" s="10"/>
    </row>
    <row r="12259" spans="33:33">
      <c r="AG12259" s="10"/>
    </row>
    <row r="12260" spans="33:33">
      <c r="AG12260" s="10"/>
    </row>
    <row r="12261" spans="33:33">
      <c r="AG12261" s="10"/>
    </row>
    <row r="12262" spans="33:33">
      <c r="AG12262" s="10"/>
    </row>
    <row r="12263" spans="33:33">
      <c r="AG12263" s="10"/>
    </row>
    <row r="12264" spans="33:33">
      <c r="AG12264" s="10"/>
    </row>
    <row r="12265" spans="33:33">
      <c r="AG12265" s="10"/>
    </row>
    <row r="12266" spans="33:33">
      <c r="AG12266" s="10"/>
    </row>
    <row r="12267" spans="33:33">
      <c r="AG12267" s="10"/>
    </row>
    <row r="12268" spans="33:33">
      <c r="AG12268" s="10"/>
    </row>
    <row r="12269" spans="33:33">
      <c r="AG12269" s="10"/>
    </row>
    <row r="12270" spans="33:33">
      <c r="AG12270" s="10"/>
    </row>
    <row r="12271" spans="33:33">
      <c r="AG12271" s="10"/>
    </row>
    <row r="12272" spans="33:33">
      <c r="AG12272" s="10"/>
    </row>
    <row r="12273" spans="33:33">
      <c r="AG12273" s="10"/>
    </row>
    <row r="12274" spans="33:33">
      <c r="AG12274" s="10"/>
    </row>
    <row r="12275" spans="33:33">
      <c r="AG12275" s="10"/>
    </row>
    <row r="12276" spans="33:33">
      <c r="AG12276" s="10"/>
    </row>
    <row r="12277" spans="33:33">
      <c r="AG12277" s="10"/>
    </row>
    <row r="12278" spans="33:33">
      <c r="AG12278" s="10"/>
    </row>
    <row r="12279" spans="33:33">
      <c r="AG12279" s="10"/>
    </row>
    <row r="12280" spans="33:33">
      <c r="AG12280" s="10"/>
    </row>
    <row r="12281" spans="33:33">
      <c r="AG12281" s="10"/>
    </row>
    <row r="12282" spans="33:33">
      <c r="AG12282" s="10"/>
    </row>
    <row r="12283" spans="33:33">
      <c r="AG12283" s="10"/>
    </row>
    <row r="12284" spans="33:33">
      <c r="AG12284" s="10"/>
    </row>
    <row r="12285" spans="33:33">
      <c r="AG12285" s="10"/>
    </row>
    <row r="12286" spans="33:33">
      <c r="AG12286" s="10"/>
    </row>
    <row r="12287" spans="33:33">
      <c r="AG12287" s="10"/>
    </row>
    <row r="12288" spans="33:33">
      <c r="AG12288" s="10"/>
    </row>
    <row r="12289" spans="33:33">
      <c r="AG12289" s="10"/>
    </row>
    <row r="12290" spans="33:33">
      <c r="AG12290" s="10"/>
    </row>
    <row r="12291" spans="33:33">
      <c r="AG12291" s="10"/>
    </row>
    <row r="12292" spans="33:33">
      <c r="AG12292" s="10"/>
    </row>
    <row r="12293" spans="33:33">
      <c r="AG12293" s="10"/>
    </row>
    <row r="12294" spans="33:33">
      <c r="AG12294" s="10"/>
    </row>
    <row r="12295" spans="33:33">
      <c r="AG12295" s="10"/>
    </row>
    <row r="12296" spans="33:33">
      <c r="AG12296" s="10"/>
    </row>
    <row r="12297" spans="33:33">
      <c r="AG12297" s="10"/>
    </row>
    <row r="12298" spans="33:33">
      <c r="AG12298" s="10"/>
    </row>
    <row r="12299" spans="33:33">
      <c r="AG12299" s="10"/>
    </row>
    <row r="12300" spans="33:33">
      <c r="AG12300" s="10"/>
    </row>
    <row r="12301" spans="33:33">
      <c r="AG12301" s="10"/>
    </row>
    <row r="12302" spans="33:33">
      <c r="AG12302" s="10"/>
    </row>
    <row r="12303" spans="33:33">
      <c r="AG12303" s="10"/>
    </row>
    <row r="12304" spans="33:33">
      <c r="AG12304" s="10"/>
    </row>
    <row r="12305" spans="33:33">
      <c r="AG12305" s="10"/>
    </row>
    <row r="12306" spans="33:33">
      <c r="AG12306" s="10"/>
    </row>
    <row r="12307" spans="33:33">
      <c r="AG12307" s="10"/>
    </row>
    <row r="12308" spans="33:33">
      <c r="AG12308" s="10"/>
    </row>
    <row r="12309" spans="33:33">
      <c r="AG12309" s="10"/>
    </row>
    <row r="12310" spans="33:33">
      <c r="AG12310" s="10"/>
    </row>
    <row r="12311" spans="33:33">
      <c r="AG12311" s="10"/>
    </row>
    <row r="12312" spans="33:33">
      <c r="AG12312" s="10"/>
    </row>
    <row r="12313" spans="33:33">
      <c r="AG12313" s="10"/>
    </row>
    <row r="12314" spans="33:33">
      <c r="AG12314" s="10"/>
    </row>
    <row r="12315" spans="33:33">
      <c r="AG12315" s="10"/>
    </row>
    <row r="12316" spans="33:33">
      <c r="AG12316" s="10"/>
    </row>
    <row r="12317" spans="33:33">
      <c r="AG12317" s="10"/>
    </row>
    <row r="12318" spans="33:33">
      <c r="AG12318" s="10"/>
    </row>
    <row r="12319" spans="33:33">
      <c r="AG12319" s="10"/>
    </row>
    <row r="12320" spans="33:33">
      <c r="AG12320" s="10"/>
    </row>
    <row r="12321" spans="33:33">
      <c r="AG12321" s="10"/>
    </row>
    <row r="12322" spans="33:33">
      <c r="AG12322" s="10"/>
    </row>
    <row r="12323" spans="33:33">
      <c r="AG12323" s="10"/>
    </row>
    <row r="12324" spans="33:33">
      <c r="AG12324" s="10"/>
    </row>
    <row r="12325" spans="33:33">
      <c r="AG12325" s="10"/>
    </row>
    <row r="12326" spans="33:33">
      <c r="AG12326" s="10"/>
    </row>
    <row r="12327" spans="33:33">
      <c r="AG12327" s="10"/>
    </row>
    <row r="12328" spans="33:33">
      <c r="AG12328" s="10"/>
    </row>
    <row r="12329" spans="33:33">
      <c r="AG12329" s="10"/>
    </row>
    <row r="12330" spans="33:33">
      <c r="AG12330" s="10"/>
    </row>
    <row r="12331" spans="33:33">
      <c r="AG12331" s="10"/>
    </row>
    <row r="12332" spans="33:33">
      <c r="AG12332" s="10"/>
    </row>
    <row r="12333" spans="33:33">
      <c r="AG12333" s="10"/>
    </row>
    <row r="12334" spans="33:33">
      <c r="AG12334" s="10"/>
    </row>
    <row r="12335" spans="33:33">
      <c r="AG12335" s="10"/>
    </row>
    <row r="12336" spans="33:33">
      <c r="AG12336" s="10"/>
    </row>
    <row r="12337" spans="33:33">
      <c r="AG12337" s="10"/>
    </row>
    <row r="12338" spans="33:33">
      <c r="AG12338" s="10"/>
    </row>
    <row r="12339" spans="33:33">
      <c r="AG12339" s="10"/>
    </row>
    <row r="12340" spans="33:33">
      <c r="AG12340" s="10"/>
    </row>
    <row r="12341" spans="33:33">
      <c r="AG12341" s="10"/>
    </row>
    <row r="12342" spans="33:33">
      <c r="AG12342" s="10"/>
    </row>
    <row r="12343" spans="33:33">
      <c r="AG12343" s="10"/>
    </row>
    <row r="12344" spans="33:33">
      <c r="AG12344" s="10"/>
    </row>
    <row r="12345" spans="33:33">
      <c r="AG12345" s="10"/>
    </row>
    <row r="12346" spans="33:33">
      <c r="AG12346" s="10"/>
    </row>
    <row r="12347" spans="33:33">
      <c r="AG12347" s="10"/>
    </row>
    <row r="12348" spans="33:33">
      <c r="AG12348" s="10"/>
    </row>
    <row r="12349" spans="33:33">
      <c r="AG12349" s="10"/>
    </row>
    <row r="12350" spans="33:33">
      <c r="AG12350" s="10"/>
    </row>
    <row r="12351" spans="33:33">
      <c r="AG12351" s="10"/>
    </row>
    <row r="12352" spans="33:33">
      <c r="AG12352" s="10"/>
    </row>
    <row r="12353" spans="33:33">
      <c r="AG12353" s="10"/>
    </row>
    <row r="12354" spans="33:33">
      <c r="AG12354" s="10"/>
    </row>
    <row r="12355" spans="33:33">
      <c r="AG12355" s="10"/>
    </row>
    <row r="12356" spans="33:33">
      <c r="AG12356" s="10"/>
    </row>
    <row r="12357" spans="33:33">
      <c r="AG12357" s="10"/>
    </row>
    <row r="12358" spans="33:33">
      <c r="AG12358" s="10"/>
    </row>
    <row r="12359" spans="33:33">
      <c r="AG12359" s="10"/>
    </row>
    <row r="12360" spans="33:33">
      <c r="AG12360" s="10"/>
    </row>
    <row r="12361" spans="33:33">
      <c r="AG12361" s="10"/>
    </row>
    <row r="12362" spans="33:33">
      <c r="AG12362" s="10"/>
    </row>
    <row r="12363" spans="33:33">
      <c r="AG12363" s="10"/>
    </row>
    <row r="12364" spans="33:33">
      <c r="AG12364" s="10"/>
    </row>
    <row r="12365" spans="33:33">
      <c r="AG12365" s="10"/>
    </row>
    <row r="12366" spans="33:33">
      <c r="AG12366" s="10"/>
    </row>
    <row r="12367" spans="33:33">
      <c r="AG12367" s="10"/>
    </row>
    <row r="12368" spans="33:33">
      <c r="AG12368" s="10"/>
    </row>
    <row r="12369" spans="33:33">
      <c r="AG12369" s="10"/>
    </row>
    <row r="12370" spans="33:33">
      <c r="AG12370" s="10"/>
    </row>
    <row r="12371" spans="33:33">
      <c r="AG12371" s="10"/>
    </row>
    <row r="12372" spans="33:33">
      <c r="AG12372" s="10"/>
    </row>
    <row r="12373" spans="33:33">
      <c r="AG12373" s="10"/>
    </row>
    <row r="12374" spans="33:33">
      <c r="AG12374" s="10"/>
    </row>
    <row r="12375" spans="33:33">
      <c r="AG12375" s="10"/>
    </row>
    <row r="12376" spans="33:33">
      <c r="AG12376" s="10"/>
    </row>
    <row r="12377" spans="33:33">
      <c r="AG12377" s="10"/>
    </row>
    <row r="12378" spans="33:33">
      <c r="AG12378" s="10"/>
    </row>
    <row r="12379" spans="33:33">
      <c r="AG12379" s="10"/>
    </row>
    <row r="12380" spans="33:33">
      <c r="AG12380" s="10"/>
    </row>
    <row r="12381" spans="33:33">
      <c r="AG12381" s="10"/>
    </row>
    <row r="12382" spans="33:33">
      <c r="AG12382" s="10"/>
    </row>
    <row r="12383" spans="33:33">
      <c r="AG12383" s="10"/>
    </row>
    <row r="12384" spans="33:33">
      <c r="AG12384" s="10"/>
    </row>
    <row r="12385" spans="33:33">
      <c r="AG12385" s="10"/>
    </row>
    <row r="12386" spans="33:33">
      <c r="AG12386" s="10"/>
    </row>
    <row r="12387" spans="33:33">
      <c r="AG12387" s="10"/>
    </row>
    <row r="12388" spans="33:33">
      <c r="AG12388" s="10"/>
    </row>
    <row r="12389" spans="33:33">
      <c r="AG12389" s="10"/>
    </row>
    <row r="12390" spans="33:33">
      <c r="AG12390" s="10"/>
    </row>
    <row r="12391" spans="33:33">
      <c r="AG12391" s="10"/>
    </row>
    <row r="12392" spans="33:33">
      <c r="AG12392" s="10"/>
    </row>
    <row r="12393" spans="33:33">
      <c r="AG12393" s="10"/>
    </row>
    <row r="12394" spans="33:33">
      <c r="AG12394" s="10"/>
    </row>
    <row r="12395" spans="33:33">
      <c r="AG12395" s="10"/>
    </row>
    <row r="12396" spans="33:33">
      <c r="AG12396" s="10"/>
    </row>
    <row r="12397" spans="33:33">
      <c r="AG12397" s="10"/>
    </row>
    <row r="12398" spans="33:33">
      <c r="AG12398" s="10"/>
    </row>
    <row r="12399" spans="33:33">
      <c r="AG12399" s="10"/>
    </row>
    <row r="12400" spans="33:33">
      <c r="AG12400" s="10"/>
    </row>
    <row r="12401" spans="33:33">
      <c r="AG12401" s="10"/>
    </row>
    <row r="12402" spans="33:33">
      <c r="AG12402" s="10"/>
    </row>
    <row r="12403" spans="33:33">
      <c r="AG12403" s="10"/>
    </row>
    <row r="12404" spans="33:33">
      <c r="AG12404" s="10"/>
    </row>
    <row r="12405" spans="33:33">
      <c r="AG12405" s="10"/>
    </row>
    <row r="12406" spans="33:33">
      <c r="AG12406" s="10"/>
    </row>
    <row r="12407" spans="33:33">
      <c r="AG12407" s="10"/>
    </row>
    <row r="12408" spans="33:33">
      <c r="AG12408" s="10"/>
    </row>
    <row r="12409" spans="33:33">
      <c r="AG12409" s="10"/>
    </row>
    <row r="12410" spans="33:33">
      <c r="AG12410" s="10"/>
    </row>
    <row r="12411" spans="33:33">
      <c r="AG12411" s="10"/>
    </row>
    <row r="12412" spans="33:33">
      <c r="AG12412" s="10"/>
    </row>
    <row r="12413" spans="33:33">
      <c r="AG12413" s="10"/>
    </row>
    <row r="12414" spans="33:33">
      <c r="AG12414" s="10"/>
    </row>
    <row r="12415" spans="33:33">
      <c r="AG12415" s="10"/>
    </row>
    <row r="12416" spans="33:33">
      <c r="AG12416" s="10"/>
    </row>
    <row r="12417" spans="33:33">
      <c r="AG12417" s="10"/>
    </row>
    <row r="12418" spans="33:33">
      <c r="AG12418" s="10"/>
    </row>
    <row r="12419" spans="33:33">
      <c r="AG12419" s="10"/>
    </row>
    <row r="12420" spans="33:33">
      <c r="AG12420" s="10"/>
    </row>
    <row r="12421" spans="33:33">
      <c r="AG12421" s="10"/>
    </row>
    <row r="12422" spans="33:33">
      <c r="AG12422" s="10"/>
    </row>
    <row r="12423" spans="33:33">
      <c r="AG12423" s="10"/>
    </row>
    <row r="12424" spans="33:33">
      <c r="AG12424" s="10"/>
    </row>
    <row r="12425" spans="33:33">
      <c r="AG12425" s="10"/>
    </row>
    <row r="12426" spans="33:33">
      <c r="AG12426" s="10"/>
    </row>
    <row r="12427" spans="33:33">
      <c r="AG12427" s="10"/>
    </row>
    <row r="12428" spans="33:33">
      <c r="AG12428" s="10"/>
    </row>
    <row r="12429" spans="33:33">
      <c r="AG12429" s="10"/>
    </row>
    <row r="12430" spans="33:33">
      <c r="AG12430" s="10"/>
    </row>
    <row r="12431" spans="33:33">
      <c r="AG12431" s="10"/>
    </row>
    <row r="12432" spans="33:33">
      <c r="AG12432" s="10"/>
    </row>
    <row r="12433" spans="33:33">
      <c r="AG12433" s="10"/>
    </row>
    <row r="12434" spans="33:33">
      <c r="AG12434" s="10"/>
    </row>
    <row r="12435" spans="33:33">
      <c r="AG12435" s="10"/>
    </row>
    <row r="12436" spans="33:33">
      <c r="AG12436" s="10"/>
    </row>
    <row r="12437" spans="33:33">
      <c r="AG12437" s="10"/>
    </row>
    <row r="12438" spans="33:33">
      <c r="AG12438" s="10"/>
    </row>
    <row r="12439" spans="33:33">
      <c r="AG12439" s="10"/>
    </row>
    <row r="12440" spans="33:33">
      <c r="AG12440" s="10"/>
    </row>
    <row r="12441" spans="33:33">
      <c r="AG12441" s="10"/>
    </row>
    <row r="12442" spans="33:33">
      <c r="AG12442" s="10"/>
    </row>
    <row r="12443" spans="33:33">
      <c r="AG12443" s="10"/>
    </row>
    <row r="12444" spans="33:33">
      <c r="AG12444" s="10"/>
    </row>
    <row r="12445" spans="33:33">
      <c r="AG12445" s="10"/>
    </row>
    <row r="12446" spans="33:33">
      <c r="AG12446" s="10"/>
    </row>
    <row r="12447" spans="33:33">
      <c r="AG12447" s="10"/>
    </row>
    <row r="12448" spans="33:33">
      <c r="AG12448" s="10"/>
    </row>
    <row r="12449" spans="33:33">
      <c r="AG12449" s="10"/>
    </row>
    <row r="12450" spans="33:33">
      <c r="AG12450" s="10"/>
    </row>
    <row r="12451" spans="33:33">
      <c r="AG12451" s="10"/>
    </row>
    <row r="12452" spans="33:33">
      <c r="AG12452" s="10"/>
    </row>
    <row r="12453" spans="33:33">
      <c r="AG12453" s="10"/>
    </row>
    <row r="12454" spans="33:33">
      <c r="AG12454" s="10"/>
    </row>
    <row r="12455" spans="33:33">
      <c r="AG12455" s="10"/>
    </row>
    <row r="12456" spans="33:33">
      <c r="AG12456" s="10"/>
    </row>
    <row r="12457" spans="33:33">
      <c r="AG12457" s="10"/>
    </row>
    <row r="12458" spans="33:33">
      <c r="AG12458" s="10"/>
    </row>
    <row r="12459" spans="33:33">
      <c r="AG12459" s="10"/>
    </row>
    <row r="12460" spans="33:33">
      <c r="AG12460" s="10"/>
    </row>
    <row r="12461" spans="33:33">
      <c r="AG12461" s="10"/>
    </row>
    <row r="12462" spans="33:33">
      <c r="AG12462" s="10"/>
    </row>
    <row r="12463" spans="33:33">
      <c r="AG12463" s="10"/>
    </row>
    <row r="12464" spans="33:33">
      <c r="AG12464" s="10"/>
    </row>
    <row r="12465" spans="33:33">
      <c r="AG12465" s="10"/>
    </row>
    <row r="12466" spans="33:33">
      <c r="AG12466" s="10"/>
    </row>
    <row r="12467" spans="33:33">
      <c r="AG12467" s="10"/>
    </row>
    <row r="12468" spans="33:33">
      <c r="AG12468" s="10"/>
    </row>
    <row r="12469" spans="33:33">
      <c r="AG12469" s="10"/>
    </row>
    <row r="12470" spans="33:33">
      <c r="AG12470" s="10"/>
    </row>
    <row r="12471" spans="33:33">
      <c r="AG12471" s="10"/>
    </row>
    <row r="12472" spans="33:33">
      <c r="AG12472" s="10"/>
    </row>
    <row r="12473" spans="33:33">
      <c r="AG12473" s="10"/>
    </row>
    <row r="12474" spans="33:33">
      <c r="AG12474" s="10"/>
    </row>
    <row r="12475" spans="33:33">
      <c r="AG12475" s="10"/>
    </row>
    <row r="12476" spans="33:33">
      <c r="AG12476" s="10"/>
    </row>
    <row r="12477" spans="33:33">
      <c r="AG12477" s="10"/>
    </row>
    <row r="12478" spans="33:33">
      <c r="AG12478" s="10"/>
    </row>
    <row r="12479" spans="33:33">
      <c r="AG12479" s="10"/>
    </row>
    <row r="12480" spans="33:33">
      <c r="AG12480" s="10"/>
    </row>
    <row r="12481" spans="33:33">
      <c r="AG12481" s="10"/>
    </row>
    <row r="12482" spans="33:33">
      <c r="AG12482" s="10"/>
    </row>
    <row r="12483" spans="33:33">
      <c r="AG12483" s="10"/>
    </row>
    <row r="12484" spans="33:33">
      <c r="AG12484" s="10"/>
    </row>
    <row r="12485" spans="33:33">
      <c r="AG12485" s="10"/>
    </row>
    <row r="12486" spans="33:33">
      <c r="AG12486" s="10"/>
    </row>
    <row r="12487" spans="33:33">
      <c r="AG12487" s="10"/>
    </row>
    <row r="12488" spans="33:33">
      <c r="AG12488" s="10"/>
    </row>
    <row r="12489" spans="33:33">
      <c r="AG12489" s="10"/>
    </row>
    <row r="12490" spans="33:33">
      <c r="AG12490" s="10"/>
    </row>
    <row r="12491" spans="33:33">
      <c r="AG12491" s="10"/>
    </row>
    <row r="12492" spans="33:33">
      <c r="AG12492" s="10"/>
    </row>
    <row r="12493" spans="33:33">
      <c r="AG12493" s="10"/>
    </row>
    <row r="12494" spans="33:33">
      <c r="AG12494" s="10"/>
    </row>
    <row r="12495" spans="33:33">
      <c r="AG12495" s="10"/>
    </row>
    <row r="12496" spans="33:33">
      <c r="AG12496" s="10"/>
    </row>
    <row r="12497" spans="33:33">
      <c r="AG12497" s="10"/>
    </row>
    <row r="12498" spans="33:33">
      <c r="AG12498" s="10"/>
    </row>
    <row r="12499" spans="33:33">
      <c r="AG12499" s="10"/>
    </row>
    <row r="12500" spans="33:33">
      <c r="AG12500" s="10"/>
    </row>
    <row r="12501" spans="33:33">
      <c r="AG12501" s="10"/>
    </row>
    <row r="12502" spans="33:33">
      <c r="AG12502" s="10"/>
    </row>
    <row r="12503" spans="33:33">
      <c r="AG12503" s="10"/>
    </row>
    <row r="12504" spans="33:33">
      <c r="AG12504" s="10"/>
    </row>
    <row r="12505" spans="33:33">
      <c r="AG12505" s="10"/>
    </row>
    <row r="12506" spans="33:33">
      <c r="AG12506" s="10"/>
    </row>
    <row r="12507" spans="33:33">
      <c r="AG12507" s="10"/>
    </row>
    <row r="12508" spans="33:33">
      <c r="AG12508" s="10"/>
    </row>
    <row r="12509" spans="33:33">
      <c r="AG12509" s="10"/>
    </row>
    <row r="12510" spans="33:33">
      <c r="AG12510" s="10"/>
    </row>
    <row r="12511" spans="33:33">
      <c r="AG12511" s="10"/>
    </row>
    <row r="12512" spans="33:33">
      <c r="AG12512" s="10"/>
    </row>
    <row r="12513" spans="33:33">
      <c r="AG12513" s="10"/>
    </row>
    <row r="12514" spans="33:33">
      <c r="AG12514" s="10"/>
    </row>
    <row r="12515" spans="33:33">
      <c r="AG12515" s="10"/>
    </row>
    <row r="12516" spans="33:33">
      <c r="AG12516" s="10"/>
    </row>
    <row r="12517" spans="33:33">
      <c r="AG12517" s="10"/>
    </row>
    <row r="12518" spans="33:33">
      <c r="AG12518" s="10"/>
    </row>
    <row r="12519" spans="33:33">
      <c r="AG12519" s="10"/>
    </row>
    <row r="12520" spans="33:33">
      <c r="AG12520" s="10"/>
    </row>
    <row r="12521" spans="33:33">
      <c r="AG12521" s="10"/>
    </row>
    <row r="12522" spans="33:33">
      <c r="AG12522" s="10"/>
    </row>
    <row r="12523" spans="33:33">
      <c r="AG12523" s="10"/>
    </row>
    <row r="12524" spans="33:33">
      <c r="AG12524" s="10"/>
    </row>
    <row r="12525" spans="33:33">
      <c r="AG12525" s="10"/>
    </row>
    <row r="12526" spans="33:33">
      <c r="AG12526" s="10"/>
    </row>
    <row r="12527" spans="33:33">
      <c r="AG12527" s="10"/>
    </row>
    <row r="12528" spans="33:33">
      <c r="AG12528" s="10"/>
    </row>
    <row r="12529" spans="33:33">
      <c r="AG12529" s="10"/>
    </row>
    <row r="12530" spans="33:33">
      <c r="AG12530" s="10"/>
    </row>
    <row r="12531" spans="33:33">
      <c r="AG12531" s="10"/>
    </row>
    <row r="12532" spans="33:33">
      <c r="AG12532" s="10"/>
    </row>
    <row r="12533" spans="33:33">
      <c r="AG12533" s="10"/>
    </row>
    <row r="12534" spans="33:33">
      <c r="AG12534" s="10"/>
    </row>
    <row r="12535" spans="33:33">
      <c r="AG12535" s="10"/>
    </row>
    <row r="12536" spans="33:33">
      <c r="AG12536" s="10"/>
    </row>
    <row r="12537" spans="33:33">
      <c r="AG12537" s="10"/>
    </row>
    <row r="12538" spans="33:33">
      <c r="AG12538" s="10"/>
    </row>
    <row r="12539" spans="33:33">
      <c r="AG12539" s="10"/>
    </row>
    <row r="12540" spans="33:33">
      <c r="AG12540" s="10"/>
    </row>
    <row r="12541" spans="33:33">
      <c r="AG12541" s="10"/>
    </row>
    <row r="12542" spans="33:33">
      <c r="AG12542" s="10"/>
    </row>
    <row r="12543" spans="33:33">
      <c r="AG12543" s="10"/>
    </row>
    <row r="12544" spans="33:33">
      <c r="AG12544" s="10"/>
    </row>
    <row r="12545" spans="33:33">
      <c r="AG12545" s="10"/>
    </row>
    <row r="12546" spans="33:33">
      <c r="AG12546" s="10"/>
    </row>
    <row r="12547" spans="33:33">
      <c r="AG12547" s="10"/>
    </row>
    <row r="12548" spans="33:33">
      <c r="AG12548" s="10"/>
    </row>
    <row r="12549" spans="33:33">
      <c r="AG12549" s="10"/>
    </row>
    <row r="12550" spans="33:33">
      <c r="AG12550" s="10"/>
    </row>
    <row r="12551" spans="33:33">
      <c r="AG12551" s="10"/>
    </row>
    <row r="12552" spans="33:33">
      <c r="AG12552" s="10"/>
    </row>
    <row r="12553" spans="33:33">
      <c r="AG12553" s="10"/>
    </row>
    <row r="12554" spans="33:33">
      <c r="AG12554" s="10"/>
    </row>
    <row r="12555" spans="33:33">
      <c r="AG12555" s="10"/>
    </row>
    <row r="12556" spans="33:33">
      <c r="AG12556" s="10"/>
    </row>
    <row r="12557" spans="33:33">
      <c r="AG12557" s="10"/>
    </row>
    <row r="12558" spans="33:33">
      <c r="AG12558" s="10"/>
    </row>
    <row r="12559" spans="33:33">
      <c r="AG12559" s="10"/>
    </row>
    <row r="12560" spans="33:33">
      <c r="AG12560" s="10"/>
    </row>
    <row r="12561" spans="33:33">
      <c r="AG12561" s="10"/>
    </row>
    <row r="12562" spans="33:33">
      <c r="AG12562" s="10"/>
    </row>
    <row r="12563" spans="33:33">
      <c r="AG12563" s="10"/>
    </row>
    <row r="12564" spans="33:33">
      <c r="AG12564" s="10"/>
    </row>
    <row r="12565" spans="33:33">
      <c r="AG12565" s="10"/>
    </row>
    <row r="12566" spans="33:33">
      <c r="AG12566" s="10"/>
    </row>
    <row r="12567" spans="33:33">
      <c r="AG12567" s="10"/>
    </row>
    <row r="12568" spans="33:33">
      <c r="AG12568" s="10"/>
    </row>
    <row r="12569" spans="33:33">
      <c r="AG12569" s="10"/>
    </row>
    <row r="12570" spans="33:33">
      <c r="AG12570" s="10"/>
    </row>
    <row r="12571" spans="33:33">
      <c r="AG12571" s="10"/>
    </row>
    <row r="12572" spans="33:33">
      <c r="AG12572" s="10"/>
    </row>
    <row r="12573" spans="33:33">
      <c r="AG12573" s="10"/>
    </row>
    <row r="12574" spans="33:33">
      <c r="AG12574" s="10"/>
    </row>
    <row r="12575" spans="33:33">
      <c r="AG12575" s="10"/>
    </row>
    <row r="12576" spans="33:33">
      <c r="AG12576" s="10"/>
    </row>
    <row r="12577" spans="33:33">
      <c r="AG12577" s="10"/>
    </row>
    <row r="12578" spans="33:33">
      <c r="AG12578" s="10"/>
    </row>
    <row r="12579" spans="33:33">
      <c r="AG12579" s="10"/>
    </row>
    <row r="12580" spans="33:33">
      <c r="AG12580" s="10"/>
    </row>
    <row r="12581" spans="33:33">
      <c r="AG12581" s="10"/>
    </row>
    <row r="12582" spans="33:33">
      <c r="AG12582" s="10"/>
    </row>
    <row r="12583" spans="33:33">
      <c r="AG12583" s="10"/>
    </row>
    <row r="12584" spans="33:33">
      <c r="AG12584" s="10"/>
    </row>
    <row r="12585" spans="33:33">
      <c r="AG12585" s="10"/>
    </row>
    <row r="12586" spans="33:33">
      <c r="AG12586" s="10"/>
    </row>
    <row r="12587" spans="33:33">
      <c r="AG12587" s="10"/>
    </row>
    <row r="12588" spans="33:33">
      <c r="AG12588" s="10"/>
    </row>
    <row r="12589" spans="33:33">
      <c r="AG12589" s="10"/>
    </row>
    <row r="12590" spans="33:33">
      <c r="AG12590" s="10"/>
    </row>
    <row r="12591" spans="33:33">
      <c r="AG12591" s="10"/>
    </row>
    <row r="12592" spans="33:33">
      <c r="AG12592" s="10"/>
    </row>
    <row r="12593" spans="33:33">
      <c r="AG12593" s="10"/>
    </row>
    <row r="12594" spans="33:33">
      <c r="AG12594" s="10"/>
    </row>
    <row r="12595" spans="33:33">
      <c r="AG12595" s="10"/>
    </row>
    <row r="12596" spans="33:33">
      <c r="AG12596" s="10"/>
    </row>
    <row r="12597" spans="33:33">
      <c r="AG12597" s="10"/>
    </row>
    <row r="12598" spans="33:33">
      <c r="AG12598" s="10"/>
    </row>
    <row r="12599" spans="33:33">
      <c r="AG12599" s="10"/>
    </row>
    <row r="12600" spans="33:33">
      <c r="AG12600" s="10"/>
    </row>
    <row r="12601" spans="33:33">
      <c r="AG12601" s="10"/>
    </row>
    <row r="12602" spans="33:33">
      <c r="AG12602" s="10"/>
    </row>
    <row r="12603" spans="33:33">
      <c r="AG12603" s="10"/>
    </row>
    <row r="12604" spans="33:33">
      <c r="AG12604" s="10"/>
    </row>
    <row r="12605" spans="33:33">
      <c r="AG12605" s="10"/>
    </row>
    <row r="12606" spans="33:33">
      <c r="AG12606" s="10"/>
    </row>
    <row r="12607" spans="33:33">
      <c r="AG12607" s="10"/>
    </row>
    <row r="12608" spans="33:33">
      <c r="AG12608" s="10"/>
    </row>
    <row r="12609" spans="33:33">
      <c r="AG12609" s="10"/>
    </row>
    <row r="12610" spans="33:33">
      <c r="AG12610" s="10"/>
    </row>
    <row r="12611" spans="33:33">
      <c r="AG12611" s="10"/>
    </row>
    <row r="12612" spans="33:33">
      <c r="AG12612" s="10"/>
    </row>
    <row r="12613" spans="33:33">
      <c r="AG12613" s="10"/>
    </row>
    <row r="12614" spans="33:33">
      <c r="AG12614" s="10"/>
    </row>
    <row r="12615" spans="33:33">
      <c r="AG12615" s="10"/>
    </row>
    <row r="12616" spans="33:33">
      <c r="AG12616" s="10"/>
    </row>
    <row r="12617" spans="33:33">
      <c r="AG12617" s="10"/>
    </row>
    <row r="12618" spans="33:33">
      <c r="AG12618" s="10"/>
    </row>
    <row r="12619" spans="33:33">
      <c r="AG12619" s="10"/>
    </row>
    <row r="12620" spans="33:33">
      <c r="AG12620" s="10"/>
    </row>
    <row r="12621" spans="33:33">
      <c r="AG12621" s="10"/>
    </row>
    <row r="12622" spans="33:33">
      <c r="AG12622" s="10"/>
    </row>
    <row r="12623" spans="33:33">
      <c r="AG12623" s="10"/>
    </row>
    <row r="12624" spans="33:33">
      <c r="AG12624" s="10"/>
    </row>
    <row r="12625" spans="33:33">
      <c r="AG12625" s="10"/>
    </row>
    <row r="12626" spans="33:33">
      <c r="AG12626" s="10"/>
    </row>
    <row r="12627" spans="33:33">
      <c r="AG12627" s="10"/>
    </row>
    <row r="12628" spans="33:33">
      <c r="AG12628" s="10"/>
    </row>
    <row r="12629" spans="33:33">
      <c r="AG12629" s="10"/>
    </row>
    <row r="12630" spans="33:33">
      <c r="AG12630" s="10"/>
    </row>
    <row r="12631" spans="33:33">
      <c r="AG12631" s="10"/>
    </row>
    <row r="12632" spans="33:33">
      <c r="AG12632" s="10"/>
    </row>
    <row r="12633" spans="33:33">
      <c r="AG12633" s="10"/>
    </row>
    <row r="12634" spans="33:33">
      <c r="AG12634" s="10"/>
    </row>
    <row r="12635" spans="33:33">
      <c r="AG12635" s="10"/>
    </row>
    <row r="12636" spans="33:33">
      <c r="AG12636" s="10"/>
    </row>
    <row r="12637" spans="33:33">
      <c r="AG12637" s="10"/>
    </row>
    <row r="12638" spans="33:33">
      <c r="AG12638" s="10"/>
    </row>
    <row r="12639" spans="33:33">
      <c r="AG12639" s="10"/>
    </row>
    <row r="12640" spans="33:33">
      <c r="AG12640" s="10"/>
    </row>
    <row r="12641" spans="33:33">
      <c r="AG12641" s="10"/>
    </row>
    <row r="12642" spans="33:33">
      <c r="AG12642" s="10"/>
    </row>
    <row r="12643" spans="33:33">
      <c r="AG12643" s="10"/>
    </row>
    <row r="12644" spans="33:33">
      <c r="AG12644" s="10"/>
    </row>
    <row r="12645" spans="33:33">
      <c r="AG12645" s="10"/>
    </row>
    <row r="12646" spans="33:33">
      <c r="AG12646" s="10"/>
    </row>
    <row r="12647" spans="33:33">
      <c r="AG12647" s="10"/>
    </row>
    <row r="12648" spans="33:33">
      <c r="AG12648" s="10"/>
    </row>
    <row r="12649" spans="33:33">
      <c r="AG12649" s="10"/>
    </row>
    <row r="12650" spans="33:33">
      <c r="AG12650" s="10"/>
    </row>
    <row r="12651" spans="33:33">
      <c r="AG12651" s="10"/>
    </row>
    <row r="12652" spans="33:33">
      <c r="AG12652" s="10"/>
    </row>
    <row r="12653" spans="33:33">
      <c r="AG12653" s="10"/>
    </row>
    <row r="12654" spans="33:33">
      <c r="AG12654" s="10"/>
    </row>
    <row r="12655" spans="33:33">
      <c r="AG12655" s="10"/>
    </row>
    <row r="12656" spans="33:33">
      <c r="AG12656" s="10"/>
    </row>
    <row r="12657" spans="33:33">
      <c r="AG12657" s="10"/>
    </row>
    <row r="12658" spans="33:33">
      <c r="AG12658" s="10"/>
    </row>
    <row r="12659" spans="33:33">
      <c r="AG12659" s="10"/>
    </row>
    <row r="12660" spans="33:33">
      <c r="AG12660" s="10"/>
    </row>
    <row r="12661" spans="33:33">
      <c r="AG12661" s="10"/>
    </row>
    <row r="12662" spans="33:33">
      <c r="AG12662" s="10"/>
    </row>
    <row r="12663" spans="33:33">
      <c r="AG12663" s="10"/>
    </row>
    <row r="12664" spans="33:33">
      <c r="AG12664" s="10"/>
    </row>
    <row r="12665" spans="33:33">
      <c r="AG12665" s="10"/>
    </row>
    <row r="12666" spans="33:33">
      <c r="AG12666" s="10"/>
    </row>
    <row r="12667" spans="33:33">
      <c r="AG12667" s="10"/>
    </row>
    <row r="12668" spans="33:33">
      <c r="AG12668" s="10"/>
    </row>
    <row r="12669" spans="33:33">
      <c r="AG12669" s="10"/>
    </row>
    <row r="12670" spans="33:33">
      <c r="AG12670" s="10"/>
    </row>
    <row r="12671" spans="33:33">
      <c r="AG12671" s="10"/>
    </row>
    <row r="12672" spans="33:33">
      <c r="AG12672" s="10"/>
    </row>
    <row r="12673" spans="33:33">
      <c r="AG12673" s="10"/>
    </row>
    <row r="12674" spans="33:33">
      <c r="AG12674" s="10"/>
    </row>
    <row r="12675" spans="33:33">
      <c r="AG12675" s="10"/>
    </row>
    <row r="12676" spans="33:33">
      <c r="AG12676" s="10"/>
    </row>
    <row r="12677" spans="33:33">
      <c r="AG12677" s="10"/>
    </row>
    <row r="12678" spans="33:33">
      <c r="AG12678" s="10"/>
    </row>
    <row r="12679" spans="33:33">
      <c r="AG12679" s="10"/>
    </row>
    <row r="12680" spans="33:33">
      <c r="AG12680" s="10"/>
    </row>
    <row r="12681" spans="33:33">
      <c r="AG12681" s="10"/>
    </row>
    <row r="12682" spans="33:33">
      <c r="AG12682" s="10"/>
    </row>
    <row r="12683" spans="33:33">
      <c r="AG12683" s="10"/>
    </row>
    <row r="12684" spans="33:33">
      <c r="AG12684" s="10"/>
    </row>
    <row r="12685" spans="33:33">
      <c r="AG12685" s="10"/>
    </row>
    <row r="12686" spans="33:33">
      <c r="AG12686" s="10"/>
    </row>
    <row r="12687" spans="33:33">
      <c r="AG12687" s="10"/>
    </row>
    <row r="12688" spans="33:33">
      <c r="AG12688" s="10"/>
    </row>
    <row r="12689" spans="33:33">
      <c r="AG12689" s="10"/>
    </row>
    <row r="12690" spans="33:33">
      <c r="AG12690" s="10"/>
    </row>
    <row r="12691" spans="33:33">
      <c r="AG12691" s="10"/>
    </row>
    <row r="12692" spans="33:33">
      <c r="AG12692" s="10"/>
    </row>
    <row r="12693" spans="33:33">
      <c r="AG12693" s="10"/>
    </row>
    <row r="12694" spans="33:33">
      <c r="AG12694" s="10"/>
    </row>
    <row r="12695" spans="33:33">
      <c r="AG12695" s="10"/>
    </row>
    <row r="12696" spans="33:33">
      <c r="AG12696" s="10"/>
    </row>
    <row r="12697" spans="33:33">
      <c r="AG12697" s="10"/>
    </row>
    <row r="12698" spans="33:33">
      <c r="AG12698" s="10"/>
    </row>
    <row r="12699" spans="33:33">
      <c r="AG12699" s="10"/>
    </row>
    <row r="12700" spans="33:33">
      <c r="AG12700" s="10"/>
    </row>
    <row r="12701" spans="33:33">
      <c r="AG12701" s="10"/>
    </row>
    <row r="12702" spans="33:33">
      <c r="AG12702" s="10"/>
    </row>
    <row r="12703" spans="33:33">
      <c r="AG12703" s="10"/>
    </row>
    <row r="12704" spans="33:33">
      <c r="AG12704" s="10"/>
    </row>
    <row r="12705" spans="33:33">
      <c r="AG12705" s="10"/>
    </row>
    <row r="12706" spans="33:33">
      <c r="AG12706" s="10"/>
    </row>
    <row r="12707" spans="33:33">
      <c r="AG12707" s="10"/>
    </row>
    <row r="12708" spans="33:33">
      <c r="AG12708" s="10"/>
    </row>
    <row r="12709" spans="33:33">
      <c r="AG12709" s="10"/>
    </row>
    <row r="12710" spans="33:33">
      <c r="AG12710" s="10"/>
    </row>
    <row r="12711" spans="33:33">
      <c r="AG12711" s="10"/>
    </row>
    <row r="12712" spans="33:33">
      <c r="AG12712" s="10"/>
    </row>
    <row r="12713" spans="33:33">
      <c r="AG12713" s="10"/>
    </row>
    <row r="12714" spans="33:33">
      <c r="AG12714" s="10"/>
    </row>
    <row r="12715" spans="33:33">
      <c r="AG12715" s="10"/>
    </row>
    <row r="12716" spans="33:33">
      <c r="AG12716" s="10"/>
    </row>
    <row r="12717" spans="33:33">
      <c r="AG12717" s="10"/>
    </row>
    <row r="12718" spans="33:33">
      <c r="AG12718" s="10"/>
    </row>
    <row r="12719" spans="33:33">
      <c r="AG12719" s="10"/>
    </row>
    <row r="12720" spans="33:33">
      <c r="AG12720" s="10"/>
    </row>
    <row r="12721" spans="33:33">
      <c r="AG12721" s="10"/>
    </row>
    <row r="12722" spans="33:33">
      <c r="AG12722" s="10"/>
    </row>
    <row r="12723" spans="33:33">
      <c r="AG12723" s="10"/>
    </row>
    <row r="12724" spans="33:33">
      <c r="AG12724" s="10"/>
    </row>
    <row r="12725" spans="33:33">
      <c r="AG12725" s="10"/>
    </row>
    <row r="12726" spans="33:33">
      <c r="AG12726" s="10"/>
    </row>
    <row r="12727" spans="33:33">
      <c r="AG12727" s="10"/>
    </row>
    <row r="12728" spans="33:33">
      <c r="AG12728" s="10"/>
    </row>
    <row r="12729" spans="33:33">
      <c r="AG12729" s="10"/>
    </row>
    <row r="12730" spans="33:33">
      <c r="AG12730" s="10"/>
    </row>
    <row r="12731" spans="33:33">
      <c r="AG12731" s="10"/>
    </row>
    <row r="12732" spans="33:33">
      <c r="AG12732" s="10"/>
    </row>
    <row r="12733" spans="33:33">
      <c r="AG12733" s="10"/>
    </row>
    <row r="12734" spans="33:33">
      <c r="AG12734" s="10"/>
    </row>
    <row r="12735" spans="33:33">
      <c r="AG12735" s="10"/>
    </row>
    <row r="12736" spans="33:33">
      <c r="AG12736" s="10"/>
    </row>
    <row r="12737" spans="33:33">
      <c r="AG12737" s="10"/>
    </row>
    <row r="12738" spans="33:33">
      <c r="AG12738" s="10"/>
    </row>
    <row r="12739" spans="33:33">
      <c r="AG12739" s="10"/>
    </row>
    <row r="12740" spans="33:33">
      <c r="AG12740" s="10"/>
    </row>
    <row r="12741" spans="33:33">
      <c r="AG12741" s="10"/>
    </row>
    <row r="12742" spans="33:33">
      <c r="AG12742" s="10"/>
    </row>
    <row r="12743" spans="33:33">
      <c r="AG12743" s="10"/>
    </row>
    <row r="12744" spans="33:33">
      <c r="AG12744" s="10"/>
    </row>
    <row r="12745" spans="33:33">
      <c r="AG12745" s="10"/>
    </row>
    <row r="12746" spans="33:33">
      <c r="AG12746" s="10"/>
    </row>
    <row r="12747" spans="33:33">
      <c r="AG12747" s="10"/>
    </row>
    <row r="12748" spans="33:33">
      <c r="AG12748" s="10"/>
    </row>
    <row r="12749" spans="33:33">
      <c r="AG12749" s="10"/>
    </row>
    <row r="12750" spans="33:33">
      <c r="AG12750" s="10"/>
    </row>
    <row r="12751" spans="33:33">
      <c r="AG12751" s="10"/>
    </row>
    <row r="12752" spans="33:33">
      <c r="AG12752" s="10"/>
    </row>
    <row r="12753" spans="33:33">
      <c r="AG12753" s="10"/>
    </row>
    <row r="12754" spans="33:33">
      <c r="AG12754" s="10"/>
    </row>
    <row r="12755" spans="33:33">
      <c r="AG12755" s="10"/>
    </row>
    <row r="12756" spans="33:33">
      <c r="AG12756" s="10"/>
    </row>
    <row r="12757" spans="33:33">
      <c r="AG12757" s="10"/>
    </row>
    <row r="12758" spans="33:33">
      <c r="AG12758" s="10"/>
    </row>
    <row r="12759" spans="33:33">
      <c r="AG12759" s="10"/>
    </row>
    <row r="12760" spans="33:33">
      <c r="AG12760" s="10"/>
    </row>
    <row r="12761" spans="33:33">
      <c r="AG12761" s="10"/>
    </row>
    <row r="12762" spans="33:33">
      <c r="AG12762" s="10"/>
    </row>
    <row r="12763" spans="33:33">
      <c r="AG12763" s="10"/>
    </row>
    <row r="12764" spans="33:33">
      <c r="AG12764" s="10"/>
    </row>
    <row r="12765" spans="33:33">
      <c r="AG12765" s="10"/>
    </row>
    <row r="12766" spans="33:33">
      <c r="AG12766" s="10"/>
    </row>
    <row r="12767" spans="33:33">
      <c r="AG12767" s="10"/>
    </row>
    <row r="12768" spans="33:33">
      <c r="AG12768" s="10"/>
    </row>
    <row r="12769" spans="33:33">
      <c r="AG12769" s="10"/>
    </row>
    <row r="12770" spans="33:33">
      <c r="AG12770" s="10"/>
    </row>
    <row r="12771" spans="33:33">
      <c r="AG12771" s="10"/>
    </row>
    <row r="12772" spans="33:33">
      <c r="AG12772" s="10"/>
    </row>
    <row r="12773" spans="33:33">
      <c r="AG12773" s="10"/>
    </row>
    <row r="12774" spans="33:33">
      <c r="AG12774" s="10"/>
    </row>
    <row r="12775" spans="33:33">
      <c r="AG12775" s="10"/>
    </row>
    <row r="12776" spans="33:33">
      <c r="AG12776" s="10"/>
    </row>
    <row r="12777" spans="33:33">
      <c r="AG12777" s="10"/>
    </row>
    <row r="12778" spans="33:33">
      <c r="AG12778" s="10"/>
    </row>
    <row r="12779" spans="33:33">
      <c r="AG12779" s="10"/>
    </row>
    <row r="12780" spans="33:33">
      <c r="AG12780" s="10"/>
    </row>
    <row r="12781" spans="33:33">
      <c r="AG12781" s="10"/>
    </row>
    <row r="12782" spans="33:33">
      <c r="AG12782" s="10"/>
    </row>
    <row r="12783" spans="33:33">
      <c r="AG12783" s="10"/>
    </row>
    <row r="12784" spans="33:33">
      <c r="AG12784" s="10"/>
    </row>
    <row r="12785" spans="33:33">
      <c r="AG12785" s="10"/>
    </row>
    <row r="12786" spans="33:33">
      <c r="AG12786" s="10"/>
    </row>
    <row r="12787" spans="33:33">
      <c r="AG12787" s="10"/>
    </row>
    <row r="12788" spans="33:33">
      <c r="AG12788" s="10"/>
    </row>
    <row r="12789" spans="33:33">
      <c r="AG12789" s="10"/>
    </row>
    <row r="12790" spans="33:33">
      <c r="AG12790" s="10"/>
    </row>
    <row r="12791" spans="33:33">
      <c r="AG12791" s="10"/>
    </row>
    <row r="12792" spans="33:33">
      <c r="AG12792" s="10"/>
    </row>
    <row r="12793" spans="33:33">
      <c r="AG12793" s="10"/>
    </row>
    <row r="12794" spans="33:33">
      <c r="AG12794" s="10"/>
    </row>
    <row r="12795" spans="33:33">
      <c r="AG12795" s="10"/>
    </row>
    <row r="12796" spans="33:33">
      <c r="AG12796" s="10"/>
    </row>
    <row r="12797" spans="33:33">
      <c r="AG12797" s="10"/>
    </row>
    <row r="12798" spans="33:33">
      <c r="AG12798" s="10"/>
    </row>
    <row r="12799" spans="33:33">
      <c r="AG12799" s="10"/>
    </row>
    <row r="12800" spans="33:33">
      <c r="AG12800" s="10"/>
    </row>
    <row r="12801" spans="33:33">
      <c r="AG12801" s="10"/>
    </row>
    <row r="12802" spans="33:33">
      <c r="AG12802" s="10"/>
    </row>
    <row r="12803" spans="33:33">
      <c r="AG12803" s="10"/>
    </row>
    <row r="12804" spans="33:33">
      <c r="AG12804" s="10"/>
    </row>
    <row r="12805" spans="33:33">
      <c r="AG12805" s="10"/>
    </row>
    <row r="12806" spans="33:33">
      <c r="AG12806" s="10"/>
    </row>
    <row r="12807" spans="33:33">
      <c r="AG12807" s="10"/>
    </row>
    <row r="12808" spans="33:33">
      <c r="AG12808" s="10"/>
    </row>
    <row r="12809" spans="33:33">
      <c r="AG12809" s="10"/>
    </row>
    <row r="12810" spans="33:33">
      <c r="AG12810" s="10"/>
    </row>
    <row r="12811" spans="33:33">
      <c r="AG12811" s="10"/>
    </row>
    <row r="12812" spans="33:33">
      <c r="AG12812" s="10"/>
    </row>
    <row r="12813" spans="33:33">
      <c r="AG12813" s="10"/>
    </row>
    <row r="12814" spans="33:33">
      <c r="AG12814" s="10"/>
    </row>
    <row r="12815" spans="33:33">
      <c r="AG12815" s="10"/>
    </row>
    <row r="12816" spans="33:33">
      <c r="AG12816" s="10"/>
    </row>
    <row r="12817" spans="33:33">
      <c r="AG12817" s="10"/>
    </row>
    <row r="12818" spans="33:33">
      <c r="AG12818" s="10"/>
    </row>
    <row r="12819" spans="33:33">
      <c r="AG12819" s="10"/>
    </row>
    <row r="12820" spans="33:33">
      <c r="AG12820" s="10"/>
    </row>
    <row r="12821" spans="33:33">
      <c r="AG12821" s="10"/>
    </row>
    <row r="12822" spans="33:33">
      <c r="AG12822" s="10"/>
    </row>
    <row r="12823" spans="33:33">
      <c r="AG12823" s="10"/>
    </row>
    <row r="12824" spans="33:33">
      <c r="AG12824" s="10"/>
    </row>
    <row r="12825" spans="33:33">
      <c r="AG12825" s="10"/>
    </row>
    <row r="12826" spans="33:33">
      <c r="AG12826" s="10"/>
    </row>
    <row r="12827" spans="33:33">
      <c r="AG12827" s="10"/>
    </row>
    <row r="12828" spans="33:33">
      <c r="AG12828" s="10"/>
    </row>
    <row r="12829" spans="33:33">
      <c r="AG12829" s="10"/>
    </row>
    <row r="12830" spans="33:33">
      <c r="AG12830" s="10"/>
    </row>
    <row r="12831" spans="33:33">
      <c r="AG12831" s="10"/>
    </row>
    <row r="12832" spans="33:33">
      <c r="AG12832" s="10"/>
    </row>
    <row r="12833" spans="33:33">
      <c r="AG12833" s="10"/>
    </row>
    <row r="12834" spans="33:33">
      <c r="AG12834" s="10"/>
    </row>
    <row r="12835" spans="33:33">
      <c r="AG12835" s="10"/>
    </row>
    <row r="12836" spans="33:33">
      <c r="AG12836" s="10"/>
    </row>
    <row r="12837" spans="33:33">
      <c r="AG12837" s="10"/>
    </row>
    <row r="12838" spans="33:33">
      <c r="AG12838" s="10"/>
    </row>
    <row r="12839" spans="33:33">
      <c r="AG12839" s="10"/>
    </row>
    <row r="12840" spans="33:33">
      <c r="AG12840" s="10"/>
    </row>
    <row r="12841" spans="33:33">
      <c r="AG12841" s="10"/>
    </row>
    <row r="12842" spans="33:33">
      <c r="AG12842" s="10"/>
    </row>
    <row r="12843" spans="33:33">
      <c r="AG12843" s="10"/>
    </row>
    <row r="12844" spans="33:33">
      <c r="AG12844" s="10"/>
    </row>
    <row r="12845" spans="33:33">
      <c r="AG12845" s="10"/>
    </row>
    <row r="12846" spans="33:33">
      <c r="AG12846" s="10"/>
    </row>
    <row r="12847" spans="33:33">
      <c r="AG12847" s="10"/>
    </row>
    <row r="12848" spans="33:33">
      <c r="AG12848" s="10"/>
    </row>
    <row r="12849" spans="33:33">
      <c r="AG12849" s="10"/>
    </row>
    <row r="12850" spans="33:33">
      <c r="AG12850" s="10"/>
    </row>
    <row r="12851" spans="33:33">
      <c r="AG12851" s="10"/>
    </row>
    <row r="12852" spans="33:33">
      <c r="AG12852" s="10"/>
    </row>
    <row r="12853" spans="33:33">
      <c r="AG12853" s="10"/>
    </row>
    <row r="12854" spans="33:33">
      <c r="AG12854" s="10"/>
    </row>
    <row r="12855" spans="33:33">
      <c r="AG12855" s="10"/>
    </row>
    <row r="12856" spans="33:33">
      <c r="AG12856" s="10"/>
    </row>
    <row r="12857" spans="33:33">
      <c r="AG12857" s="10"/>
    </row>
    <row r="12858" spans="33:33">
      <c r="AG12858" s="10"/>
    </row>
    <row r="12859" spans="33:33">
      <c r="AG12859" s="10"/>
    </row>
    <row r="12860" spans="33:33">
      <c r="AG12860" s="10"/>
    </row>
    <row r="12861" spans="33:33">
      <c r="AG12861" s="10"/>
    </row>
    <row r="12862" spans="33:33">
      <c r="AG12862" s="10"/>
    </row>
    <row r="12863" spans="33:33">
      <c r="AG12863" s="10"/>
    </row>
    <row r="12864" spans="33:33">
      <c r="AG12864" s="10"/>
    </row>
    <row r="12865" spans="33:33">
      <c r="AG12865" s="10"/>
    </row>
    <row r="12866" spans="33:33">
      <c r="AG12866" s="10"/>
    </row>
    <row r="12867" spans="33:33">
      <c r="AG12867" s="10"/>
    </row>
    <row r="12868" spans="33:33">
      <c r="AG12868" s="10"/>
    </row>
    <row r="12869" spans="33:33">
      <c r="AG12869" s="10"/>
    </row>
    <row r="12870" spans="33:33">
      <c r="AG12870" s="10"/>
    </row>
    <row r="12871" spans="33:33">
      <c r="AG12871" s="10"/>
    </row>
    <row r="12872" spans="33:33">
      <c r="AG12872" s="10"/>
    </row>
    <row r="12873" spans="33:33">
      <c r="AG12873" s="10"/>
    </row>
    <row r="12874" spans="33:33">
      <c r="AG12874" s="10"/>
    </row>
    <row r="12875" spans="33:33">
      <c r="AG12875" s="10"/>
    </row>
    <row r="12876" spans="33:33">
      <c r="AG12876" s="10"/>
    </row>
    <row r="12877" spans="33:33">
      <c r="AG12877" s="10"/>
    </row>
    <row r="12878" spans="33:33">
      <c r="AG12878" s="10"/>
    </row>
    <row r="12879" spans="33:33">
      <c r="AG12879" s="10"/>
    </row>
    <row r="12880" spans="33:33">
      <c r="AG12880" s="10"/>
    </row>
    <row r="12881" spans="33:33">
      <c r="AG12881" s="10"/>
    </row>
    <row r="12882" spans="33:33">
      <c r="AG12882" s="10"/>
    </row>
    <row r="12883" spans="33:33">
      <c r="AG12883" s="10"/>
    </row>
    <row r="12884" spans="33:33">
      <c r="AG12884" s="10"/>
    </row>
    <row r="12885" spans="33:33">
      <c r="AG12885" s="10"/>
    </row>
    <row r="12886" spans="33:33">
      <c r="AG12886" s="10"/>
    </row>
    <row r="12887" spans="33:33">
      <c r="AG12887" s="10"/>
    </row>
    <row r="12888" spans="33:33">
      <c r="AG12888" s="10"/>
    </row>
    <row r="12889" spans="33:33">
      <c r="AG12889" s="10"/>
    </row>
    <row r="12890" spans="33:33">
      <c r="AG12890" s="10"/>
    </row>
    <row r="12891" spans="33:33">
      <c r="AG12891" s="10"/>
    </row>
    <row r="12892" spans="33:33">
      <c r="AG12892" s="10"/>
    </row>
    <row r="12893" spans="33:33">
      <c r="AG12893" s="10"/>
    </row>
    <row r="12894" spans="33:33">
      <c r="AG12894" s="10"/>
    </row>
    <row r="12895" spans="33:33">
      <c r="AG12895" s="10"/>
    </row>
    <row r="12896" spans="33:33">
      <c r="AG12896" s="10"/>
    </row>
    <row r="12897" spans="33:33">
      <c r="AG12897" s="10"/>
    </row>
    <row r="12898" spans="33:33">
      <c r="AG12898" s="10"/>
    </row>
    <row r="12899" spans="33:33">
      <c r="AG12899" s="10"/>
    </row>
    <row r="12900" spans="33:33">
      <c r="AG12900" s="10"/>
    </row>
    <row r="12901" spans="33:33">
      <c r="AG12901" s="10"/>
    </row>
    <row r="12902" spans="33:33">
      <c r="AG12902" s="10"/>
    </row>
    <row r="12903" spans="33:33">
      <c r="AG12903" s="10"/>
    </row>
    <row r="12904" spans="33:33">
      <c r="AG12904" s="10"/>
    </row>
    <row r="12905" spans="33:33">
      <c r="AG12905" s="10"/>
    </row>
    <row r="12906" spans="33:33">
      <c r="AG12906" s="10"/>
    </row>
    <row r="12907" spans="33:33">
      <c r="AG12907" s="10"/>
    </row>
    <row r="12908" spans="33:33">
      <c r="AG12908" s="10"/>
    </row>
    <row r="12909" spans="33:33">
      <c r="AG12909" s="10"/>
    </row>
    <row r="12910" spans="33:33">
      <c r="AG12910" s="10"/>
    </row>
    <row r="12911" spans="33:33">
      <c r="AG12911" s="10"/>
    </row>
    <row r="12912" spans="33:33">
      <c r="AG12912" s="10"/>
    </row>
    <row r="12913" spans="33:33">
      <c r="AG12913" s="10"/>
    </row>
    <row r="12914" spans="33:33">
      <c r="AG12914" s="10"/>
    </row>
    <row r="12915" spans="33:33">
      <c r="AG12915" s="10"/>
    </row>
    <row r="12916" spans="33:33">
      <c r="AG12916" s="10"/>
    </row>
    <row r="12917" spans="33:33">
      <c r="AG12917" s="10"/>
    </row>
    <row r="12918" spans="33:33">
      <c r="AG12918" s="10"/>
    </row>
    <row r="12919" spans="33:33">
      <c r="AG12919" s="10"/>
    </row>
    <row r="12920" spans="33:33">
      <c r="AG12920" s="10"/>
    </row>
    <row r="12921" spans="33:33">
      <c r="AG12921" s="10"/>
    </row>
    <row r="12922" spans="33:33">
      <c r="AG12922" s="10"/>
    </row>
    <row r="12923" spans="33:33">
      <c r="AG12923" s="10"/>
    </row>
    <row r="12924" spans="33:33">
      <c r="AG12924" s="10"/>
    </row>
    <row r="12925" spans="33:33">
      <c r="AG12925" s="10"/>
    </row>
    <row r="12926" spans="33:33">
      <c r="AG12926" s="10"/>
    </row>
    <row r="12927" spans="33:33">
      <c r="AG12927" s="10"/>
    </row>
    <row r="12928" spans="33:33">
      <c r="AG12928" s="10"/>
    </row>
    <row r="12929" spans="33:33">
      <c r="AG12929" s="10"/>
    </row>
    <row r="12930" spans="33:33">
      <c r="AG12930" s="10"/>
    </row>
    <row r="12931" spans="33:33">
      <c r="AG12931" s="10"/>
    </row>
    <row r="12932" spans="33:33">
      <c r="AG12932" s="10"/>
    </row>
    <row r="12933" spans="33:33">
      <c r="AG12933" s="10"/>
    </row>
    <row r="12934" spans="33:33">
      <c r="AG12934" s="10"/>
    </row>
    <row r="12935" spans="33:33">
      <c r="AG12935" s="10"/>
    </row>
    <row r="12936" spans="33:33">
      <c r="AG12936" s="10"/>
    </row>
    <row r="12937" spans="33:33">
      <c r="AG12937" s="10"/>
    </row>
    <row r="12938" spans="33:33">
      <c r="AG12938" s="10"/>
    </row>
    <row r="12939" spans="33:33">
      <c r="AG12939" s="10"/>
    </row>
    <row r="12940" spans="33:33">
      <c r="AG12940" s="10"/>
    </row>
    <row r="12941" spans="33:33">
      <c r="AG12941" s="10"/>
    </row>
    <row r="12942" spans="33:33">
      <c r="AG12942" s="10"/>
    </row>
    <row r="12943" spans="33:33">
      <c r="AG12943" s="10"/>
    </row>
    <row r="12944" spans="33:33">
      <c r="AG12944" s="10"/>
    </row>
    <row r="12945" spans="33:33">
      <c r="AG12945" s="10"/>
    </row>
    <row r="12946" spans="33:33">
      <c r="AG12946" s="10"/>
    </row>
    <row r="12947" spans="33:33">
      <c r="AG12947" s="10"/>
    </row>
    <row r="12948" spans="33:33">
      <c r="AG12948" s="10"/>
    </row>
    <row r="12949" spans="33:33">
      <c r="AG12949" s="10"/>
    </row>
    <row r="12950" spans="33:33">
      <c r="AG12950" s="10"/>
    </row>
    <row r="12951" spans="33:33">
      <c r="AG12951" s="10"/>
    </row>
    <row r="12952" spans="33:33">
      <c r="AG12952" s="10"/>
    </row>
    <row r="12953" spans="33:33">
      <c r="AG12953" s="10"/>
    </row>
    <row r="12954" spans="33:33">
      <c r="AG12954" s="10"/>
    </row>
    <row r="12955" spans="33:33">
      <c r="AG12955" s="10"/>
    </row>
    <row r="12956" spans="33:33">
      <c r="AG12956" s="10"/>
    </row>
    <row r="12957" spans="33:33">
      <c r="AG12957" s="10"/>
    </row>
    <row r="12958" spans="33:33">
      <c r="AG12958" s="10"/>
    </row>
    <row r="12959" spans="33:33">
      <c r="AG12959" s="10"/>
    </row>
    <row r="12960" spans="33:33">
      <c r="AG12960" s="10"/>
    </row>
    <row r="12961" spans="33:33">
      <c r="AG12961" s="10"/>
    </row>
    <row r="12962" spans="33:33">
      <c r="AG12962" s="10"/>
    </row>
    <row r="12963" spans="33:33">
      <c r="AG12963" s="10"/>
    </row>
    <row r="12964" spans="33:33">
      <c r="AG12964" s="10"/>
    </row>
    <row r="12965" spans="33:33">
      <c r="AG12965" s="10"/>
    </row>
    <row r="12966" spans="33:33">
      <c r="AG12966" s="10"/>
    </row>
    <row r="12967" spans="33:33">
      <c r="AG12967" s="10"/>
    </row>
    <row r="12968" spans="33:33">
      <c r="AG12968" s="10"/>
    </row>
    <row r="12969" spans="33:33">
      <c r="AG12969" s="10"/>
    </row>
    <row r="12970" spans="33:33">
      <c r="AG12970" s="10"/>
    </row>
    <row r="12971" spans="33:33">
      <c r="AG12971" s="10"/>
    </row>
    <row r="12972" spans="33:33">
      <c r="AG12972" s="10"/>
    </row>
    <row r="12973" spans="33:33">
      <c r="AG12973" s="10"/>
    </row>
    <row r="12974" spans="33:33">
      <c r="AG12974" s="10"/>
    </row>
    <row r="12975" spans="33:33">
      <c r="AG12975" s="10"/>
    </row>
    <row r="12976" spans="33:33">
      <c r="AG12976" s="10"/>
    </row>
    <row r="12977" spans="33:33">
      <c r="AG12977" s="10"/>
    </row>
    <row r="12978" spans="33:33">
      <c r="AG12978" s="10"/>
    </row>
    <row r="12979" spans="33:33">
      <c r="AG12979" s="10"/>
    </row>
    <row r="12980" spans="33:33">
      <c r="AG12980" s="10"/>
    </row>
    <row r="12981" spans="33:33">
      <c r="AG12981" s="10"/>
    </row>
    <row r="12982" spans="33:33">
      <c r="AG12982" s="10"/>
    </row>
    <row r="12983" spans="33:33">
      <c r="AG12983" s="10"/>
    </row>
    <row r="12984" spans="33:33">
      <c r="AG12984" s="10"/>
    </row>
    <row r="12985" spans="33:33">
      <c r="AG12985" s="10"/>
    </row>
    <row r="12986" spans="33:33">
      <c r="AG12986" s="10"/>
    </row>
    <row r="12987" spans="33:33">
      <c r="AG12987" s="10"/>
    </row>
    <row r="12988" spans="33:33">
      <c r="AG12988" s="10"/>
    </row>
    <row r="12989" spans="33:33">
      <c r="AG12989" s="10"/>
    </row>
    <row r="12990" spans="33:33">
      <c r="AG12990" s="10"/>
    </row>
    <row r="12991" spans="33:33">
      <c r="AG12991" s="10"/>
    </row>
    <row r="12992" spans="33:33">
      <c r="AG12992" s="10"/>
    </row>
    <row r="12993" spans="33:33">
      <c r="AG12993" s="10"/>
    </row>
    <row r="12994" spans="33:33">
      <c r="AG12994" s="10"/>
    </row>
    <row r="12995" spans="33:33">
      <c r="AG12995" s="10"/>
    </row>
    <row r="12996" spans="33:33">
      <c r="AG12996" s="10"/>
    </row>
    <row r="12997" spans="33:33">
      <c r="AG12997" s="10"/>
    </row>
    <row r="12998" spans="33:33">
      <c r="AG12998" s="10"/>
    </row>
    <row r="12999" spans="33:33">
      <c r="AG12999" s="10"/>
    </row>
    <row r="13000" spans="33:33">
      <c r="AG13000" s="10"/>
    </row>
    <row r="13001" spans="33:33">
      <c r="AG13001" s="10"/>
    </row>
    <row r="13002" spans="33:33">
      <c r="AG13002" s="10"/>
    </row>
    <row r="13003" spans="33:33">
      <c r="AG13003" s="10"/>
    </row>
    <row r="13004" spans="33:33">
      <c r="AG13004" s="10"/>
    </row>
    <row r="13005" spans="33:33">
      <c r="AG13005" s="10"/>
    </row>
    <row r="13006" spans="33:33">
      <c r="AG13006" s="10"/>
    </row>
    <row r="13007" spans="33:33">
      <c r="AG13007" s="10"/>
    </row>
    <row r="13008" spans="33:33">
      <c r="AG13008" s="10"/>
    </row>
    <row r="13009" spans="33:33">
      <c r="AG13009" s="10"/>
    </row>
    <row r="13010" spans="33:33">
      <c r="AG13010" s="10"/>
    </row>
    <row r="13011" spans="33:33">
      <c r="AG13011" s="10"/>
    </row>
    <row r="13012" spans="33:33">
      <c r="AG13012" s="10"/>
    </row>
    <row r="13013" spans="33:33">
      <c r="AG13013" s="10"/>
    </row>
    <row r="13014" spans="33:33">
      <c r="AG13014" s="10"/>
    </row>
    <row r="13015" spans="33:33">
      <c r="AG13015" s="10"/>
    </row>
    <row r="13016" spans="33:33">
      <c r="AG13016" s="10"/>
    </row>
    <row r="13017" spans="33:33">
      <c r="AG13017" s="10"/>
    </row>
    <row r="13018" spans="33:33">
      <c r="AG13018" s="10"/>
    </row>
    <row r="13019" spans="33:33">
      <c r="AG13019" s="10"/>
    </row>
    <row r="13020" spans="33:33">
      <c r="AG13020" s="10"/>
    </row>
    <row r="13021" spans="33:33">
      <c r="AG13021" s="10"/>
    </row>
    <row r="13022" spans="33:33">
      <c r="AG13022" s="10"/>
    </row>
    <row r="13023" spans="33:33">
      <c r="AG13023" s="10"/>
    </row>
    <row r="13024" spans="33:33">
      <c r="AG13024" s="10"/>
    </row>
    <row r="13025" spans="33:33">
      <c r="AG13025" s="10"/>
    </row>
    <row r="13026" spans="33:33">
      <c r="AG13026" s="10"/>
    </row>
    <row r="13027" spans="33:33">
      <c r="AG13027" s="10"/>
    </row>
    <row r="13028" spans="33:33">
      <c r="AG13028" s="10"/>
    </row>
    <row r="13029" spans="33:33">
      <c r="AG13029" s="10"/>
    </row>
    <row r="13030" spans="33:33">
      <c r="AG13030" s="10"/>
    </row>
    <row r="13031" spans="33:33">
      <c r="AG13031" s="10"/>
    </row>
    <row r="13032" spans="33:33">
      <c r="AG13032" s="10"/>
    </row>
    <row r="13033" spans="33:33">
      <c r="AG13033" s="10"/>
    </row>
    <row r="13034" spans="33:33">
      <c r="AG13034" s="10"/>
    </row>
    <row r="13035" spans="33:33">
      <c r="AG13035" s="10"/>
    </row>
    <row r="13036" spans="33:33">
      <c r="AG13036" s="10"/>
    </row>
    <row r="13037" spans="33:33">
      <c r="AG13037" s="10"/>
    </row>
    <row r="13038" spans="33:33">
      <c r="AG13038" s="10"/>
    </row>
    <row r="13039" spans="33:33">
      <c r="AG13039" s="10"/>
    </row>
    <row r="13040" spans="33:33">
      <c r="AG13040" s="10"/>
    </row>
    <row r="13041" spans="33:33">
      <c r="AG13041" s="10"/>
    </row>
    <row r="13042" spans="33:33">
      <c r="AG13042" s="10"/>
    </row>
    <row r="13043" spans="33:33">
      <c r="AG13043" s="10"/>
    </row>
    <row r="13044" spans="33:33">
      <c r="AG13044" s="10"/>
    </row>
    <row r="13045" spans="33:33">
      <c r="AG13045" s="10"/>
    </row>
    <row r="13046" spans="33:33">
      <c r="AG13046" s="10"/>
    </row>
    <row r="13047" spans="33:33">
      <c r="AG13047" s="10"/>
    </row>
    <row r="13048" spans="33:33">
      <c r="AG13048" s="10"/>
    </row>
    <row r="13049" spans="33:33">
      <c r="AG13049" s="10"/>
    </row>
    <row r="13050" spans="33:33">
      <c r="AG13050" s="10"/>
    </row>
    <row r="13051" spans="33:33">
      <c r="AG13051" s="10"/>
    </row>
    <row r="13052" spans="33:33">
      <c r="AG13052" s="10"/>
    </row>
    <row r="13053" spans="33:33">
      <c r="AG13053" s="10"/>
    </row>
    <row r="13054" spans="33:33">
      <c r="AG13054" s="10"/>
    </row>
    <row r="13055" spans="33:33">
      <c r="AG13055" s="10"/>
    </row>
    <row r="13056" spans="33:33">
      <c r="AG13056" s="10"/>
    </row>
    <row r="13057" spans="33:33">
      <c r="AG13057" s="10"/>
    </row>
    <row r="13058" spans="33:33">
      <c r="AG13058" s="10"/>
    </row>
    <row r="13059" spans="33:33">
      <c r="AG13059" s="10"/>
    </row>
    <row r="13060" spans="33:33">
      <c r="AG13060" s="10"/>
    </row>
    <row r="13061" spans="33:33">
      <c r="AG13061" s="10"/>
    </row>
    <row r="13062" spans="33:33">
      <c r="AG13062" s="10"/>
    </row>
    <row r="13063" spans="33:33">
      <c r="AG13063" s="10"/>
    </row>
    <row r="13064" spans="33:33">
      <c r="AG13064" s="10"/>
    </row>
    <row r="13065" spans="33:33">
      <c r="AG13065" s="10"/>
    </row>
    <row r="13066" spans="33:33">
      <c r="AG13066" s="10"/>
    </row>
    <row r="13067" spans="33:33">
      <c r="AG13067" s="10"/>
    </row>
    <row r="13068" spans="33:33">
      <c r="AG13068" s="10"/>
    </row>
    <row r="13069" spans="33:33">
      <c r="AG13069" s="10"/>
    </row>
    <row r="13070" spans="33:33">
      <c r="AG13070" s="10"/>
    </row>
    <row r="13071" spans="33:33">
      <c r="AG13071" s="10"/>
    </row>
    <row r="13072" spans="33:33">
      <c r="AG13072" s="10"/>
    </row>
    <row r="13073" spans="33:33">
      <c r="AG13073" s="10"/>
    </row>
    <row r="13074" spans="33:33">
      <c r="AG13074" s="10"/>
    </row>
    <row r="13075" spans="33:33">
      <c r="AG13075" s="10"/>
    </row>
    <row r="13076" spans="33:33">
      <c r="AG13076" s="10"/>
    </row>
    <row r="13077" spans="33:33">
      <c r="AG13077" s="10"/>
    </row>
    <row r="13078" spans="33:33">
      <c r="AG13078" s="10"/>
    </row>
    <row r="13079" spans="33:33">
      <c r="AG13079" s="10"/>
    </row>
    <row r="13080" spans="33:33">
      <c r="AG13080" s="10"/>
    </row>
    <row r="13081" spans="33:33">
      <c r="AG13081" s="10"/>
    </row>
    <row r="13082" spans="33:33">
      <c r="AG13082" s="10"/>
    </row>
    <row r="13083" spans="33:33">
      <c r="AG13083" s="10"/>
    </row>
    <row r="13084" spans="33:33">
      <c r="AG13084" s="10"/>
    </row>
    <row r="13085" spans="33:33">
      <c r="AG13085" s="10"/>
    </row>
    <row r="13086" spans="33:33">
      <c r="AG13086" s="10"/>
    </row>
    <row r="13087" spans="33:33">
      <c r="AG13087" s="10"/>
    </row>
    <row r="13088" spans="33:33">
      <c r="AG13088" s="10"/>
    </row>
    <row r="13089" spans="33:33">
      <c r="AG13089" s="10"/>
    </row>
    <row r="13090" spans="33:33">
      <c r="AG13090" s="10"/>
    </row>
    <row r="13091" spans="33:33">
      <c r="AG13091" s="10"/>
    </row>
    <row r="13092" spans="33:33">
      <c r="AG13092" s="10"/>
    </row>
    <row r="13093" spans="33:33">
      <c r="AG13093" s="10"/>
    </row>
    <row r="13094" spans="33:33">
      <c r="AG13094" s="10"/>
    </row>
    <row r="13095" spans="33:33">
      <c r="AG13095" s="10"/>
    </row>
    <row r="13096" spans="33:33">
      <c r="AG13096" s="10"/>
    </row>
    <row r="13097" spans="33:33">
      <c r="AG13097" s="10"/>
    </row>
    <row r="13098" spans="33:33">
      <c r="AG13098" s="10"/>
    </row>
    <row r="13099" spans="33:33">
      <c r="AG13099" s="10"/>
    </row>
    <row r="13100" spans="33:33">
      <c r="AG13100" s="10"/>
    </row>
    <row r="13101" spans="33:33">
      <c r="AG13101" s="10"/>
    </row>
    <row r="13102" spans="33:33">
      <c r="AG13102" s="10"/>
    </row>
    <row r="13103" spans="33:33">
      <c r="AG13103" s="10"/>
    </row>
    <row r="13104" spans="33:33">
      <c r="AG13104" s="10"/>
    </row>
    <row r="13105" spans="33:33">
      <c r="AG13105" s="10"/>
    </row>
    <row r="13106" spans="33:33">
      <c r="AG13106" s="10"/>
    </row>
    <row r="13107" spans="33:33">
      <c r="AG13107" s="10"/>
    </row>
    <row r="13108" spans="33:33">
      <c r="AG13108" s="10"/>
    </row>
    <row r="13109" spans="33:33">
      <c r="AG13109" s="10"/>
    </row>
    <row r="13110" spans="33:33">
      <c r="AG13110" s="10"/>
    </row>
    <row r="13111" spans="33:33">
      <c r="AG13111" s="10"/>
    </row>
    <row r="13112" spans="33:33">
      <c r="AG13112" s="10"/>
    </row>
    <row r="13113" spans="33:33">
      <c r="AG13113" s="10"/>
    </row>
    <row r="13114" spans="33:33">
      <c r="AG13114" s="10"/>
    </row>
    <row r="13115" spans="33:33">
      <c r="AG13115" s="10"/>
    </row>
    <row r="13116" spans="33:33">
      <c r="AG13116" s="10"/>
    </row>
    <row r="13117" spans="33:33">
      <c r="AG13117" s="10"/>
    </row>
    <row r="13118" spans="33:33">
      <c r="AG13118" s="10"/>
    </row>
    <row r="13119" spans="33:33">
      <c r="AG13119" s="10"/>
    </row>
    <row r="13120" spans="33:33">
      <c r="AG13120" s="10"/>
    </row>
    <row r="13121" spans="33:33">
      <c r="AG13121" s="10"/>
    </row>
    <row r="13122" spans="33:33">
      <c r="AG13122" s="10"/>
    </row>
    <row r="13123" spans="33:33">
      <c r="AG13123" s="10"/>
    </row>
    <row r="13124" spans="33:33">
      <c r="AG13124" s="10"/>
    </row>
    <row r="13125" spans="33:33">
      <c r="AG13125" s="10"/>
    </row>
    <row r="13126" spans="33:33">
      <c r="AG13126" s="10"/>
    </row>
    <row r="13127" spans="33:33">
      <c r="AG13127" s="10"/>
    </row>
    <row r="13128" spans="33:33">
      <c r="AG13128" s="10"/>
    </row>
    <row r="13129" spans="33:33">
      <c r="AG13129" s="10"/>
    </row>
    <row r="13130" spans="33:33">
      <c r="AG13130" s="10"/>
    </row>
    <row r="13131" spans="33:33">
      <c r="AG13131" s="10"/>
    </row>
    <row r="13132" spans="33:33">
      <c r="AG13132" s="10"/>
    </row>
    <row r="13133" spans="33:33">
      <c r="AG13133" s="10"/>
    </row>
    <row r="13134" spans="33:33">
      <c r="AG13134" s="10"/>
    </row>
    <row r="13135" spans="33:33">
      <c r="AG13135" s="10"/>
    </row>
    <row r="13136" spans="33:33">
      <c r="AG13136" s="10"/>
    </row>
    <row r="13137" spans="33:33">
      <c r="AG13137" s="10"/>
    </row>
    <row r="13138" spans="33:33">
      <c r="AG13138" s="10"/>
    </row>
    <row r="13139" spans="33:33">
      <c r="AG13139" s="10"/>
    </row>
    <row r="13140" spans="33:33">
      <c r="AG13140" s="10"/>
    </row>
    <row r="13141" spans="33:33">
      <c r="AG13141" s="10"/>
    </row>
    <row r="13142" spans="33:33">
      <c r="AG13142" s="10"/>
    </row>
    <row r="13143" spans="33:33">
      <c r="AG13143" s="10"/>
    </row>
    <row r="13144" spans="33:33">
      <c r="AG13144" s="10"/>
    </row>
    <row r="13145" spans="33:33">
      <c r="AG13145" s="10"/>
    </row>
    <row r="13146" spans="33:33">
      <c r="AG13146" s="10"/>
    </row>
    <row r="13147" spans="33:33">
      <c r="AG13147" s="10"/>
    </row>
    <row r="13148" spans="33:33">
      <c r="AG13148" s="10"/>
    </row>
    <row r="13149" spans="33:33">
      <c r="AG13149" s="10"/>
    </row>
    <row r="13150" spans="33:33">
      <c r="AG13150" s="10"/>
    </row>
    <row r="13151" spans="33:33">
      <c r="AG13151" s="10"/>
    </row>
    <row r="13152" spans="33:33">
      <c r="AG13152" s="10"/>
    </row>
    <row r="13153" spans="33:33">
      <c r="AG13153" s="10"/>
    </row>
    <row r="13154" spans="33:33">
      <c r="AG13154" s="10"/>
    </row>
    <row r="13155" spans="33:33">
      <c r="AG13155" s="10"/>
    </row>
    <row r="13156" spans="33:33">
      <c r="AG13156" s="10"/>
    </row>
    <row r="13157" spans="33:33">
      <c r="AG13157" s="10"/>
    </row>
    <row r="13158" spans="33:33">
      <c r="AG13158" s="10"/>
    </row>
    <row r="13159" spans="33:33">
      <c r="AG13159" s="10"/>
    </row>
    <row r="13160" spans="33:33">
      <c r="AG13160" s="10"/>
    </row>
    <row r="13161" spans="33:33">
      <c r="AG13161" s="10"/>
    </row>
    <row r="13162" spans="33:33">
      <c r="AG13162" s="10"/>
    </row>
    <row r="13163" spans="33:33">
      <c r="AG13163" s="10"/>
    </row>
    <row r="13164" spans="33:33">
      <c r="AG13164" s="10"/>
    </row>
    <row r="13165" spans="33:33">
      <c r="AG13165" s="10"/>
    </row>
    <row r="13166" spans="33:33">
      <c r="AG13166" s="10"/>
    </row>
    <row r="13167" spans="33:33">
      <c r="AG13167" s="10"/>
    </row>
    <row r="13168" spans="33:33">
      <c r="AG13168" s="10"/>
    </row>
    <row r="13169" spans="33:33">
      <c r="AG13169" s="10"/>
    </row>
    <row r="13170" spans="33:33">
      <c r="AG13170" s="10"/>
    </row>
    <row r="13171" spans="33:33">
      <c r="AG13171" s="10"/>
    </row>
    <row r="13172" spans="33:33">
      <c r="AG13172" s="10"/>
    </row>
    <row r="13173" spans="33:33">
      <c r="AG13173" s="10"/>
    </row>
    <row r="13174" spans="33:33">
      <c r="AG13174" s="10"/>
    </row>
    <row r="13175" spans="33:33">
      <c r="AG13175" s="10"/>
    </row>
    <row r="13176" spans="33:33">
      <c r="AG13176" s="10"/>
    </row>
    <row r="13177" spans="33:33">
      <c r="AG13177" s="10"/>
    </row>
    <row r="13178" spans="33:33">
      <c r="AG13178" s="10"/>
    </row>
    <row r="13179" spans="33:33">
      <c r="AG13179" s="10"/>
    </row>
    <row r="13180" spans="33:33">
      <c r="AG13180" s="10"/>
    </row>
    <row r="13181" spans="33:33">
      <c r="AG13181" s="10"/>
    </row>
    <row r="13182" spans="33:33">
      <c r="AG13182" s="10"/>
    </row>
    <row r="13183" spans="33:33">
      <c r="AG13183" s="10"/>
    </row>
    <row r="13184" spans="33:33">
      <c r="AG13184" s="10"/>
    </row>
    <row r="13185" spans="33:33">
      <c r="AG13185" s="10"/>
    </row>
    <row r="13186" spans="33:33">
      <c r="AG13186" s="10"/>
    </row>
    <row r="13187" spans="33:33">
      <c r="AG13187" s="10"/>
    </row>
    <row r="13188" spans="33:33">
      <c r="AG13188" s="10"/>
    </row>
    <row r="13189" spans="33:33">
      <c r="AG13189" s="10"/>
    </row>
    <row r="13190" spans="33:33">
      <c r="AG13190" s="10"/>
    </row>
    <row r="13191" spans="33:33">
      <c r="AG13191" s="10"/>
    </row>
    <row r="13192" spans="33:33">
      <c r="AG13192" s="10"/>
    </row>
    <row r="13193" spans="33:33">
      <c r="AG13193" s="10"/>
    </row>
    <row r="13194" spans="33:33">
      <c r="AG13194" s="10"/>
    </row>
    <row r="13195" spans="33:33">
      <c r="AG13195" s="10"/>
    </row>
    <row r="13196" spans="33:33">
      <c r="AG13196" s="10"/>
    </row>
    <row r="13197" spans="33:33">
      <c r="AG13197" s="10"/>
    </row>
    <row r="13198" spans="33:33">
      <c r="AG13198" s="10"/>
    </row>
    <row r="13199" spans="33:33">
      <c r="AG13199" s="10"/>
    </row>
    <row r="13200" spans="33:33">
      <c r="AG13200" s="10"/>
    </row>
    <row r="13201" spans="33:33">
      <c r="AG13201" s="10"/>
    </row>
    <row r="13202" spans="33:33">
      <c r="AG13202" s="10"/>
    </row>
    <row r="13203" spans="33:33">
      <c r="AG13203" s="10"/>
    </row>
    <row r="13204" spans="33:33">
      <c r="AG13204" s="10"/>
    </row>
    <row r="13205" spans="33:33">
      <c r="AG13205" s="10"/>
    </row>
    <row r="13206" spans="33:33">
      <c r="AG13206" s="10"/>
    </row>
    <row r="13207" spans="33:33">
      <c r="AG13207" s="10"/>
    </row>
    <row r="13208" spans="33:33">
      <c r="AG13208" s="10"/>
    </row>
    <row r="13209" spans="33:33">
      <c r="AG13209" s="10"/>
    </row>
    <row r="13210" spans="33:33">
      <c r="AG13210" s="10"/>
    </row>
    <row r="13211" spans="33:33">
      <c r="AG13211" s="10"/>
    </row>
    <row r="13212" spans="33:33">
      <c r="AG13212" s="10"/>
    </row>
    <row r="13213" spans="33:33">
      <c r="AG13213" s="10"/>
    </row>
    <row r="13214" spans="33:33">
      <c r="AG13214" s="10"/>
    </row>
    <row r="13215" spans="33:33">
      <c r="AG13215" s="10"/>
    </row>
    <row r="13216" spans="33:33">
      <c r="AG13216" s="10"/>
    </row>
    <row r="13217" spans="33:33">
      <c r="AG13217" s="10"/>
    </row>
    <row r="13218" spans="33:33">
      <c r="AG13218" s="10"/>
    </row>
    <row r="13219" spans="33:33">
      <c r="AG13219" s="10"/>
    </row>
    <row r="13220" spans="33:33">
      <c r="AG13220" s="10"/>
    </row>
    <row r="13221" spans="33:33">
      <c r="AG13221" s="10"/>
    </row>
    <row r="13222" spans="33:33">
      <c r="AG13222" s="10"/>
    </row>
    <row r="13223" spans="33:33">
      <c r="AG13223" s="10"/>
    </row>
    <row r="13224" spans="33:33">
      <c r="AG13224" s="10"/>
    </row>
    <row r="13225" spans="33:33">
      <c r="AG13225" s="10"/>
    </row>
    <row r="13226" spans="33:33">
      <c r="AG13226" s="10"/>
    </row>
    <row r="13227" spans="33:33">
      <c r="AG13227" s="10"/>
    </row>
    <row r="13228" spans="33:33">
      <c r="AG13228" s="10"/>
    </row>
    <row r="13229" spans="33:33">
      <c r="AG13229" s="10"/>
    </row>
    <row r="13230" spans="33:33">
      <c r="AG13230" s="10"/>
    </row>
    <row r="13231" spans="33:33">
      <c r="AG13231" s="10"/>
    </row>
    <row r="13232" spans="33:33">
      <c r="AG13232" s="10"/>
    </row>
    <row r="13233" spans="33:33">
      <c r="AG13233" s="10"/>
    </row>
    <row r="13234" spans="33:33">
      <c r="AG13234" s="10"/>
    </row>
    <row r="13235" spans="33:33">
      <c r="AG13235" s="10"/>
    </row>
    <row r="13236" spans="33:33">
      <c r="AG13236" s="10"/>
    </row>
    <row r="13237" spans="33:33">
      <c r="AG13237" s="10"/>
    </row>
    <row r="13238" spans="33:33">
      <c r="AG13238" s="10"/>
    </row>
    <row r="13239" spans="33:33">
      <c r="AG13239" s="10"/>
    </row>
    <row r="13240" spans="33:33">
      <c r="AG13240" s="10"/>
    </row>
    <row r="13241" spans="33:33">
      <c r="AG13241" s="10"/>
    </row>
    <row r="13242" spans="33:33">
      <c r="AG13242" s="10"/>
    </row>
    <row r="13243" spans="33:33">
      <c r="AG13243" s="10"/>
    </row>
    <row r="13244" spans="33:33">
      <c r="AG13244" s="10"/>
    </row>
    <row r="13245" spans="33:33">
      <c r="AG13245" s="10"/>
    </row>
    <row r="13246" spans="33:33">
      <c r="AG13246" s="10"/>
    </row>
    <row r="13247" spans="33:33">
      <c r="AG13247" s="10"/>
    </row>
    <row r="13248" spans="33:33">
      <c r="AG13248" s="10"/>
    </row>
    <row r="13249" spans="33:33">
      <c r="AG13249" s="10"/>
    </row>
    <row r="13250" spans="33:33">
      <c r="AG13250" s="10"/>
    </row>
    <row r="13251" spans="33:33">
      <c r="AG13251" s="10"/>
    </row>
    <row r="13252" spans="33:33">
      <c r="AG13252" s="10"/>
    </row>
    <row r="13253" spans="33:33">
      <c r="AG13253" s="10"/>
    </row>
    <row r="13254" spans="33:33">
      <c r="AG13254" s="10"/>
    </row>
    <row r="13255" spans="33:33">
      <c r="AG13255" s="10"/>
    </row>
    <row r="13256" spans="33:33">
      <c r="AG13256" s="10"/>
    </row>
    <row r="13257" spans="33:33">
      <c r="AG13257" s="10"/>
    </row>
    <row r="13258" spans="33:33">
      <c r="AG13258" s="10"/>
    </row>
    <row r="13259" spans="33:33">
      <c r="AG13259" s="10"/>
    </row>
    <row r="13260" spans="33:33">
      <c r="AG13260" s="10"/>
    </row>
    <row r="13261" spans="33:33">
      <c r="AG13261" s="10"/>
    </row>
    <row r="13262" spans="33:33">
      <c r="AG13262" s="10"/>
    </row>
    <row r="13263" spans="33:33">
      <c r="AG13263" s="10"/>
    </row>
    <row r="13264" spans="33:33">
      <c r="AG13264" s="10"/>
    </row>
    <row r="13265" spans="33:33">
      <c r="AG13265" s="10"/>
    </row>
    <row r="13266" spans="33:33">
      <c r="AG13266" s="10"/>
    </row>
    <row r="13267" spans="33:33">
      <c r="AG13267" s="10"/>
    </row>
    <row r="13268" spans="33:33">
      <c r="AG13268" s="10"/>
    </row>
    <row r="13269" spans="33:33">
      <c r="AG13269" s="10"/>
    </row>
    <row r="13270" spans="33:33">
      <c r="AG13270" s="10"/>
    </row>
    <row r="13271" spans="33:33">
      <c r="AG13271" s="10"/>
    </row>
    <row r="13272" spans="33:33">
      <c r="AG13272" s="10"/>
    </row>
    <row r="13273" spans="33:33">
      <c r="AG13273" s="10"/>
    </row>
    <row r="13274" spans="33:33">
      <c r="AG13274" s="10"/>
    </row>
    <row r="13275" spans="33:33">
      <c r="AG13275" s="10"/>
    </row>
    <row r="13276" spans="33:33">
      <c r="AG13276" s="10"/>
    </row>
    <row r="13277" spans="33:33">
      <c r="AG13277" s="10"/>
    </row>
    <row r="13278" spans="33:33">
      <c r="AG13278" s="10"/>
    </row>
    <row r="13279" spans="33:33">
      <c r="AG13279" s="10"/>
    </row>
    <row r="13280" spans="33:33">
      <c r="AG13280" s="10"/>
    </row>
    <row r="13281" spans="33:33">
      <c r="AG13281" s="10"/>
    </row>
    <row r="13282" spans="33:33">
      <c r="AG13282" s="10"/>
    </row>
    <row r="13283" spans="33:33">
      <c r="AG13283" s="10"/>
    </row>
    <row r="13284" spans="33:33">
      <c r="AG13284" s="10"/>
    </row>
    <row r="13285" spans="33:33">
      <c r="AG13285" s="10"/>
    </row>
    <row r="13286" spans="33:33">
      <c r="AG13286" s="10"/>
    </row>
    <row r="13287" spans="33:33">
      <c r="AG13287" s="10"/>
    </row>
    <row r="13288" spans="33:33">
      <c r="AG13288" s="10"/>
    </row>
    <row r="13289" spans="33:33">
      <c r="AG13289" s="10"/>
    </row>
    <row r="13290" spans="33:33">
      <c r="AG13290" s="10"/>
    </row>
    <row r="13291" spans="33:33">
      <c r="AG13291" s="10"/>
    </row>
    <row r="13292" spans="33:33">
      <c r="AG13292" s="10"/>
    </row>
    <row r="13293" spans="33:33">
      <c r="AG13293" s="10"/>
    </row>
    <row r="13294" spans="33:33">
      <c r="AG13294" s="10"/>
    </row>
    <row r="13295" spans="33:33">
      <c r="AG13295" s="10"/>
    </row>
    <row r="13296" spans="33:33">
      <c r="AG13296" s="10"/>
    </row>
    <row r="13297" spans="33:33">
      <c r="AG13297" s="10"/>
    </row>
    <row r="13298" spans="33:33">
      <c r="AG13298" s="10"/>
    </row>
    <row r="13299" spans="33:33">
      <c r="AG13299" s="10"/>
    </row>
    <row r="13300" spans="33:33">
      <c r="AG13300" s="10"/>
    </row>
    <row r="13301" spans="33:33">
      <c r="AG13301" s="10"/>
    </row>
    <row r="13302" spans="33:33">
      <c r="AG13302" s="10"/>
    </row>
    <row r="13303" spans="33:33">
      <c r="AG13303" s="10"/>
    </row>
    <row r="13304" spans="33:33">
      <c r="AG13304" s="10"/>
    </row>
    <row r="13305" spans="33:33">
      <c r="AG13305" s="10"/>
    </row>
    <row r="13306" spans="33:33">
      <c r="AG13306" s="10"/>
    </row>
    <row r="13307" spans="33:33">
      <c r="AG13307" s="10"/>
    </row>
    <row r="13308" spans="33:33">
      <c r="AG13308" s="10"/>
    </row>
    <row r="13309" spans="33:33">
      <c r="AG13309" s="10"/>
    </row>
    <row r="13310" spans="33:33">
      <c r="AG13310" s="10"/>
    </row>
    <row r="13311" spans="33:33">
      <c r="AG13311" s="10"/>
    </row>
    <row r="13312" spans="33:33">
      <c r="AG13312" s="10"/>
    </row>
    <row r="13313" spans="33:33">
      <c r="AG13313" s="10"/>
    </row>
    <row r="13314" spans="33:33">
      <c r="AG13314" s="10"/>
    </row>
    <row r="13315" spans="33:33">
      <c r="AG13315" s="10"/>
    </row>
    <row r="13316" spans="33:33">
      <c r="AG13316" s="10"/>
    </row>
    <row r="13317" spans="33:33">
      <c r="AG13317" s="10"/>
    </row>
    <row r="13318" spans="33:33">
      <c r="AG13318" s="10"/>
    </row>
    <row r="13319" spans="33:33">
      <c r="AG13319" s="10"/>
    </row>
    <row r="13320" spans="33:33">
      <c r="AG13320" s="10"/>
    </row>
    <row r="13321" spans="33:33">
      <c r="AG13321" s="10"/>
    </row>
    <row r="13322" spans="33:33">
      <c r="AG13322" s="10"/>
    </row>
    <row r="13323" spans="33:33">
      <c r="AG13323" s="10"/>
    </row>
    <row r="13324" spans="33:33">
      <c r="AG13324" s="10"/>
    </row>
    <row r="13325" spans="33:33">
      <c r="AG13325" s="10"/>
    </row>
    <row r="13326" spans="33:33">
      <c r="AG13326" s="10"/>
    </row>
    <row r="13327" spans="33:33">
      <c r="AG13327" s="10"/>
    </row>
    <row r="13328" spans="33:33">
      <c r="AG13328" s="10"/>
    </row>
    <row r="13329" spans="33:33">
      <c r="AG13329" s="10"/>
    </row>
    <row r="13330" spans="33:33">
      <c r="AG13330" s="10"/>
    </row>
    <row r="13331" spans="33:33">
      <c r="AG13331" s="10"/>
    </row>
    <row r="13332" spans="33:33">
      <c r="AG13332" s="10"/>
    </row>
    <row r="13333" spans="33:33">
      <c r="AG13333" s="10"/>
    </row>
    <row r="13334" spans="33:33">
      <c r="AG13334" s="10"/>
    </row>
    <row r="13335" spans="33:33">
      <c r="AG13335" s="10"/>
    </row>
    <row r="13336" spans="33:33">
      <c r="AG13336" s="10"/>
    </row>
    <row r="13337" spans="33:33">
      <c r="AG13337" s="10"/>
    </row>
    <row r="13338" spans="33:33">
      <c r="AG13338" s="10"/>
    </row>
    <row r="13339" spans="33:33">
      <c r="AG13339" s="10"/>
    </row>
    <row r="13340" spans="33:33">
      <c r="AG13340" s="10"/>
    </row>
    <row r="13341" spans="33:33">
      <c r="AG13341" s="10"/>
    </row>
    <row r="13342" spans="33:33">
      <c r="AG13342" s="10"/>
    </row>
    <row r="13343" spans="33:33">
      <c r="AG13343" s="10"/>
    </row>
    <row r="13344" spans="33:33">
      <c r="AG13344" s="10"/>
    </row>
    <row r="13345" spans="33:33">
      <c r="AG13345" s="10"/>
    </row>
    <row r="13346" spans="33:33">
      <c r="AG13346" s="10"/>
    </row>
    <row r="13347" spans="33:33">
      <c r="AG13347" s="10"/>
    </row>
    <row r="13348" spans="33:33">
      <c r="AG13348" s="10"/>
    </row>
    <row r="13349" spans="33:33">
      <c r="AG13349" s="10"/>
    </row>
    <row r="13350" spans="33:33">
      <c r="AG13350" s="10"/>
    </row>
    <row r="13351" spans="33:33">
      <c r="AG13351" s="10"/>
    </row>
    <row r="13352" spans="33:33">
      <c r="AG13352" s="10"/>
    </row>
    <row r="13353" spans="33:33">
      <c r="AG13353" s="10"/>
    </row>
    <row r="13354" spans="33:33">
      <c r="AG13354" s="10"/>
    </row>
    <row r="13355" spans="33:33">
      <c r="AG13355" s="10"/>
    </row>
    <row r="13356" spans="33:33">
      <c r="AG13356" s="10"/>
    </row>
    <row r="13357" spans="33:33">
      <c r="AG13357" s="10"/>
    </row>
    <row r="13358" spans="33:33">
      <c r="AG13358" s="10"/>
    </row>
    <row r="13359" spans="33:33">
      <c r="AG13359" s="10"/>
    </row>
    <row r="13360" spans="33:33">
      <c r="AG13360" s="10"/>
    </row>
    <row r="13361" spans="33:33">
      <c r="AG13361" s="10"/>
    </row>
    <row r="13362" spans="33:33">
      <c r="AG13362" s="10"/>
    </row>
    <row r="13363" spans="33:33">
      <c r="AG13363" s="10"/>
    </row>
    <row r="13364" spans="33:33">
      <c r="AG13364" s="10"/>
    </row>
    <row r="13365" spans="33:33">
      <c r="AG13365" s="10"/>
    </row>
    <row r="13366" spans="33:33">
      <c r="AG13366" s="10"/>
    </row>
    <row r="13367" spans="33:33">
      <c r="AG13367" s="10"/>
    </row>
    <row r="13368" spans="33:33">
      <c r="AG13368" s="10"/>
    </row>
    <row r="13369" spans="33:33">
      <c r="AG13369" s="10"/>
    </row>
    <row r="13370" spans="33:33">
      <c r="AG13370" s="10"/>
    </row>
    <row r="13371" spans="33:33">
      <c r="AG13371" s="10"/>
    </row>
    <row r="13372" spans="33:33">
      <c r="AG13372" s="10"/>
    </row>
    <row r="13373" spans="33:33">
      <c r="AG13373" s="10"/>
    </row>
    <row r="13374" spans="33:33">
      <c r="AG13374" s="10"/>
    </row>
    <row r="13375" spans="33:33">
      <c r="AG13375" s="10"/>
    </row>
    <row r="13376" spans="33:33">
      <c r="AG13376" s="10"/>
    </row>
    <row r="13377" spans="33:33">
      <c r="AG13377" s="10"/>
    </row>
    <row r="13378" spans="33:33">
      <c r="AG13378" s="10"/>
    </row>
    <row r="13379" spans="33:33">
      <c r="AG13379" s="10"/>
    </row>
    <row r="13380" spans="33:33">
      <c r="AG13380" s="10"/>
    </row>
    <row r="13381" spans="33:33">
      <c r="AG13381" s="10"/>
    </row>
    <row r="13382" spans="33:33">
      <c r="AG13382" s="10"/>
    </row>
    <row r="13383" spans="33:33">
      <c r="AG13383" s="10"/>
    </row>
    <row r="13384" spans="33:33">
      <c r="AG13384" s="10"/>
    </row>
    <row r="13385" spans="33:33">
      <c r="AG13385" s="10"/>
    </row>
    <row r="13386" spans="33:33">
      <c r="AG13386" s="10"/>
    </row>
    <row r="13387" spans="33:33">
      <c r="AG13387" s="10"/>
    </row>
    <row r="13388" spans="33:33">
      <c r="AG13388" s="10"/>
    </row>
    <row r="13389" spans="33:33">
      <c r="AG13389" s="10"/>
    </row>
    <row r="13390" spans="33:33">
      <c r="AG13390" s="10"/>
    </row>
    <row r="13391" spans="33:33">
      <c r="AG13391" s="10"/>
    </row>
    <row r="13392" spans="33:33">
      <c r="AG13392" s="10"/>
    </row>
    <row r="13393" spans="33:33">
      <c r="AG13393" s="10"/>
    </row>
    <row r="13394" spans="33:33">
      <c r="AG13394" s="10"/>
    </row>
    <row r="13395" spans="33:33">
      <c r="AG13395" s="10"/>
    </row>
    <row r="13396" spans="33:33">
      <c r="AG13396" s="10"/>
    </row>
    <row r="13397" spans="33:33">
      <c r="AG13397" s="10"/>
    </row>
    <row r="13398" spans="33:33">
      <c r="AG13398" s="10"/>
    </row>
    <row r="13399" spans="33:33">
      <c r="AG13399" s="10"/>
    </row>
    <row r="13400" spans="33:33">
      <c r="AG13400" s="10"/>
    </row>
    <row r="13401" spans="33:33">
      <c r="AG13401" s="10"/>
    </row>
    <row r="13402" spans="33:33">
      <c r="AG13402" s="10"/>
    </row>
    <row r="13403" spans="33:33">
      <c r="AG13403" s="10"/>
    </row>
    <row r="13404" spans="33:33">
      <c r="AG13404" s="10"/>
    </row>
    <row r="13405" spans="33:33">
      <c r="AG13405" s="10"/>
    </row>
    <row r="13406" spans="33:33">
      <c r="AG13406" s="10"/>
    </row>
    <row r="13407" spans="33:33">
      <c r="AG13407" s="10"/>
    </row>
    <row r="13408" spans="33:33">
      <c r="AG13408" s="10"/>
    </row>
    <row r="13409" spans="33:33">
      <c r="AG13409" s="10"/>
    </row>
    <row r="13410" spans="33:33">
      <c r="AG13410" s="10"/>
    </row>
    <row r="13411" spans="33:33">
      <c r="AG13411" s="10"/>
    </row>
    <row r="13412" spans="33:33">
      <c r="AG13412" s="10"/>
    </row>
    <row r="13413" spans="33:33">
      <c r="AG13413" s="10"/>
    </row>
    <row r="13414" spans="33:33">
      <c r="AG13414" s="10"/>
    </row>
    <row r="13415" spans="33:33">
      <c r="AG13415" s="10"/>
    </row>
    <row r="13416" spans="33:33">
      <c r="AG13416" s="10"/>
    </row>
    <row r="13417" spans="33:33">
      <c r="AG13417" s="10"/>
    </row>
    <row r="13418" spans="33:33">
      <c r="AG13418" s="10"/>
    </row>
    <row r="13419" spans="33:33">
      <c r="AG13419" s="10"/>
    </row>
    <row r="13420" spans="33:33">
      <c r="AG13420" s="10"/>
    </row>
    <row r="13421" spans="33:33">
      <c r="AG13421" s="10"/>
    </row>
    <row r="13422" spans="33:33">
      <c r="AG13422" s="10"/>
    </row>
    <row r="13423" spans="33:33">
      <c r="AG13423" s="10"/>
    </row>
    <row r="13424" spans="33:33">
      <c r="AG13424" s="10"/>
    </row>
    <row r="13425" spans="33:33">
      <c r="AG13425" s="10"/>
    </row>
    <row r="13426" spans="33:33">
      <c r="AG13426" s="10"/>
    </row>
    <row r="13427" spans="33:33">
      <c r="AG13427" s="10"/>
    </row>
    <row r="13428" spans="33:33">
      <c r="AG13428" s="10"/>
    </row>
    <row r="13429" spans="33:33">
      <c r="AG13429" s="10"/>
    </row>
    <row r="13430" spans="33:33">
      <c r="AG13430" s="10"/>
    </row>
    <row r="13431" spans="33:33">
      <c r="AG13431" s="10"/>
    </row>
    <row r="13432" spans="33:33">
      <c r="AG13432" s="10"/>
    </row>
    <row r="13433" spans="33:33">
      <c r="AG13433" s="10"/>
    </row>
    <row r="13434" spans="33:33">
      <c r="AG13434" s="10"/>
    </row>
    <row r="13435" spans="33:33">
      <c r="AG13435" s="10"/>
    </row>
    <row r="13436" spans="33:33">
      <c r="AG13436" s="10"/>
    </row>
    <row r="13437" spans="33:33">
      <c r="AG13437" s="10"/>
    </row>
    <row r="13438" spans="33:33">
      <c r="AG13438" s="10"/>
    </row>
    <row r="13439" spans="33:33">
      <c r="AG13439" s="10"/>
    </row>
    <row r="13440" spans="33:33">
      <c r="AG13440" s="10"/>
    </row>
    <row r="13441" spans="33:33">
      <c r="AG13441" s="10"/>
    </row>
    <row r="13442" spans="33:33">
      <c r="AG13442" s="10"/>
    </row>
    <row r="13443" spans="33:33">
      <c r="AG13443" s="10"/>
    </row>
    <row r="13444" spans="33:33">
      <c r="AG13444" s="10"/>
    </row>
    <row r="13445" spans="33:33">
      <c r="AG13445" s="10"/>
    </row>
    <row r="13446" spans="33:33">
      <c r="AG13446" s="10"/>
    </row>
    <row r="13447" spans="33:33">
      <c r="AG13447" s="10"/>
    </row>
    <row r="13448" spans="33:33">
      <c r="AG13448" s="10"/>
    </row>
    <row r="13449" spans="33:33">
      <c r="AG13449" s="10"/>
    </row>
    <row r="13450" spans="33:33">
      <c r="AG13450" s="10"/>
    </row>
    <row r="13451" spans="33:33">
      <c r="AG13451" s="10"/>
    </row>
    <row r="13452" spans="33:33">
      <c r="AG13452" s="10"/>
    </row>
    <row r="13453" spans="33:33">
      <c r="AG13453" s="10"/>
    </row>
    <row r="13454" spans="33:33">
      <c r="AG13454" s="10"/>
    </row>
    <row r="13455" spans="33:33">
      <c r="AG13455" s="10"/>
    </row>
    <row r="13456" spans="33:33">
      <c r="AG13456" s="10"/>
    </row>
    <row r="13457" spans="33:33">
      <c r="AG13457" s="10"/>
    </row>
    <row r="13458" spans="33:33">
      <c r="AG13458" s="10"/>
    </row>
    <row r="13459" spans="33:33">
      <c r="AG13459" s="10"/>
    </row>
    <row r="13460" spans="33:33">
      <c r="AG13460" s="10"/>
    </row>
    <row r="13461" spans="33:33">
      <c r="AG13461" s="10"/>
    </row>
    <row r="13462" spans="33:33">
      <c r="AG13462" s="10"/>
    </row>
    <row r="13463" spans="33:33">
      <c r="AG13463" s="10"/>
    </row>
    <row r="13464" spans="33:33">
      <c r="AG13464" s="10"/>
    </row>
    <row r="13465" spans="33:33">
      <c r="AG13465" s="10"/>
    </row>
    <row r="13466" spans="33:33">
      <c r="AG13466" s="10"/>
    </row>
    <row r="13467" spans="33:33">
      <c r="AG13467" s="10"/>
    </row>
    <row r="13468" spans="33:33">
      <c r="AG13468" s="10"/>
    </row>
    <row r="13469" spans="33:33">
      <c r="AG13469" s="10"/>
    </row>
    <row r="13470" spans="33:33">
      <c r="AG13470" s="10"/>
    </row>
    <row r="13471" spans="33:33">
      <c r="AG13471" s="10"/>
    </row>
    <row r="13472" spans="33:33">
      <c r="AG13472" s="10"/>
    </row>
    <row r="13473" spans="33:33">
      <c r="AG13473" s="10"/>
    </row>
    <row r="13474" spans="33:33">
      <c r="AG13474" s="10"/>
    </row>
    <row r="13475" spans="33:33">
      <c r="AG13475" s="10"/>
    </row>
    <row r="13476" spans="33:33">
      <c r="AG13476" s="10"/>
    </row>
    <row r="13477" spans="33:33">
      <c r="AG13477" s="10"/>
    </row>
    <row r="13478" spans="33:33">
      <c r="AG13478" s="10"/>
    </row>
    <row r="13479" spans="33:33">
      <c r="AG13479" s="10"/>
    </row>
    <row r="13480" spans="33:33">
      <c r="AG13480" s="10"/>
    </row>
    <row r="13481" spans="33:33">
      <c r="AG13481" s="10"/>
    </row>
    <row r="13482" spans="33:33">
      <c r="AG13482" s="10"/>
    </row>
    <row r="13483" spans="33:33">
      <c r="AG13483" s="10"/>
    </row>
    <row r="13484" spans="33:33">
      <c r="AG13484" s="10"/>
    </row>
    <row r="13485" spans="33:33">
      <c r="AG13485" s="10"/>
    </row>
    <row r="13486" spans="33:33">
      <c r="AG13486" s="10"/>
    </row>
    <row r="13487" spans="33:33">
      <c r="AG13487" s="10"/>
    </row>
    <row r="13488" spans="33:33">
      <c r="AG13488" s="10"/>
    </row>
    <row r="13489" spans="33:33">
      <c r="AG13489" s="10"/>
    </row>
    <row r="13490" spans="33:33">
      <c r="AG13490" s="10"/>
    </row>
    <row r="13491" spans="33:33">
      <c r="AG13491" s="10"/>
    </row>
    <row r="13492" spans="33:33">
      <c r="AG13492" s="10"/>
    </row>
    <row r="13493" spans="33:33">
      <c r="AG13493" s="10"/>
    </row>
    <row r="13494" spans="33:33">
      <c r="AG13494" s="10"/>
    </row>
    <row r="13495" spans="33:33">
      <c r="AG13495" s="10"/>
    </row>
    <row r="13496" spans="33:33">
      <c r="AG13496" s="10"/>
    </row>
    <row r="13497" spans="33:33">
      <c r="AG13497" s="10"/>
    </row>
    <row r="13498" spans="33:33">
      <c r="AG13498" s="10"/>
    </row>
    <row r="13499" spans="33:33">
      <c r="AG13499" s="10"/>
    </row>
    <row r="13500" spans="33:33">
      <c r="AG13500" s="10"/>
    </row>
    <row r="13501" spans="33:33">
      <c r="AG13501" s="10"/>
    </row>
    <row r="13502" spans="33:33">
      <c r="AG13502" s="10"/>
    </row>
    <row r="13503" spans="33:33">
      <c r="AG13503" s="10"/>
    </row>
    <row r="13504" spans="33:33">
      <c r="AG13504" s="10"/>
    </row>
    <row r="13505" spans="33:33">
      <c r="AG13505" s="10"/>
    </row>
    <row r="13506" spans="33:33">
      <c r="AG13506" s="10"/>
    </row>
    <row r="13507" spans="33:33">
      <c r="AG13507" s="10"/>
    </row>
    <row r="13508" spans="33:33">
      <c r="AG13508" s="10"/>
    </row>
    <row r="13509" spans="33:33">
      <c r="AG13509" s="10"/>
    </row>
    <row r="13510" spans="33:33">
      <c r="AG13510" s="10"/>
    </row>
    <row r="13511" spans="33:33">
      <c r="AG13511" s="10"/>
    </row>
    <row r="13512" spans="33:33">
      <c r="AG13512" s="10"/>
    </row>
    <row r="13513" spans="33:33">
      <c r="AG13513" s="10"/>
    </row>
    <row r="13514" spans="33:33">
      <c r="AG13514" s="10"/>
    </row>
    <row r="13515" spans="33:33">
      <c r="AG13515" s="10"/>
    </row>
    <row r="13516" spans="33:33">
      <c r="AG13516" s="10"/>
    </row>
    <row r="13517" spans="33:33">
      <c r="AG13517" s="10"/>
    </row>
    <row r="13518" spans="33:33">
      <c r="AG13518" s="10"/>
    </row>
    <row r="13519" spans="33:33">
      <c r="AG13519" s="10"/>
    </row>
    <row r="13520" spans="33:33">
      <c r="AG13520" s="10"/>
    </row>
    <row r="13521" spans="33:33">
      <c r="AG13521" s="10"/>
    </row>
    <row r="13522" spans="33:33">
      <c r="AG13522" s="10"/>
    </row>
    <row r="13523" spans="33:33">
      <c r="AG13523" s="10"/>
    </row>
    <row r="13524" spans="33:33">
      <c r="AG13524" s="10"/>
    </row>
    <row r="13525" spans="33:33">
      <c r="AG13525" s="10"/>
    </row>
    <row r="13526" spans="33:33">
      <c r="AG13526" s="10"/>
    </row>
    <row r="13527" spans="33:33">
      <c r="AG13527" s="10"/>
    </row>
    <row r="13528" spans="33:33">
      <c r="AG13528" s="10"/>
    </row>
    <row r="13529" spans="33:33">
      <c r="AG13529" s="10"/>
    </row>
    <row r="13530" spans="33:33">
      <c r="AG13530" s="10"/>
    </row>
    <row r="13531" spans="33:33">
      <c r="AG13531" s="10"/>
    </row>
    <row r="13532" spans="33:33">
      <c r="AG13532" s="10"/>
    </row>
    <row r="13533" spans="33:33">
      <c r="AG13533" s="10"/>
    </row>
    <row r="13534" spans="33:33">
      <c r="AG13534" s="10"/>
    </row>
    <row r="13535" spans="33:33">
      <c r="AG13535" s="10"/>
    </row>
    <row r="13536" spans="33:33">
      <c r="AG13536" s="10"/>
    </row>
    <row r="13537" spans="33:33">
      <c r="AG13537" s="10"/>
    </row>
    <row r="13538" spans="33:33">
      <c r="AG13538" s="10"/>
    </row>
    <row r="13539" spans="33:33">
      <c r="AG13539" s="10"/>
    </row>
    <row r="13540" spans="33:33">
      <c r="AG13540" s="10"/>
    </row>
    <row r="13541" spans="33:33">
      <c r="AG13541" s="10"/>
    </row>
    <row r="13542" spans="33:33">
      <c r="AG13542" s="10"/>
    </row>
    <row r="13543" spans="33:33">
      <c r="AG13543" s="10"/>
    </row>
    <row r="13544" spans="33:33">
      <c r="AG13544" s="10"/>
    </row>
    <row r="13545" spans="33:33">
      <c r="AG13545" s="10"/>
    </row>
    <row r="13546" spans="33:33">
      <c r="AG13546" s="10"/>
    </row>
    <row r="13547" spans="33:33">
      <c r="AG13547" s="10"/>
    </row>
    <row r="13548" spans="33:33">
      <c r="AG13548" s="10"/>
    </row>
    <row r="13549" spans="33:33">
      <c r="AG13549" s="10"/>
    </row>
    <row r="13550" spans="33:33">
      <c r="AG13550" s="10"/>
    </row>
    <row r="13551" spans="33:33">
      <c r="AG13551" s="10"/>
    </row>
    <row r="13552" spans="33:33">
      <c r="AG13552" s="10"/>
    </row>
    <row r="13553" spans="33:33">
      <c r="AG13553" s="10"/>
    </row>
    <row r="13554" spans="33:33">
      <c r="AG13554" s="10"/>
    </row>
    <row r="13555" spans="33:33">
      <c r="AG13555" s="10"/>
    </row>
    <row r="13556" spans="33:33">
      <c r="AG13556" s="10"/>
    </row>
    <row r="13557" spans="33:33">
      <c r="AG13557" s="10"/>
    </row>
    <row r="13558" spans="33:33">
      <c r="AG13558" s="10"/>
    </row>
    <row r="13559" spans="33:33">
      <c r="AG13559" s="10"/>
    </row>
    <row r="13560" spans="33:33">
      <c r="AG13560" s="10"/>
    </row>
    <row r="13561" spans="33:33">
      <c r="AG13561" s="10"/>
    </row>
    <row r="13562" spans="33:33">
      <c r="AG13562" s="10"/>
    </row>
    <row r="13563" spans="33:33">
      <c r="AG13563" s="10"/>
    </row>
    <row r="13564" spans="33:33">
      <c r="AG13564" s="10"/>
    </row>
    <row r="13565" spans="33:33">
      <c r="AG13565" s="10"/>
    </row>
    <row r="13566" spans="33:33">
      <c r="AG13566" s="10"/>
    </row>
    <row r="13567" spans="33:33">
      <c r="AG13567" s="10"/>
    </row>
    <row r="13568" spans="33:33">
      <c r="AG13568" s="10"/>
    </row>
    <row r="13569" spans="33:33">
      <c r="AG13569" s="10"/>
    </row>
    <row r="13570" spans="33:33">
      <c r="AG13570" s="10"/>
    </row>
    <row r="13571" spans="33:33">
      <c r="AG13571" s="10"/>
    </row>
    <row r="13572" spans="33:33">
      <c r="AG13572" s="10"/>
    </row>
    <row r="13573" spans="33:33">
      <c r="AG13573" s="10"/>
    </row>
    <row r="13574" spans="33:33">
      <c r="AG13574" s="10"/>
    </row>
    <row r="13575" spans="33:33">
      <c r="AG13575" s="10"/>
    </row>
    <row r="13576" spans="33:33">
      <c r="AG13576" s="10"/>
    </row>
    <row r="13577" spans="33:33">
      <c r="AG13577" s="10"/>
    </row>
    <row r="13578" spans="33:33">
      <c r="AG13578" s="10"/>
    </row>
    <row r="13579" spans="33:33">
      <c r="AG13579" s="10"/>
    </row>
    <row r="13580" spans="33:33">
      <c r="AG13580" s="10"/>
    </row>
    <row r="13581" spans="33:33">
      <c r="AG13581" s="10"/>
    </row>
    <row r="13582" spans="33:33">
      <c r="AG13582" s="10"/>
    </row>
    <row r="13583" spans="33:33">
      <c r="AG13583" s="10"/>
    </row>
    <row r="13584" spans="33:33">
      <c r="AG13584" s="10"/>
    </row>
    <row r="13585" spans="33:33">
      <c r="AG13585" s="10"/>
    </row>
    <row r="13586" spans="33:33">
      <c r="AG13586" s="10"/>
    </row>
    <row r="13587" spans="33:33">
      <c r="AG13587" s="10"/>
    </row>
    <row r="13588" spans="33:33">
      <c r="AG13588" s="10"/>
    </row>
    <row r="13589" spans="33:33">
      <c r="AG13589" s="10"/>
    </row>
    <row r="13590" spans="33:33">
      <c r="AG13590" s="10"/>
    </row>
    <row r="13591" spans="33:33">
      <c r="AG13591" s="10"/>
    </row>
    <row r="13592" spans="33:33">
      <c r="AG13592" s="10"/>
    </row>
    <row r="13593" spans="33:33">
      <c r="AG13593" s="10"/>
    </row>
    <row r="13594" spans="33:33">
      <c r="AG13594" s="10"/>
    </row>
    <row r="13595" spans="33:33">
      <c r="AG13595" s="10"/>
    </row>
    <row r="13596" spans="33:33">
      <c r="AG13596" s="10"/>
    </row>
    <row r="13597" spans="33:33">
      <c r="AG13597" s="10"/>
    </row>
    <row r="13598" spans="33:33">
      <c r="AG13598" s="10"/>
    </row>
    <row r="13599" spans="33:33">
      <c r="AG13599" s="10"/>
    </row>
    <row r="13600" spans="33:33">
      <c r="AG13600" s="10"/>
    </row>
    <row r="13601" spans="33:33">
      <c r="AG13601" s="10"/>
    </row>
    <row r="13602" spans="33:33">
      <c r="AG13602" s="10"/>
    </row>
    <row r="13603" spans="33:33">
      <c r="AG13603" s="10"/>
    </row>
    <row r="13604" spans="33:33">
      <c r="AG13604" s="10"/>
    </row>
    <row r="13605" spans="33:33">
      <c r="AG13605" s="10"/>
    </row>
    <row r="13606" spans="33:33">
      <c r="AG13606" s="10"/>
    </row>
    <row r="13607" spans="33:33">
      <c r="AG13607" s="10"/>
    </row>
    <row r="13608" spans="33:33">
      <c r="AG13608" s="10"/>
    </row>
    <row r="13609" spans="33:33">
      <c r="AG13609" s="10"/>
    </row>
    <row r="13610" spans="33:33">
      <c r="AG13610" s="10"/>
    </row>
    <row r="13611" spans="33:33">
      <c r="AG13611" s="10"/>
    </row>
    <row r="13612" spans="33:33">
      <c r="AG13612" s="10"/>
    </row>
    <row r="13613" spans="33:33">
      <c r="AG13613" s="10"/>
    </row>
    <row r="13614" spans="33:33">
      <c r="AG13614" s="10"/>
    </row>
    <row r="13615" spans="33:33">
      <c r="AG13615" s="10"/>
    </row>
    <row r="13616" spans="33:33">
      <c r="AG13616" s="10"/>
    </row>
    <row r="13617" spans="33:33">
      <c r="AG13617" s="10"/>
    </row>
    <row r="13618" spans="33:33">
      <c r="AG13618" s="10"/>
    </row>
    <row r="13619" spans="33:33">
      <c r="AG13619" s="10"/>
    </row>
    <row r="13620" spans="33:33">
      <c r="AG13620" s="10"/>
    </row>
    <row r="13621" spans="33:33">
      <c r="AG13621" s="10"/>
    </row>
    <row r="13622" spans="33:33">
      <c r="AG13622" s="10"/>
    </row>
    <row r="13623" spans="33:33">
      <c r="AG13623" s="10"/>
    </row>
    <row r="13624" spans="33:33">
      <c r="AG13624" s="10"/>
    </row>
    <row r="13625" spans="33:33">
      <c r="AG13625" s="10"/>
    </row>
    <row r="13626" spans="33:33">
      <c r="AG13626" s="10"/>
    </row>
    <row r="13627" spans="33:33">
      <c r="AG13627" s="10"/>
    </row>
    <row r="13628" spans="33:33">
      <c r="AG13628" s="10"/>
    </row>
    <row r="13629" spans="33:33">
      <c r="AG13629" s="10"/>
    </row>
    <row r="13630" spans="33:33">
      <c r="AG13630" s="10"/>
    </row>
    <row r="13631" spans="33:33">
      <c r="AG13631" s="10"/>
    </row>
    <row r="13632" spans="33:33">
      <c r="AG13632" s="10"/>
    </row>
    <row r="13633" spans="33:33">
      <c r="AG13633" s="10"/>
    </row>
    <row r="13634" spans="33:33">
      <c r="AG13634" s="10"/>
    </row>
    <row r="13635" spans="33:33">
      <c r="AG13635" s="10"/>
    </row>
    <row r="13636" spans="33:33">
      <c r="AG13636" s="10"/>
    </row>
    <row r="13637" spans="33:33">
      <c r="AG13637" s="10"/>
    </row>
    <row r="13638" spans="33:33">
      <c r="AG13638" s="10"/>
    </row>
    <row r="13639" spans="33:33">
      <c r="AG13639" s="10"/>
    </row>
    <row r="13640" spans="33:33">
      <c r="AG13640" s="10"/>
    </row>
    <row r="13641" spans="33:33">
      <c r="AG13641" s="10"/>
    </row>
    <row r="13642" spans="33:33">
      <c r="AG13642" s="10"/>
    </row>
    <row r="13643" spans="33:33">
      <c r="AG13643" s="10"/>
    </row>
    <row r="13644" spans="33:33">
      <c r="AG13644" s="10"/>
    </row>
    <row r="13645" spans="33:33">
      <c r="AG13645" s="10"/>
    </row>
    <row r="13646" spans="33:33">
      <c r="AG13646" s="10"/>
    </row>
    <row r="13647" spans="33:33">
      <c r="AG13647" s="10"/>
    </row>
    <row r="13648" spans="33:33">
      <c r="AG13648" s="10"/>
    </row>
    <row r="13649" spans="33:33">
      <c r="AG13649" s="10"/>
    </row>
    <row r="13650" spans="33:33">
      <c r="AG13650" s="10"/>
    </row>
    <row r="13651" spans="33:33">
      <c r="AG13651" s="10"/>
    </row>
    <row r="13652" spans="33:33">
      <c r="AG13652" s="10"/>
    </row>
    <row r="13653" spans="33:33">
      <c r="AG13653" s="10"/>
    </row>
    <row r="13654" spans="33:33">
      <c r="AG13654" s="10"/>
    </row>
    <row r="13655" spans="33:33">
      <c r="AG13655" s="10"/>
    </row>
    <row r="13656" spans="33:33">
      <c r="AG13656" s="10"/>
    </row>
    <row r="13657" spans="33:33">
      <c r="AG13657" s="10"/>
    </row>
    <row r="13658" spans="33:33">
      <c r="AG13658" s="10"/>
    </row>
    <row r="13659" spans="33:33">
      <c r="AG13659" s="10"/>
    </row>
    <row r="13660" spans="33:33">
      <c r="AG13660" s="10"/>
    </row>
    <row r="13661" spans="33:33">
      <c r="AG13661" s="10"/>
    </row>
    <row r="13662" spans="33:33">
      <c r="AG13662" s="10"/>
    </row>
    <row r="13663" spans="33:33">
      <c r="AG13663" s="10"/>
    </row>
    <row r="13664" spans="33:33">
      <c r="AG13664" s="10"/>
    </row>
    <row r="13665" spans="33:33">
      <c r="AG13665" s="10"/>
    </row>
    <row r="13666" spans="33:33">
      <c r="AG13666" s="10"/>
    </row>
    <row r="13667" spans="33:33">
      <c r="AG13667" s="10"/>
    </row>
    <row r="13668" spans="33:33">
      <c r="AG13668" s="10"/>
    </row>
    <row r="13669" spans="33:33">
      <c r="AG13669" s="10"/>
    </row>
    <row r="13670" spans="33:33">
      <c r="AG13670" s="10"/>
    </row>
    <row r="13671" spans="33:33">
      <c r="AG13671" s="10"/>
    </row>
    <row r="13672" spans="33:33">
      <c r="AG13672" s="10"/>
    </row>
    <row r="13673" spans="33:33">
      <c r="AG13673" s="10"/>
    </row>
    <row r="13674" spans="33:33">
      <c r="AG13674" s="10"/>
    </row>
    <row r="13675" spans="33:33">
      <c r="AG13675" s="10"/>
    </row>
    <row r="13676" spans="33:33">
      <c r="AG13676" s="10"/>
    </row>
    <row r="13677" spans="33:33">
      <c r="AG13677" s="10"/>
    </row>
    <row r="13678" spans="33:33">
      <c r="AG13678" s="10"/>
    </row>
    <row r="13679" spans="33:33">
      <c r="AG13679" s="10"/>
    </row>
    <row r="13680" spans="33:33">
      <c r="AG13680" s="10"/>
    </row>
    <row r="13681" spans="33:33">
      <c r="AG13681" s="10"/>
    </row>
    <row r="13682" spans="33:33">
      <c r="AG13682" s="10"/>
    </row>
    <row r="13683" spans="33:33">
      <c r="AG13683" s="10"/>
    </row>
    <row r="13684" spans="33:33">
      <c r="AG13684" s="10"/>
    </row>
    <row r="13685" spans="33:33">
      <c r="AG13685" s="10"/>
    </row>
    <row r="13686" spans="33:33">
      <c r="AG13686" s="10"/>
    </row>
    <row r="13687" spans="33:33">
      <c r="AG13687" s="10"/>
    </row>
    <row r="13688" spans="33:33">
      <c r="AG13688" s="10"/>
    </row>
    <row r="13689" spans="33:33">
      <c r="AG13689" s="10"/>
    </row>
    <row r="13690" spans="33:33">
      <c r="AG13690" s="10"/>
    </row>
    <row r="13691" spans="33:33">
      <c r="AG13691" s="10"/>
    </row>
    <row r="13692" spans="33:33">
      <c r="AG13692" s="10"/>
    </row>
    <row r="13693" spans="33:33">
      <c r="AG13693" s="10"/>
    </row>
    <row r="13694" spans="33:33">
      <c r="AG13694" s="10"/>
    </row>
    <row r="13695" spans="33:33">
      <c r="AG13695" s="10"/>
    </row>
    <row r="13696" spans="33:33">
      <c r="AG13696" s="10"/>
    </row>
    <row r="13697" spans="33:33">
      <c r="AG13697" s="10"/>
    </row>
    <row r="13698" spans="33:33">
      <c r="AG13698" s="10"/>
    </row>
    <row r="13699" spans="33:33">
      <c r="AG13699" s="10"/>
    </row>
    <row r="13700" spans="33:33">
      <c r="AG13700" s="10"/>
    </row>
    <row r="13701" spans="33:33">
      <c r="AG13701" s="10"/>
    </row>
    <row r="13702" spans="33:33">
      <c r="AG13702" s="10"/>
    </row>
    <row r="13703" spans="33:33">
      <c r="AG13703" s="10"/>
    </row>
    <row r="13704" spans="33:33">
      <c r="AG13704" s="10"/>
    </row>
    <row r="13705" spans="33:33">
      <c r="AG13705" s="10"/>
    </row>
    <row r="13706" spans="33:33">
      <c r="AG13706" s="10"/>
    </row>
    <row r="13707" spans="33:33">
      <c r="AG13707" s="10"/>
    </row>
    <row r="13708" spans="33:33">
      <c r="AG13708" s="10"/>
    </row>
    <row r="13709" spans="33:33">
      <c r="AG13709" s="10"/>
    </row>
    <row r="13710" spans="33:33">
      <c r="AG13710" s="10"/>
    </row>
    <row r="13711" spans="33:33">
      <c r="AG13711" s="10"/>
    </row>
    <row r="13712" spans="33:33">
      <c r="AG13712" s="10"/>
    </row>
    <row r="13713" spans="33:33">
      <c r="AG13713" s="10"/>
    </row>
    <row r="13714" spans="33:33">
      <c r="AG13714" s="10"/>
    </row>
    <row r="13715" spans="33:33">
      <c r="AG13715" s="10"/>
    </row>
    <row r="13716" spans="33:33">
      <c r="AG13716" s="10"/>
    </row>
    <row r="13717" spans="33:33">
      <c r="AG13717" s="10"/>
    </row>
    <row r="13718" spans="33:33">
      <c r="AG13718" s="10"/>
    </row>
    <row r="13719" spans="33:33">
      <c r="AG13719" s="10"/>
    </row>
    <row r="13720" spans="33:33">
      <c r="AG13720" s="10"/>
    </row>
    <row r="13721" spans="33:33">
      <c r="AG13721" s="10"/>
    </row>
    <row r="13722" spans="33:33">
      <c r="AG13722" s="10"/>
    </row>
    <row r="13723" spans="33:33">
      <c r="AG13723" s="10"/>
    </row>
    <row r="13724" spans="33:33">
      <c r="AG13724" s="10"/>
    </row>
    <row r="13725" spans="33:33">
      <c r="AG13725" s="10"/>
    </row>
    <row r="13726" spans="33:33">
      <c r="AG13726" s="10"/>
    </row>
    <row r="13727" spans="33:33">
      <c r="AG13727" s="10"/>
    </row>
    <row r="13728" spans="33:33">
      <c r="AG13728" s="10"/>
    </row>
    <row r="13729" spans="33:33">
      <c r="AG13729" s="10"/>
    </row>
    <row r="13730" spans="33:33">
      <c r="AG13730" s="10"/>
    </row>
    <row r="13731" spans="33:33">
      <c r="AG13731" s="10"/>
    </row>
    <row r="13732" spans="33:33">
      <c r="AG13732" s="10"/>
    </row>
    <row r="13733" spans="33:33">
      <c r="AG13733" s="10"/>
    </row>
    <row r="13734" spans="33:33">
      <c r="AG13734" s="10"/>
    </row>
    <row r="13735" spans="33:33">
      <c r="AG13735" s="10"/>
    </row>
    <row r="13736" spans="33:33">
      <c r="AG13736" s="10"/>
    </row>
    <row r="13737" spans="33:33">
      <c r="AG13737" s="10"/>
    </row>
    <row r="13738" spans="33:33">
      <c r="AG13738" s="10"/>
    </row>
    <row r="13739" spans="33:33">
      <c r="AG13739" s="10"/>
    </row>
    <row r="13740" spans="33:33">
      <c r="AG13740" s="10"/>
    </row>
    <row r="13741" spans="33:33">
      <c r="AG13741" s="10"/>
    </row>
    <row r="13742" spans="33:33">
      <c r="AG13742" s="10"/>
    </row>
    <row r="13743" spans="33:33">
      <c r="AG13743" s="10"/>
    </row>
    <row r="13744" spans="33:33">
      <c r="AG13744" s="10"/>
    </row>
    <row r="13745" spans="33:33">
      <c r="AG13745" s="10"/>
    </row>
    <row r="13746" spans="33:33">
      <c r="AG13746" s="10"/>
    </row>
    <row r="13747" spans="33:33">
      <c r="AG13747" s="10"/>
    </row>
    <row r="13748" spans="33:33">
      <c r="AG13748" s="10"/>
    </row>
    <row r="13749" spans="33:33">
      <c r="AG13749" s="10"/>
    </row>
    <row r="13750" spans="33:33">
      <c r="AG13750" s="10"/>
    </row>
    <row r="13751" spans="33:33">
      <c r="AG13751" s="10"/>
    </row>
    <row r="13752" spans="33:33">
      <c r="AG13752" s="10"/>
    </row>
    <row r="13753" spans="33:33">
      <c r="AG13753" s="10"/>
    </row>
    <row r="13754" spans="33:33">
      <c r="AG13754" s="10"/>
    </row>
    <row r="13755" spans="33:33">
      <c r="AG13755" s="10"/>
    </row>
    <row r="13756" spans="33:33">
      <c r="AG13756" s="10"/>
    </row>
    <row r="13757" spans="33:33">
      <c r="AG13757" s="10"/>
    </row>
    <row r="13758" spans="33:33">
      <c r="AG13758" s="10"/>
    </row>
    <row r="13759" spans="33:33">
      <c r="AG13759" s="10"/>
    </row>
    <row r="13760" spans="33:33">
      <c r="AG13760" s="10"/>
    </row>
    <row r="13761" spans="33:33">
      <c r="AG13761" s="10"/>
    </row>
    <row r="13762" spans="33:33">
      <c r="AG13762" s="10"/>
    </row>
    <row r="13763" spans="33:33">
      <c r="AG13763" s="10"/>
    </row>
    <row r="13764" spans="33:33">
      <c r="AG13764" s="10"/>
    </row>
    <row r="13765" spans="33:33">
      <c r="AG13765" s="10"/>
    </row>
    <row r="13766" spans="33:33">
      <c r="AG13766" s="10"/>
    </row>
    <row r="13767" spans="33:33">
      <c r="AG13767" s="10"/>
    </row>
    <row r="13768" spans="33:33">
      <c r="AG13768" s="10"/>
    </row>
    <row r="13769" spans="33:33">
      <c r="AG13769" s="10"/>
    </row>
    <row r="13770" spans="33:33">
      <c r="AG13770" s="10"/>
    </row>
    <row r="13771" spans="33:33">
      <c r="AG13771" s="10"/>
    </row>
    <row r="13772" spans="33:33">
      <c r="AG13772" s="10"/>
    </row>
    <row r="13773" spans="33:33">
      <c r="AG13773" s="10"/>
    </row>
    <row r="13774" spans="33:33">
      <c r="AG13774" s="10"/>
    </row>
    <row r="13775" spans="33:33">
      <c r="AG13775" s="10"/>
    </row>
    <row r="13776" spans="33:33">
      <c r="AG13776" s="10"/>
    </row>
    <row r="13777" spans="33:33">
      <c r="AG13777" s="10"/>
    </row>
    <row r="13778" spans="33:33">
      <c r="AG13778" s="10"/>
    </row>
    <row r="13779" spans="33:33">
      <c r="AG13779" s="10"/>
    </row>
    <row r="13780" spans="33:33">
      <c r="AG13780" s="10"/>
    </row>
    <row r="13781" spans="33:33">
      <c r="AG13781" s="10"/>
    </row>
    <row r="13782" spans="33:33">
      <c r="AG13782" s="10"/>
    </row>
    <row r="13783" spans="33:33">
      <c r="AG13783" s="10"/>
    </row>
    <row r="13784" spans="33:33">
      <c r="AG13784" s="10"/>
    </row>
    <row r="13785" spans="33:33">
      <c r="AG13785" s="10"/>
    </row>
    <row r="13786" spans="33:33">
      <c r="AG13786" s="10"/>
    </row>
    <row r="13787" spans="33:33">
      <c r="AG13787" s="10"/>
    </row>
    <row r="13788" spans="33:33">
      <c r="AG13788" s="10"/>
    </row>
    <row r="13789" spans="33:33">
      <c r="AG13789" s="10"/>
    </row>
    <row r="13790" spans="33:33">
      <c r="AG13790" s="10"/>
    </row>
    <row r="13791" spans="33:33">
      <c r="AG13791" s="10"/>
    </row>
    <row r="13792" spans="33:33">
      <c r="AG13792" s="10"/>
    </row>
    <row r="13793" spans="33:33">
      <c r="AG13793" s="10"/>
    </row>
    <row r="13794" spans="33:33">
      <c r="AG13794" s="10"/>
    </row>
    <row r="13795" spans="33:33">
      <c r="AG13795" s="10"/>
    </row>
    <row r="13796" spans="33:33">
      <c r="AG13796" s="10"/>
    </row>
    <row r="13797" spans="33:33">
      <c r="AG13797" s="10"/>
    </row>
    <row r="13798" spans="33:33">
      <c r="AG13798" s="10"/>
    </row>
    <row r="13799" spans="33:33">
      <c r="AG13799" s="10"/>
    </row>
    <row r="13800" spans="33:33">
      <c r="AG13800" s="10"/>
    </row>
    <row r="13801" spans="33:33">
      <c r="AG13801" s="10"/>
    </row>
    <row r="13802" spans="33:33">
      <c r="AG13802" s="10"/>
    </row>
    <row r="13803" spans="33:33">
      <c r="AG13803" s="10"/>
    </row>
    <row r="13804" spans="33:33">
      <c r="AG13804" s="10"/>
    </row>
    <row r="13805" spans="33:33">
      <c r="AG13805" s="10"/>
    </row>
    <row r="13806" spans="33:33">
      <c r="AG13806" s="10"/>
    </row>
    <row r="13807" spans="33:33">
      <c r="AG13807" s="10"/>
    </row>
    <row r="13808" spans="33:33">
      <c r="AG13808" s="10"/>
    </row>
    <row r="13809" spans="33:33">
      <c r="AG13809" s="10"/>
    </row>
    <row r="13810" spans="33:33">
      <c r="AG13810" s="10"/>
    </row>
    <row r="13811" spans="33:33">
      <c r="AG13811" s="10"/>
    </row>
    <row r="13812" spans="33:33">
      <c r="AG13812" s="10"/>
    </row>
    <row r="13813" spans="33:33">
      <c r="AG13813" s="10"/>
    </row>
    <row r="13814" spans="33:33">
      <c r="AG13814" s="10"/>
    </row>
    <row r="13815" spans="33:33">
      <c r="AG13815" s="10"/>
    </row>
    <row r="13816" spans="33:33">
      <c r="AG13816" s="10"/>
    </row>
    <row r="13817" spans="33:33">
      <c r="AG13817" s="10"/>
    </row>
    <row r="13818" spans="33:33">
      <c r="AG13818" s="10"/>
    </row>
    <row r="13819" spans="33:33">
      <c r="AG13819" s="10"/>
    </row>
    <row r="13820" spans="33:33">
      <c r="AG13820" s="10"/>
    </row>
    <row r="13821" spans="33:33">
      <c r="AG13821" s="10"/>
    </row>
    <row r="13822" spans="33:33">
      <c r="AG13822" s="10"/>
    </row>
    <row r="13823" spans="33:33">
      <c r="AG13823" s="10"/>
    </row>
    <row r="13824" spans="33:33">
      <c r="AG13824" s="10"/>
    </row>
    <row r="13825" spans="33:33">
      <c r="AG13825" s="10"/>
    </row>
    <row r="13826" spans="33:33">
      <c r="AG13826" s="10"/>
    </row>
    <row r="13827" spans="33:33">
      <c r="AG13827" s="10"/>
    </row>
    <row r="13828" spans="33:33">
      <c r="AG13828" s="10"/>
    </row>
    <row r="13829" spans="33:33">
      <c r="AG13829" s="10"/>
    </row>
    <row r="13830" spans="33:33">
      <c r="AG13830" s="10"/>
    </row>
    <row r="13831" spans="33:33">
      <c r="AG13831" s="10"/>
    </row>
    <row r="13832" spans="33:33">
      <c r="AG13832" s="10"/>
    </row>
    <row r="13833" spans="33:33">
      <c r="AG13833" s="10"/>
    </row>
    <row r="13834" spans="33:33">
      <c r="AG13834" s="10"/>
    </row>
    <row r="13835" spans="33:33">
      <c r="AG13835" s="10"/>
    </row>
    <row r="13836" spans="33:33">
      <c r="AG13836" s="10"/>
    </row>
    <row r="13837" spans="33:33">
      <c r="AG13837" s="10"/>
    </row>
    <row r="13838" spans="33:33">
      <c r="AG13838" s="10"/>
    </row>
    <row r="13839" spans="33:33">
      <c r="AG13839" s="10"/>
    </row>
    <row r="13840" spans="33:33">
      <c r="AG13840" s="10"/>
    </row>
    <row r="13841" spans="33:33">
      <c r="AG13841" s="10"/>
    </row>
    <row r="13842" spans="33:33">
      <c r="AG13842" s="10"/>
    </row>
    <row r="13843" spans="33:33">
      <c r="AG13843" s="10"/>
    </row>
    <row r="13844" spans="33:33">
      <c r="AG13844" s="10"/>
    </row>
    <row r="13845" spans="33:33">
      <c r="AG13845" s="10"/>
    </row>
    <row r="13846" spans="33:33">
      <c r="AG13846" s="10"/>
    </row>
    <row r="13847" spans="33:33">
      <c r="AG13847" s="10"/>
    </row>
    <row r="13848" spans="33:33">
      <c r="AG13848" s="10"/>
    </row>
    <row r="13849" spans="33:33">
      <c r="AG13849" s="10"/>
    </row>
    <row r="13850" spans="33:33">
      <c r="AG13850" s="10"/>
    </row>
    <row r="13851" spans="33:33">
      <c r="AG13851" s="10"/>
    </row>
    <row r="13852" spans="33:33">
      <c r="AG13852" s="10"/>
    </row>
    <row r="13853" spans="33:33">
      <c r="AG13853" s="10"/>
    </row>
    <row r="13854" spans="33:33">
      <c r="AG13854" s="10"/>
    </row>
    <row r="13855" spans="33:33">
      <c r="AG13855" s="10"/>
    </row>
    <row r="13856" spans="33:33">
      <c r="AG13856" s="10"/>
    </row>
    <row r="13857" spans="33:33">
      <c r="AG13857" s="10"/>
    </row>
    <row r="13858" spans="33:33">
      <c r="AG13858" s="10"/>
    </row>
    <row r="13859" spans="33:33">
      <c r="AG13859" s="10"/>
    </row>
    <row r="13860" spans="33:33">
      <c r="AG13860" s="10"/>
    </row>
    <row r="13861" spans="33:33">
      <c r="AG13861" s="10"/>
    </row>
    <row r="13862" spans="33:33">
      <c r="AG13862" s="10"/>
    </row>
    <row r="13863" spans="33:33">
      <c r="AG13863" s="10"/>
    </row>
    <row r="13864" spans="33:33">
      <c r="AG13864" s="10"/>
    </row>
    <row r="13865" spans="33:33">
      <c r="AG13865" s="10"/>
    </row>
    <row r="13866" spans="33:33">
      <c r="AG13866" s="10"/>
    </row>
    <row r="13867" spans="33:33">
      <c r="AG13867" s="10"/>
    </row>
    <row r="13868" spans="33:33">
      <c r="AG13868" s="10"/>
    </row>
    <row r="13869" spans="33:33">
      <c r="AG13869" s="10"/>
    </row>
    <row r="13870" spans="33:33">
      <c r="AG13870" s="10"/>
    </row>
    <row r="13871" spans="33:33">
      <c r="AG13871" s="10"/>
    </row>
    <row r="13872" spans="33:33">
      <c r="AG13872" s="10"/>
    </row>
    <row r="13873" spans="33:33">
      <c r="AG13873" s="10"/>
    </row>
    <row r="13874" spans="33:33">
      <c r="AG13874" s="10"/>
    </row>
    <row r="13875" spans="33:33">
      <c r="AG13875" s="10"/>
    </row>
    <row r="13876" spans="33:33">
      <c r="AG13876" s="10"/>
    </row>
    <row r="13877" spans="33:33">
      <c r="AG13877" s="10"/>
    </row>
    <row r="13878" spans="33:33">
      <c r="AG13878" s="10"/>
    </row>
    <row r="13879" spans="33:33">
      <c r="AG13879" s="10"/>
    </row>
    <row r="13880" spans="33:33">
      <c r="AG13880" s="10"/>
    </row>
    <row r="13881" spans="33:33">
      <c r="AG13881" s="10"/>
    </row>
    <row r="13882" spans="33:33">
      <c r="AG13882" s="10"/>
    </row>
    <row r="13883" spans="33:33">
      <c r="AG13883" s="10"/>
    </row>
    <row r="13884" spans="33:33">
      <c r="AG13884" s="10"/>
    </row>
    <row r="13885" spans="33:33">
      <c r="AG13885" s="10"/>
    </row>
    <row r="13886" spans="33:33">
      <c r="AG13886" s="10"/>
    </row>
    <row r="13887" spans="33:33">
      <c r="AG13887" s="10"/>
    </row>
    <row r="13888" spans="33:33">
      <c r="AG13888" s="10"/>
    </row>
    <row r="13889" spans="33:33">
      <c r="AG13889" s="10"/>
    </row>
    <row r="13890" spans="33:33">
      <c r="AG13890" s="10"/>
    </row>
    <row r="13891" spans="33:33">
      <c r="AG13891" s="10"/>
    </row>
    <row r="13892" spans="33:33">
      <c r="AG13892" s="10"/>
    </row>
    <row r="13893" spans="33:33">
      <c r="AG13893" s="10"/>
    </row>
    <row r="13894" spans="33:33">
      <c r="AG13894" s="10"/>
    </row>
    <row r="13895" spans="33:33">
      <c r="AG13895" s="10"/>
    </row>
    <row r="13896" spans="33:33">
      <c r="AG13896" s="10"/>
    </row>
    <row r="13897" spans="33:33">
      <c r="AG13897" s="10"/>
    </row>
    <row r="13898" spans="33:33">
      <c r="AG13898" s="10"/>
    </row>
    <row r="13899" spans="33:33">
      <c r="AG13899" s="10"/>
    </row>
    <row r="13900" spans="33:33">
      <c r="AG13900" s="10"/>
    </row>
    <row r="13901" spans="33:33">
      <c r="AG13901" s="10"/>
    </row>
    <row r="13902" spans="33:33">
      <c r="AG13902" s="10"/>
    </row>
    <row r="13903" spans="33:33">
      <c r="AG13903" s="10"/>
    </row>
    <row r="13904" spans="33:33">
      <c r="AG13904" s="10"/>
    </row>
    <row r="13905" spans="33:33">
      <c r="AG13905" s="10"/>
    </row>
    <row r="13906" spans="33:33">
      <c r="AG13906" s="10"/>
    </row>
    <row r="13907" spans="33:33">
      <c r="AG13907" s="10"/>
    </row>
    <row r="13908" spans="33:33">
      <c r="AG13908" s="10"/>
    </row>
    <row r="13909" spans="33:33">
      <c r="AG13909" s="10"/>
    </row>
    <row r="13910" spans="33:33">
      <c r="AG13910" s="10"/>
    </row>
    <row r="13911" spans="33:33">
      <c r="AG13911" s="10"/>
    </row>
    <row r="13912" spans="33:33">
      <c r="AG13912" s="10"/>
    </row>
    <row r="13913" spans="33:33">
      <c r="AG13913" s="10"/>
    </row>
    <row r="13914" spans="33:33">
      <c r="AG13914" s="10"/>
    </row>
    <row r="13915" spans="33:33">
      <c r="AG13915" s="10"/>
    </row>
    <row r="13916" spans="33:33">
      <c r="AG13916" s="10"/>
    </row>
    <row r="13917" spans="33:33">
      <c r="AG13917" s="10"/>
    </row>
    <row r="13918" spans="33:33">
      <c r="AG13918" s="10"/>
    </row>
    <row r="13919" spans="33:33">
      <c r="AG13919" s="10"/>
    </row>
    <row r="13920" spans="33:33">
      <c r="AG13920" s="10"/>
    </row>
    <row r="13921" spans="33:33">
      <c r="AG13921" s="10"/>
    </row>
    <row r="13922" spans="33:33">
      <c r="AG13922" s="10"/>
    </row>
    <row r="13923" spans="33:33">
      <c r="AG13923" s="10"/>
    </row>
    <row r="13924" spans="33:33">
      <c r="AG13924" s="10"/>
    </row>
    <row r="13925" spans="33:33">
      <c r="AG13925" s="10"/>
    </row>
    <row r="13926" spans="33:33">
      <c r="AG13926" s="10"/>
    </row>
    <row r="13927" spans="33:33">
      <c r="AG13927" s="10"/>
    </row>
    <row r="13928" spans="33:33">
      <c r="AG13928" s="10"/>
    </row>
    <row r="13929" spans="33:33">
      <c r="AG13929" s="10"/>
    </row>
    <row r="13930" spans="33:33">
      <c r="AG13930" s="10"/>
    </row>
    <row r="13931" spans="33:33">
      <c r="AG13931" s="10"/>
    </row>
    <row r="13932" spans="33:33">
      <c r="AG13932" s="10"/>
    </row>
    <row r="13933" spans="33:33">
      <c r="AG13933" s="10"/>
    </row>
    <row r="13934" spans="33:33">
      <c r="AG13934" s="10"/>
    </row>
    <row r="13935" spans="33:33">
      <c r="AG13935" s="10"/>
    </row>
    <row r="13936" spans="33:33">
      <c r="AG13936" s="10"/>
    </row>
    <row r="13937" spans="33:33">
      <c r="AG13937" s="10"/>
    </row>
    <row r="13938" spans="33:33">
      <c r="AG13938" s="10"/>
    </row>
    <row r="13939" spans="33:33">
      <c r="AG13939" s="10"/>
    </row>
    <row r="13940" spans="33:33">
      <c r="AG13940" s="10"/>
    </row>
    <row r="13941" spans="33:33">
      <c r="AG13941" s="10"/>
    </row>
    <row r="13942" spans="33:33">
      <c r="AG13942" s="10"/>
    </row>
    <row r="13943" spans="33:33">
      <c r="AG13943" s="10"/>
    </row>
    <row r="13944" spans="33:33">
      <c r="AG13944" s="10"/>
    </row>
    <row r="13945" spans="33:33">
      <c r="AG13945" s="10"/>
    </row>
    <row r="13946" spans="33:33">
      <c r="AG13946" s="10"/>
    </row>
    <row r="13947" spans="33:33">
      <c r="AG13947" s="10"/>
    </row>
    <row r="13948" spans="33:33">
      <c r="AG13948" s="10"/>
    </row>
    <row r="13949" spans="33:33">
      <c r="AG13949" s="10"/>
    </row>
    <row r="13950" spans="33:33">
      <c r="AG13950" s="10"/>
    </row>
    <row r="13951" spans="33:33">
      <c r="AG13951" s="10"/>
    </row>
    <row r="13952" spans="33:33">
      <c r="AG13952" s="10"/>
    </row>
    <row r="13953" spans="33:33">
      <c r="AG13953" s="10"/>
    </row>
    <row r="13954" spans="33:33">
      <c r="AG13954" s="10"/>
    </row>
    <row r="13955" spans="33:33">
      <c r="AG13955" s="10"/>
    </row>
    <row r="13956" spans="33:33">
      <c r="AG13956" s="10"/>
    </row>
    <row r="13957" spans="33:33">
      <c r="AG13957" s="10"/>
    </row>
    <row r="13958" spans="33:33">
      <c r="AG13958" s="10"/>
    </row>
    <row r="13959" spans="33:33">
      <c r="AG13959" s="10"/>
    </row>
    <row r="13960" spans="33:33">
      <c r="AG13960" s="10"/>
    </row>
    <row r="13961" spans="33:33">
      <c r="AG13961" s="10"/>
    </row>
    <row r="13962" spans="33:33">
      <c r="AG13962" s="10"/>
    </row>
    <row r="13963" spans="33:33">
      <c r="AG13963" s="10"/>
    </row>
    <row r="13964" spans="33:33">
      <c r="AG13964" s="10"/>
    </row>
    <row r="13965" spans="33:33">
      <c r="AG13965" s="10"/>
    </row>
    <row r="13966" spans="33:33">
      <c r="AG13966" s="10"/>
    </row>
    <row r="13967" spans="33:33">
      <c r="AG13967" s="10"/>
    </row>
    <row r="13968" spans="33:33">
      <c r="AG13968" s="10"/>
    </row>
    <row r="13969" spans="33:33">
      <c r="AG13969" s="10"/>
    </row>
    <row r="13970" spans="33:33">
      <c r="AG13970" s="10"/>
    </row>
    <row r="13971" spans="33:33">
      <c r="AG13971" s="10"/>
    </row>
    <row r="13972" spans="33:33">
      <c r="AG13972" s="10"/>
    </row>
    <row r="13973" spans="33:33">
      <c r="AG13973" s="10"/>
    </row>
    <row r="13974" spans="33:33">
      <c r="AG13974" s="10"/>
    </row>
    <row r="13975" spans="33:33">
      <c r="AG13975" s="10"/>
    </row>
    <row r="13976" spans="33:33">
      <c r="AG13976" s="10"/>
    </row>
    <row r="13977" spans="33:33">
      <c r="AG13977" s="10"/>
    </row>
    <row r="13978" spans="33:33">
      <c r="AG13978" s="10"/>
    </row>
    <row r="13979" spans="33:33">
      <c r="AG13979" s="10"/>
    </row>
    <row r="13980" spans="33:33">
      <c r="AG13980" s="10"/>
    </row>
    <row r="13981" spans="33:33">
      <c r="AG13981" s="10"/>
    </row>
    <row r="13982" spans="33:33">
      <c r="AG13982" s="10"/>
    </row>
    <row r="13983" spans="33:33">
      <c r="AG13983" s="10"/>
    </row>
    <row r="13984" spans="33:33">
      <c r="AG13984" s="10"/>
    </row>
    <row r="13985" spans="33:33">
      <c r="AG13985" s="10"/>
    </row>
    <row r="13986" spans="33:33">
      <c r="AG13986" s="10"/>
    </row>
    <row r="13987" spans="33:33">
      <c r="AG13987" s="10"/>
    </row>
    <row r="13988" spans="33:33">
      <c r="AG13988" s="10"/>
    </row>
    <row r="13989" spans="33:33">
      <c r="AG13989" s="10"/>
    </row>
    <row r="13990" spans="33:33">
      <c r="AG13990" s="10"/>
    </row>
    <row r="13991" spans="33:33">
      <c r="AG13991" s="10"/>
    </row>
    <row r="13992" spans="33:33">
      <c r="AG13992" s="10"/>
    </row>
    <row r="13993" spans="33:33">
      <c r="AG13993" s="10"/>
    </row>
    <row r="13994" spans="33:33">
      <c r="AG13994" s="10"/>
    </row>
    <row r="13995" spans="33:33">
      <c r="AG13995" s="10"/>
    </row>
    <row r="13996" spans="33:33">
      <c r="AG13996" s="10"/>
    </row>
    <row r="13997" spans="33:33">
      <c r="AG13997" s="10"/>
    </row>
    <row r="13998" spans="33:33">
      <c r="AG13998" s="10"/>
    </row>
    <row r="13999" spans="33:33">
      <c r="AG13999" s="10"/>
    </row>
    <row r="14000" spans="33:33">
      <c r="AG14000" s="10"/>
    </row>
    <row r="14001" spans="33:33">
      <c r="AG14001" s="10"/>
    </row>
    <row r="14002" spans="33:33">
      <c r="AG14002" s="10"/>
    </row>
    <row r="14003" spans="33:33">
      <c r="AG14003" s="10"/>
    </row>
    <row r="14004" spans="33:33">
      <c r="AG14004" s="10"/>
    </row>
    <row r="14005" spans="33:33">
      <c r="AG14005" s="10"/>
    </row>
    <row r="14006" spans="33:33">
      <c r="AG14006" s="10"/>
    </row>
    <row r="14007" spans="33:33">
      <c r="AG14007" s="10"/>
    </row>
    <row r="14008" spans="33:33">
      <c r="AG14008" s="10"/>
    </row>
    <row r="14009" spans="33:33">
      <c r="AG14009" s="10"/>
    </row>
    <row r="14010" spans="33:33">
      <c r="AG14010" s="10"/>
    </row>
    <row r="14011" spans="33:33">
      <c r="AG14011" s="10"/>
    </row>
    <row r="14012" spans="33:33">
      <c r="AG14012" s="10"/>
    </row>
    <row r="14013" spans="33:33">
      <c r="AG14013" s="10"/>
    </row>
    <row r="14014" spans="33:33">
      <c r="AG14014" s="10"/>
    </row>
    <row r="14015" spans="33:33">
      <c r="AG14015" s="10"/>
    </row>
    <row r="14016" spans="33:33">
      <c r="AG14016" s="10"/>
    </row>
    <row r="14017" spans="33:33">
      <c r="AG14017" s="10"/>
    </row>
    <row r="14018" spans="33:33">
      <c r="AG14018" s="10"/>
    </row>
    <row r="14019" spans="33:33">
      <c r="AG14019" s="10"/>
    </row>
    <row r="14020" spans="33:33">
      <c r="AG14020" s="10"/>
    </row>
    <row r="14021" spans="33:33">
      <c r="AG14021" s="10"/>
    </row>
    <row r="14022" spans="33:33">
      <c r="AG14022" s="10"/>
    </row>
    <row r="14023" spans="33:33">
      <c r="AG14023" s="10"/>
    </row>
    <row r="14024" spans="33:33">
      <c r="AG14024" s="10"/>
    </row>
    <row r="14025" spans="33:33">
      <c r="AG14025" s="10"/>
    </row>
    <row r="14026" spans="33:33">
      <c r="AG14026" s="10"/>
    </row>
    <row r="14027" spans="33:33">
      <c r="AG14027" s="10"/>
    </row>
    <row r="14028" spans="33:33">
      <c r="AG14028" s="10"/>
    </row>
    <row r="14029" spans="33:33">
      <c r="AG14029" s="10"/>
    </row>
    <row r="14030" spans="33:33">
      <c r="AG14030" s="10"/>
    </row>
    <row r="14031" spans="33:33">
      <c r="AG14031" s="10"/>
    </row>
    <row r="14032" spans="33:33">
      <c r="AG14032" s="10"/>
    </row>
    <row r="14033" spans="33:33">
      <c r="AG14033" s="10"/>
    </row>
    <row r="14034" spans="33:33">
      <c r="AG14034" s="10"/>
    </row>
    <row r="14035" spans="33:33">
      <c r="AG14035" s="10"/>
    </row>
    <row r="14036" spans="33:33">
      <c r="AG14036" s="10"/>
    </row>
    <row r="14037" spans="33:33">
      <c r="AG14037" s="10"/>
    </row>
    <row r="14038" spans="33:33">
      <c r="AG14038" s="10"/>
    </row>
    <row r="14039" spans="33:33">
      <c r="AG14039" s="10"/>
    </row>
    <row r="14040" spans="33:33">
      <c r="AG14040" s="10"/>
    </row>
    <row r="14041" spans="33:33">
      <c r="AG14041" s="10"/>
    </row>
    <row r="14042" spans="33:33">
      <c r="AG14042" s="10"/>
    </row>
    <row r="14043" spans="33:33">
      <c r="AG14043" s="10"/>
    </row>
    <row r="14044" spans="33:33">
      <c r="AG14044" s="10"/>
    </row>
    <row r="14045" spans="33:33">
      <c r="AG14045" s="10"/>
    </row>
    <row r="14046" spans="33:33">
      <c r="AG14046" s="10"/>
    </row>
    <row r="14047" spans="33:33">
      <c r="AG14047" s="10"/>
    </row>
    <row r="14048" spans="33:33">
      <c r="AG14048" s="10"/>
    </row>
    <row r="14049" spans="33:33">
      <c r="AG14049" s="10"/>
    </row>
    <row r="14050" spans="33:33">
      <c r="AG14050" s="10"/>
    </row>
    <row r="14051" spans="33:33">
      <c r="AG14051" s="10"/>
    </row>
    <row r="14052" spans="33:33">
      <c r="AG14052" s="10"/>
    </row>
    <row r="14053" spans="33:33">
      <c r="AG14053" s="10"/>
    </row>
    <row r="14054" spans="33:33">
      <c r="AG14054" s="10"/>
    </row>
    <row r="14055" spans="33:33">
      <c r="AG14055" s="10"/>
    </row>
    <row r="14056" spans="33:33">
      <c r="AG14056" s="10"/>
    </row>
    <row r="14057" spans="33:33">
      <c r="AG14057" s="10"/>
    </row>
    <row r="14058" spans="33:33">
      <c r="AG14058" s="10"/>
    </row>
    <row r="14059" spans="33:33">
      <c r="AG14059" s="10"/>
    </row>
    <row r="14060" spans="33:33">
      <c r="AG14060" s="10"/>
    </row>
    <row r="14061" spans="33:33">
      <c r="AG14061" s="10"/>
    </row>
    <row r="14062" spans="33:33">
      <c r="AG14062" s="10"/>
    </row>
    <row r="14063" spans="33:33">
      <c r="AG14063" s="10"/>
    </row>
    <row r="14064" spans="33:33">
      <c r="AG14064" s="10"/>
    </row>
    <row r="14065" spans="33:33">
      <c r="AG14065" s="10"/>
    </row>
    <row r="14066" spans="33:33">
      <c r="AG14066" s="10"/>
    </row>
    <row r="14067" spans="33:33">
      <c r="AG14067" s="10"/>
    </row>
    <row r="14068" spans="33:33">
      <c r="AG14068" s="10"/>
    </row>
    <row r="14069" spans="33:33">
      <c r="AG14069" s="10"/>
    </row>
    <row r="14070" spans="33:33">
      <c r="AG14070" s="10"/>
    </row>
    <row r="14071" spans="33:33">
      <c r="AG14071" s="10"/>
    </row>
    <row r="14072" spans="33:33">
      <c r="AG14072" s="10"/>
    </row>
    <row r="14073" spans="33:33">
      <c r="AG14073" s="10"/>
    </row>
    <row r="14074" spans="33:33">
      <c r="AG14074" s="10"/>
    </row>
    <row r="14075" spans="33:33">
      <c r="AG14075" s="10"/>
    </row>
    <row r="14076" spans="33:33">
      <c r="AG14076" s="10"/>
    </row>
    <row r="14077" spans="33:33">
      <c r="AG14077" s="10"/>
    </row>
    <row r="14078" spans="33:33">
      <c r="AG14078" s="10"/>
    </row>
    <row r="14079" spans="33:33">
      <c r="AG14079" s="10"/>
    </row>
    <row r="14080" spans="33:33">
      <c r="AG14080" s="10"/>
    </row>
    <row r="14081" spans="33:33">
      <c r="AG14081" s="10"/>
    </row>
    <row r="14082" spans="33:33">
      <c r="AG14082" s="10"/>
    </row>
    <row r="14083" spans="33:33">
      <c r="AG14083" s="10"/>
    </row>
    <row r="14084" spans="33:33">
      <c r="AG14084" s="10"/>
    </row>
    <row r="14085" spans="33:33">
      <c r="AG14085" s="10"/>
    </row>
    <row r="14086" spans="33:33">
      <c r="AG14086" s="10"/>
    </row>
    <row r="14087" spans="33:33">
      <c r="AG14087" s="10"/>
    </row>
    <row r="14088" spans="33:33">
      <c r="AG14088" s="10"/>
    </row>
    <row r="14089" spans="33:33">
      <c r="AG14089" s="10"/>
    </row>
    <row r="14090" spans="33:33">
      <c r="AG14090" s="10"/>
    </row>
    <row r="14091" spans="33:33">
      <c r="AG14091" s="10"/>
    </row>
    <row r="14092" spans="33:33">
      <c r="AG14092" s="10"/>
    </row>
    <row r="14093" spans="33:33">
      <c r="AG14093" s="10"/>
    </row>
    <row r="14094" spans="33:33">
      <c r="AG14094" s="10"/>
    </row>
    <row r="14095" spans="33:33">
      <c r="AG14095" s="10"/>
    </row>
    <row r="14096" spans="33:33">
      <c r="AG14096" s="10"/>
    </row>
    <row r="14097" spans="33:33">
      <c r="AG14097" s="10"/>
    </row>
    <row r="14098" spans="33:33">
      <c r="AG14098" s="10"/>
    </row>
    <row r="14099" spans="33:33">
      <c r="AG14099" s="10"/>
    </row>
    <row r="14100" spans="33:33">
      <c r="AG14100" s="10"/>
    </row>
    <row r="14101" spans="33:33">
      <c r="AG14101" s="10"/>
    </row>
    <row r="14102" spans="33:33">
      <c r="AG14102" s="10"/>
    </row>
    <row r="14103" spans="33:33">
      <c r="AG14103" s="10"/>
    </row>
    <row r="14104" spans="33:33">
      <c r="AG14104" s="10"/>
    </row>
    <row r="14105" spans="33:33">
      <c r="AG14105" s="10"/>
    </row>
    <row r="14106" spans="33:33">
      <c r="AG14106" s="10"/>
    </row>
    <row r="14107" spans="33:33">
      <c r="AG14107" s="10"/>
    </row>
    <row r="14108" spans="33:33">
      <c r="AG14108" s="10"/>
    </row>
    <row r="14109" spans="33:33">
      <c r="AG14109" s="10"/>
    </row>
    <row r="14110" spans="33:33">
      <c r="AG14110" s="10"/>
    </row>
    <row r="14111" spans="33:33">
      <c r="AG14111" s="10"/>
    </row>
    <row r="14112" spans="33:33">
      <c r="AG14112" s="10"/>
    </row>
    <row r="14113" spans="33:33">
      <c r="AG14113" s="10"/>
    </row>
    <row r="14114" spans="33:33">
      <c r="AG14114" s="10"/>
    </row>
    <row r="14115" spans="33:33">
      <c r="AG14115" s="10"/>
    </row>
    <row r="14116" spans="33:33">
      <c r="AG14116" s="10"/>
    </row>
    <row r="14117" spans="33:33">
      <c r="AG14117" s="10"/>
    </row>
    <row r="14118" spans="33:33">
      <c r="AG14118" s="10"/>
    </row>
    <row r="14119" spans="33:33">
      <c r="AG14119" s="10"/>
    </row>
    <row r="14120" spans="33:33">
      <c r="AG14120" s="10"/>
    </row>
    <row r="14121" spans="33:33">
      <c r="AG14121" s="10"/>
    </row>
    <row r="14122" spans="33:33">
      <c r="AG14122" s="10"/>
    </row>
    <row r="14123" spans="33:33">
      <c r="AG14123" s="10"/>
    </row>
    <row r="14124" spans="33:33">
      <c r="AG14124" s="10"/>
    </row>
    <row r="14125" spans="33:33">
      <c r="AG14125" s="10"/>
    </row>
    <row r="14126" spans="33:33">
      <c r="AG14126" s="10"/>
    </row>
    <row r="14127" spans="33:33">
      <c r="AG14127" s="10"/>
    </row>
    <row r="14128" spans="33:33">
      <c r="AG14128" s="10"/>
    </row>
    <row r="14129" spans="33:33">
      <c r="AG14129" s="10"/>
    </row>
    <row r="14130" spans="33:33">
      <c r="AG14130" s="10"/>
    </row>
    <row r="14131" spans="33:33">
      <c r="AG14131" s="10"/>
    </row>
    <row r="14132" spans="33:33">
      <c r="AG14132" s="10"/>
    </row>
    <row r="14133" spans="33:33">
      <c r="AG14133" s="10"/>
    </row>
    <row r="14134" spans="33:33">
      <c r="AG14134" s="10"/>
    </row>
    <row r="14135" spans="33:33">
      <c r="AG14135" s="10"/>
    </row>
    <row r="14136" spans="33:33">
      <c r="AG14136" s="10"/>
    </row>
    <row r="14137" spans="33:33">
      <c r="AG14137" s="10"/>
    </row>
    <row r="14138" spans="33:33">
      <c r="AG14138" s="10"/>
    </row>
    <row r="14139" spans="33:33">
      <c r="AG14139" s="10"/>
    </row>
    <row r="14140" spans="33:33">
      <c r="AG14140" s="10"/>
    </row>
    <row r="14141" spans="33:33">
      <c r="AG14141" s="10"/>
    </row>
    <row r="14142" spans="33:33">
      <c r="AG14142" s="10"/>
    </row>
    <row r="14143" spans="33:33">
      <c r="AG14143" s="10"/>
    </row>
    <row r="14144" spans="33:33">
      <c r="AG14144" s="10"/>
    </row>
    <row r="14145" spans="33:33">
      <c r="AG14145" s="10"/>
    </row>
    <row r="14146" spans="33:33">
      <c r="AG14146" s="10"/>
    </row>
    <row r="14147" spans="33:33">
      <c r="AG14147" s="10"/>
    </row>
    <row r="14148" spans="33:33">
      <c r="AG14148" s="10"/>
    </row>
    <row r="14149" spans="33:33">
      <c r="AG14149" s="10"/>
    </row>
    <row r="14150" spans="33:33">
      <c r="AG14150" s="10"/>
    </row>
    <row r="14151" spans="33:33">
      <c r="AG14151" s="10"/>
    </row>
    <row r="14152" spans="33:33">
      <c r="AG14152" s="10"/>
    </row>
    <row r="14153" spans="33:33">
      <c r="AG14153" s="10"/>
    </row>
    <row r="14154" spans="33:33">
      <c r="AG14154" s="10"/>
    </row>
    <row r="14155" spans="33:33">
      <c r="AG14155" s="10"/>
    </row>
    <row r="14156" spans="33:33">
      <c r="AG14156" s="10"/>
    </row>
    <row r="14157" spans="33:33">
      <c r="AG14157" s="10"/>
    </row>
    <row r="14158" spans="33:33">
      <c r="AG14158" s="10"/>
    </row>
    <row r="14159" spans="33:33">
      <c r="AG14159" s="10"/>
    </row>
    <row r="14160" spans="33:33">
      <c r="AG14160" s="10"/>
    </row>
    <row r="14161" spans="33:33">
      <c r="AG14161" s="10"/>
    </row>
    <row r="14162" spans="33:33">
      <c r="AG14162" s="10"/>
    </row>
    <row r="14163" spans="33:33">
      <c r="AG14163" s="10"/>
    </row>
    <row r="14164" spans="33:33">
      <c r="AG14164" s="10"/>
    </row>
    <row r="14165" spans="33:33">
      <c r="AG14165" s="10"/>
    </row>
    <row r="14166" spans="33:33">
      <c r="AG14166" s="10"/>
    </row>
    <row r="14167" spans="33:33">
      <c r="AG14167" s="10"/>
    </row>
    <row r="14168" spans="33:33">
      <c r="AG14168" s="10"/>
    </row>
    <row r="14169" spans="33:33">
      <c r="AG14169" s="10"/>
    </row>
    <row r="14170" spans="33:33">
      <c r="AG14170" s="10"/>
    </row>
    <row r="14171" spans="33:33">
      <c r="AG14171" s="10"/>
    </row>
    <row r="14172" spans="33:33">
      <c r="AG14172" s="10"/>
    </row>
    <row r="14173" spans="33:33">
      <c r="AG14173" s="10"/>
    </row>
    <row r="14174" spans="33:33">
      <c r="AG14174" s="10"/>
    </row>
    <row r="14175" spans="33:33">
      <c r="AG14175" s="10"/>
    </row>
    <row r="14176" spans="33:33">
      <c r="AG14176" s="10"/>
    </row>
    <row r="14177" spans="33:33">
      <c r="AG14177" s="10"/>
    </row>
    <row r="14178" spans="33:33">
      <c r="AG14178" s="10"/>
    </row>
    <row r="14179" spans="33:33">
      <c r="AG14179" s="10"/>
    </row>
    <row r="14180" spans="33:33">
      <c r="AG14180" s="10"/>
    </row>
    <row r="14181" spans="33:33">
      <c r="AG14181" s="10"/>
    </row>
    <row r="14182" spans="33:33">
      <c r="AG14182" s="10"/>
    </row>
    <row r="14183" spans="33:33">
      <c r="AG14183" s="10"/>
    </row>
    <row r="14184" spans="33:33">
      <c r="AG14184" s="10"/>
    </row>
    <row r="14185" spans="33:33">
      <c r="AG14185" s="10"/>
    </row>
    <row r="14186" spans="33:33">
      <c r="AG14186" s="10"/>
    </row>
    <row r="14187" spans="33:33">
      <c r="AG14187" s="10"/>
    </row>
    <row r="14188" spans="33:33">
      <c r="AG14188" s="10"/>
    </row>
    <row r="14189" spans="33:33">
      <c r="AG14189" s="10"/>
    </row>
    <row r="14190" spans="33:33">
      <c r="AG14190" s="10"/>
    </row>
    <row r="14191" spans="33:33">
      <c r="AG14191" s="10"/>
    </row>
    <row r="14192" spans="33:33">
      <c r="AG14192" s="10"/>
    </row>
    <row r="14193" spans="33:33">
      <c r="AG14193" s="10"/>
    </row>
    <row r="14194" spans="33:33">
      <c r="AG14194" s="10"/>
    </row>
    <row r="14195" spans="33:33">
      <c r="AG14195" s="10"/>
    </row>
    <row r="14196" spans="33:33">
      <c r="AG14196" s="10"/>
    </row>
    <row r="14197" spans="33:33">
      <c r="AG14197" s="10"/>
    </row>
    <row r="14198" spans="33:33">
      <c r="AG14198" s="10"/>
    </row>
    <row r="14199" spans="33:33">
      <c r="AG14199" s="10"/>
    </row>
    <row r="14200" spans="33:33">
      <c r="AG14200" s="10"/>
    </row>
    <row r="14201" spans="33:33">
      <c r="AG14201" s="10"/>
    </row>
    <row r="14202" spans="33:33">
      <c r="AG14202" s="10"/>
    </row>
    <row r="14203" spans="33:33">
      <c r="AG14203" s="10"/>
    </row>
    <row r="14204" spans="33:33">
      <c r="AG14204" s="10"/>
    </row>
    <row r="14205" spans="33:33">
      <c r="AG14205" s="10"/>
    </row>
    <row r="14206" spans="33:33">
      <c r="AG14206" s="10"/>
    </row>
    <row r="14207" spans="33:33">
      <c r="AG14207" s="10"/>
    </row>
    <row r="14208" spans="33:33">
      <c r="AG14208" s="10"/>
    </row>
    <row r="14209" spans="33:33">
      <c r="AG14209" s="10"/>
    </row>
    <row r="14210" spans="33:33">
      <c r="AG14210" s="10"/>
    </row>
    <row r="14211" spans="33:33">
      <c r="AG14211" s="10"/>
    </row>
    <row r="14212" spans="33:33">
      <c r="AG14212" s="10"/>
    </row>
    <row r="14213" spans="33:33">
      <c r="AG14213" s="10"/>
    </row>
    <row r="14214" spans="33:33">
      <c r="AG14214" s="10"/>
    </row>
    <row r="14215" spans="33:33">
      <c r="AG14215" s="10"/>
    </row>
    <row r="14216" spans="33:33">
      <c r="AG14216" s="10"/>
    </row>
    <row r="14217" spans="33:33">
      <c r="AG14217" s="10"/>
    </row>
    <row r="14218" spans="33:33">
      <c r="AG14218" s="10"/>
    </row>
    <row r="14219" spans="33:33">
      <c r="AG14219" s="10"/>
    </row>
    <row r="14220" spans="33:33">
      <c r="AG14220" s="10"/>
    </row>
    <row r="14221" spans="33:33">
      <c r="AG14221" s="10"/>
    </row>
    <row r="14222" spans="33:33">
      <c r="AG14222" s="10"/>
    </row>
    <row r="14223" spans="33:33">
      <c r="AG14223" s="10"/>
    </row>
    <row r="14224" spans="33:33">
      <c r="AG14224" s="10"/>
    </row>
    <row r="14225" spans="33:33">
      <c r="AG14225" s="10"/>
    </row>
    <row r="14226" spans="33:33">
      <c r="AG14226" s="10"/>
    </row>
    <row r="14227" spans="33:33">
      <c r="AG14227" s="10"/>
    </row>
    <row r="14228" spans="33:33">
      <c r="AG14228" s="10"/>
    </row>
    <row r="14229" spans="33:33">
      <c r="AG14229" s="10"/>
    </row>
    <row r="14230" spans="33:33">
      <c r="AG14230" s="10"/>
    </row>
    <row r="14231" spans="33:33">
      <c r="AG14231" s="10"/>
    </row>
    <row r="14232" spans="33:33">
      <c r="AG14232" s="10"/>
    </row>
    <row r="14233" spans="33:33">
      <c r="AG14233" s="10"/>
    </row>
    <row r="14234" spans="33:33">
      <c r="AG14234" s="10"/>
    </row>
    <row r="14235" spans="33:33">
      <c r="AG14235" s="10"/>
    </row>
    <row r="14236" spans="33:33">
      <c r="AG14236" s="10"/>
    </row>
    <row r="14237" spans="33:33">
      <c r="AG14237" s="10"/>
    </row>
    <row r="14238" spans="33:33">
      <c r="AG14238" s="10"/>
    </row>
    <row r="14239" spans="33:33">
      <c r="AG14239" s="10"/>
    </row>
    <row r="14240" spans="33:33">
      <c r="AG14240" s="10"/>
    </row>
    <row r="14241" spans="33:33">
      <c r="AG14241" s="10"/>
    </row>
    <row r="14242" spans="33:33">
      <c r="AG14242" s="10"/>
    </row>
    <row r="14243" spans="33:33">
      <c r="AG14243" s="10"/>
    </row>
    <row r="14244" spans="33:33">
      <c r="AG14244" s="10"/>
    </row>
    <row r="14245" spans="33:33">
      <c r="AG14245" s="10"/>
    </row>
    <row r="14246" spans="33:33">
      <c r="AG14246" s="10"/>
    </row>
    <row r="14247" spans="33:33">
      <c r="AG14247" s="10"/>
    </row>
    <row r="14248" spans="33:33">
      <c r="AG14248" s="10"/>
    </row>
    <row r="14249" spans="33:33">
      <c r="AG14249" s="10"/>
    </row>
    <row r="14250" spans="33:33">
      <c r="AG14250" s="10"/>
    </row>
    <row r="14251" spans="33:33">
      <c r="AG14251" s="10"/>
    </row>
    <row r="14252" spans="33:33">
      <c r="AG14252" s="10"/>
    </row>
    <row r="14253" spans="33:33">
      <c r="AG14253" s="10"/>
    </row>
    <row r="14254" spans="33:33">
      <c r="AG14254" s="10"/>
    </row>
    <row r="14255" spans="33:33">
      <c r="AG14255" s="10"/>
    </row>
    <row r="14256" spans="33:33">
      <c r="AG14256" s="10"/>
    </row>
    <row r="14257" spans="33:33">
      <c r="AG14257" s="10"/>
    </row>
    <row r="14258" spans="33:33">
      <c r="AG14258" s="10"/>
    </row>
    <row r="14259" spans="33:33">
      <c r="AG14259" s="10"/>
    </row>
    <row r="14260" spans="33:33">
      <c r="AG14260" s="10"/>
    </row>
    <row r="14261" spans="33:33">
      <c r="AG14261" s="10"/>
    </row>
    <row r="14262" spans="33:33">
      <c r="AG14262" s="10"/>
    </row>
    <row r="14263" spans="33:33">
      <c r="AG14263" s="10"/>
    </row>
    <row r="14264" spans="33:33">
      <c r="AG14264" s="10"/>
    </row>
    <row r="14265" spans="33:33">
      <c r="AG14265" s="10"/>
    </row>
    <row r="14266" spans="33:33">
      <c r="AG14266" s="10"/>
    </row>
    <row r="14267" spans="33:33">
      <c r="AG14267" s="10"/>
    </row>
    <row r="14268" spans="33:33">
      <c r="AG14268" s="10"/>
    </row>
    <row r="14269" spans="33:33">
      <c r="AG14269" s="10"/>
    </row>
    <row r="14270" spans="33:33">
      <c r="AG14270" s="10"/>
    </row>
    <row r="14271" spans="33:33">
      <c r="AG14271" s="10"/>
    </row>
    <row r="14272" spans="33:33">
      <c r="AG14272" s="10"/>
    </row>
    <row r="14273" spans="33:33">
      <c r="AG14273" s="10"/>
    </row>
    <row r="14274" spans="33:33">
      <c r="AG14274" s="10"/>
    </row>
    <row r="14275" spans="33:33">
      <c r="AG14275" s="10"/>
    </row>
    <row r="14276" spans="33:33">
      <c r="AG14276" s="10"/>
    </row>
    <row r="14277" spans="33:33">
      <c r="AG14277" s="10"/>
    </row>
    <row r="14278" spans="33:33">
      <c r="AG14278" s="10"/>
    </row>
    <row r="14279" spans="33:33">
      <c r="AG14279" s="10"/>
    </row>
    <row r="14280" spans="33:33">
      <c r="AG14280" s="10"/>
    </row>
    <row r="14281" spans="33:33">
      <c r="AG14281" s="10"/>
    </row>
    <row r="14282" spans="33:33">
      <c r="AG14282" s="10"/>
    </row>
    <row r="14283" spans="33:33">
      <c r="AG14283" s="10"/>
    </row>
    <row r="14284" spans="33:33">
      <c r="AG14284" s="10"/>
    </row>
    <row r="14285" spans="33:33">
      <c r="AG14285" s="10"/>
    </row>
    <row r="14286" spans="33:33">
      <c r="AG14286" s="10"/>
    </row>
    <row r="14287" spans="33:33">
      <c r="AG14287" s="10"/>
    </row>
    <row r="14288" spans="33:33">
      <c r="AG14288" s="10"/>
    </row>
    <row r="14289" spans="33:33">
      <c r="AG14289" s="10"/>
    </row>
    <row r="14290" spans="33:33">
      <c r="AG14290" s="10"/>
    </row>
    <row r="14291" spans="33:33">
      <c r="AG14291" s="10"/>
    </row>
    <row r="14292" spans="33:33">
      <c r="AG14292" s="10"/>
    </row>
    <row r="14293" spans="33:33">
      <c r="AG14293" s="10"/>
    </row>
    <row r="14294" spans="33:33">
      <c r="AG14294" s="10"/>
    </row>
    <row r="14295" spans="33:33">
      <c r="AG14295" s="10"/>
    </row>
    <row r="14296" spans="33:33">
      <c r="AG14296" s="10"/>
    </row>
    <row r="14297" spans="33:33">
      <c r="AG14297" s="10"/>
    </row>
    <row r="14298" spans="33:33">
      <c r="AG14298" s="10"/>
    </row>
    <row r="14299" spans="33:33">
      <c r="AG14299" s="10"/>
    </row>
    <row r="14300" spans="33:33">
      <c r="AG14300" s="10"/>
    </row>
    <row r="14301" spans="33:33">
      <c r="AG14301" s="10"/>
    </row>
    <row r="14302" spans="33:33">
      <c r="AG14302" s="10"/>
    </row>
    <row r="14303" spans="33:33">
      <c r="AG14303" s="10"/>
    </row>
    <row r="14304" spans="33:33">
      <c r="AG14304" s="10"/>
    </row>
    <row r="14305" spans="33:33">
      <c r="AG14305" s="10"/>
    </row>
    <row r="14306" spans="33:33">
      <c r="AG14306" s="10"/>
    </row>
    <row r="14307" spans="33:33">
      <c r="AG14307" s="10"/>
    </row>
    <row r="14308" spans="33:33">
      <c r="AG14308" s="10"/>
    </row>
    <row r="14309" spans="33:33">
      <c r="AG14309" s="10"/>
    </row>
    <row r="14310" spans="33:33">
      <c r="AG14310" s="10"/>
    </row>
    <row r="14311" spans="33:33">
      <c r="AG14311" s="10"/>
    </row>
    <row r="14312" spans="33:33">
      <c r="AG14312" s="10"/>
    </row>
    <row r="14313" spans="33:33">
      <c r="AG14313" s="10"/>
    </row>
    <row r="14314" spans="33:33">
      <c r="AG14314" s="10"/>
    </row>
    <row r="14315" spans="33:33">
      <c r="AG14315" s="10"/>
    </row>
    <row r="14316" spans="33:33">
      <c r="AG14316" s="10"/>
    </row>
    <row r="14317" spans="33:33">
      <c r="AG14317" s="10"/>
    </row>
    <row r="14318" spans="33:33">
      <c r="AG14318" s="10"/>
    </row>
    <row r="14319" spans="33:33">
      <c r="AG14319" s="10"/>
    </row>
    <row r="14320" spans="33:33">
      <c r="AG14320" s="10"/>
    </row>
    <row r="14321" spans="33:33">
      <c r="AG14321" s="10"/>
    </row>
    <row r="14322" spans="33:33">
      <c r="AG14322" s="10"/>
    </row>
    <row r="14323" spans="33:33">
      <c r="AG14323" s="10"/>
    </row>
    <row r="14324" spans="33:33">
      <c r="AG14324" s="10"/>
    </row>
    <row r="14325" spans="33:33">
      <c r="AG14325" s="10"/>
    </row>
    <row r="14326" spans="33:33">
      <c r="AG14326" s="10"/>
    </row>
    <row r="14327" spans="33:33">
      <c r="AG14327" s="10"/>
    </row>
    <row r="14328" spans="33:33">
      <c r="AG14328" s="10"/>
    </row>
    <row r="14329" spans="33:33">
      <c r="AG14329" s="10"/>
    </row>
    <row r="14330" spans="33:33">
      <c r="AG14330" s="10"/>
    </row>
    <row r="14331" spans="33:33">
      <c r="AG14331" s="10"/>
    </row>
    <row r="14332" spans="33:33">
      <c r="AG14332" s="10"/>
    </row>
    <row r="14333" spans="33:33">
      <c r="AG14333" s="10"/>
    </row>
    <row r="14334" spans="33:33">
      <c r="AG14334" s="10"/>
    </row>
    <row r="14335" spans="33:33">
      <c r="AG14335" s="10"/>
    </row>
    <row r="14336" spans="33:33">
      <c r="AG14336" s="10"/>
    </row>
    <row r="14337" spans="33:33">
      <c r="AG14337" s="10"/>
    </row>
    <row r="14338" spans="33:33">
      <c r="AG14338" s="10"/>
    </row>
    <row r="14339" spans="33:33">
      <c r="AG14339" s="10"/>
    </row>
    <row r="14340" spans="33:33">
      <c r="AG14340" s="10"/>
    </row>
    <row r="14341" spans="33:33">
      <c r="AG14341" s="10"/>
    </row>
    <row r="14342" spans="33:33">
      <c r="AG14342" s="10"/>
    </row>
    <row r="14343" spans="33:33">
      <c r="AG14343" s="10"/>
    </row>
    <row r="14344" spans="33:33">
      <c r="AG14344" s="10"/>
    </row>
    <row r="14345" spans="33:33">
      <c r="AG14345" s="10"/>
    </row>
    <row r="14346" spans="33:33">
      <c r="AG14346" s="10"/>
    </row>
    <row r="14347" spans="33:33">
      <c r="AG14347" s="10"/>
    </row>
    <row r="14348" spans="33:33">
      <c r="AG14348" s="10"/>
    </row>
    <row r="14349" spans="33:33">
      <c r="AG14349" s="10"/>
    </row>
    <row r="14350" spans="33:33">
      <c r="AG14350" s="10"/>
    </row>
    <row r="14351" spans="33:33">
      <c r="AG14351" s="10"/>
    </row>
    <row r="14352" spans="33:33">
      <c r="AG14352" s="10"/>
    </row>
    <row r="14353" spans="33:33">
      <c r="AG14353" s="10"/>
    </row>
    <row r="14354" spans="33:33">
      <c r="AG14354" s="10"/>
    </row>
    <row r="14355" spans="33:33">
      <c r="AG14355" s="10"/>
    </row>
    <row r="14356" spans="33:33">
      <c r="AG14356" s="10"/>
    </row>
    <row r="14357" spans="33:33">
      <c r="AG14357" s="10"/>
    </row>
    <row r="14358" spans="33:33">
      <c r="AG14358" s="10"/>
    </row>
    <row r="14359" spans="33:33">
      <c r="AG14359" s="10"/>
    </row>
    <row r="14360" spans="33:33">
      <c r="AG14360" s="10"/>
    </row>
    <row r="14361" spans="33:33">
      <c r="AG14361" s="10"/>
    </row>
    <row r="14362" spans="33:33">
      <c r="AG14362" s="10"/>
    </row>
    <row r="14363" spans="33:33">
      <c r="AG14363" s="10"/>
    </row>
    <row r="14364" spans="33:33">
      <c r="AG14364" s="10"/>
    </row>
    <row r="14365" spans="33:33">
      <c r="AG14365" s="10"/>
    </row>
    <row r="14366" spans="33:33">
      <c r="AG14366" s="10"/>
    </row>
    <row r="14367" spans="33:33">
      <c r="AG14367" s="10"/>
    </row>
    <row r="14368" spans="33:33">
      <c r="AG14368" s="10"/>
    </row>
    <row r="14369" spans="33:33">
      <c r="AG14369" s="10"/>
    </row>
    <row r="14370" spans="33:33">
      <c r="AG14370" s="10"/>
    </row>
    <row r="14371" spans="33:33">
      <c r="AG14371" s="10"/>
    </row>
    <row r="14372" spans="33:33">
      <c r="AG14372" s="10"/>
    </row>
    <row r="14373" spans="33:33">
      <c r="AG14373" s="10"/>
    </row>
    <row r="14374" spans="33:33">
      <c r="AG14374" s="10"/>
    </row>
    <row r="14375" spans="33:33">
      <c r="AG14375" s="10"/>
    </row>
    <row r="14376" spans="33:33">
      <c r="AG14376" s="10"/>
    </row>
    <row r="14377" spans="33:33">
      <c r="AG14377" s="10"/>
    </row>
    <row r="14378" spans="33:33">
      <c r="AG14378" s="10"/>
    </row>
    <row r="14379" spans="33:33">
      <c r="AG14379" s="10"/>
    </row>
    <row r="14380" spans="33:33">
      <c r="AG14380" s="10"/>
    </row>
    <row r="14381" spans="33:33">
      <c r="AG14381" s="10"/>
    </row>
    <row r="14382" spans="33:33">
      <c r="AG14382" s="10"/>
    </row>
    <row r="14383" spans="33:33">
      <c r="AG14383" s="10"/>
    </row>
    <row r="14384" spans="33:33">
      <c r="AG14384" s="10"/>
    </row>
    <row r="14385" spans="33:33">
      <c r="AG14385" s="10"/>
    </row>
    <row r="14386" spans="33:33">
      <c r="AG14386" s="10"/>
    </row>
    <row r="14387" spans="33:33">
      <c r="AG14387" s="10"/>
    </row>
    <row r="14388" spans="33:33">
      <c r="AG14388" s="10"/>
    </row>
    <row r="14389" spans="33:33">
      <c r="AG14389" s="10"/>
    </row>
    <row r="14390" spans="33:33">
      <c r="AG14390" s="10"/>
    </row>
    <row r="14391" spans="33:33">
      <c r="AG14391" s="10"/>
    </row>
    <row r="14392" spans="33:33">
      <c r="AG14392" s="10"/>
    </row>
    <row r="14393" spans="33:33">
      <c r="AG14393" s="10"/>
    </row>
    <row r="14394" spans="33:33">
      <c r="AG14394" s="10"/>
    </row>
    <row r="14395" spans="33:33">
      <c r="AG14395" s="10"/>
    </row>
    <row r="14396" spans="33:33">
      <c r="AG14396" s="10"/>
    </row>
    <row r="14397" spans="33:33">
      <c r="AG14397" s="10"/>
    </row>
    <row r="14398" spans="33:33">
      <c r="AG14398" s="10"/>
    </row>
    <row r="14399" spans="33:33">
      <c r="AG14399" s="10"/>
    </row>
    <row r="14400" spans="33:33">
      <c r="AG14400" s="10"/>
    </row>
    <row r="14401" spans="33:33">
      <c r="AG14401" s="10"/>
    </row>
    <row r="14402" spans="33:33">
      <c r="AG14402" s="10"/>
    </row>
    <row r="14403" spans="33:33">
      <c r="AG14403" s="10"/>
    </row>
    <row r="14404" spans="33:33">
      <c r="AG14404" s="10"/>
    </row>
    <row r="14405" spans="33:33">
      <c r="AG14405" s="10"/>
    </row>
    <row r="14406" spans="33:33">
      <c r="AG14406" s="10"/>
    </row>
    <row r="14407" spans="33:33">
      <c r="AG14407" s="10"/>
    </row>
    <row r="14408" spans="33:33">
      <c r="AG14408" s="10"/>
    </row>
    <row r="14409" spans="33:33">
      <c r="AG14409" s="10"/>
    </row>
    <row r="14410" spans="33:33">
      <c r="AG14410" s="10"/>
    </row>
    <row r="14411" spans="33:33">
      <c r="AG14411" s="10"/>
    </row>
    <row r="14412" spans="33:33">
      <c r="AG14412" s="10"/>
    </row>
    <row r="14413" spans="33:33">
      <c r="AG14413" s="10"/>
    </row>
    <row r="14414" spans="33:33">
      <c r="AG14414" s="10"/>
    </row>
    <row r="14415" spans="33:33">
      <c r="AG14415" s="10"/>
    </row>
    <row r="14416" spans="33:33">
      <c r="AG14416" s="10"/>
    </row>
    <row r="14417" spans="33:33">
      <c r="AG14417" s="10"/>
    </row>
    <row r="14418" spans="33:33">
      <c r="AG14418" s="10"/>
    </row>
    <row r="14419" spans="33:33">
      <c r="AG14419" s="10"/>
    </row>
    <row r="14420" spans="33:33">
      <c r="AG14420" s="10"/>
    </row>
    <row r="14421" spans="33:33">
      <c r="AG14421" s="10"/>
    </row>
    <row r="14422" spans="33:33">
      <c r="AG14422" s="10"/>
    </row>
    <row r="14423" spans="33:33">
      <c r="AG14423" s="10"/>
    </row>
    <row r="14424" spans="33:33">
      <c r="AG14424" s="10"/>
    </row>
    <row r="14425" spans="33:33">
      <c r="AG14425" s="10"/>
    </row>
    <row r="14426" spans="33:33">
      <c r="AG14426" s="10"/>
    </row>
    <row r="14427" spans="33:33">
      <c r="AG14427" s="10"/>
    </row>
    <row r="14428" spans="33:33">
      <c r="AG14428" s="10"/>
    </row>
    <row r="14429" spans="33:33">
      <c r="AG14429" s="10"/>
    </row>
    <row r="14430" spans="33:33">
      <c r="AG14430" s="10"/>
    </row>
    <row r="14431" spans="33:33">
      <c r="AG14431" s="10"/>
    </row>
    <row r="14432" spans="33:33">
      <c r="AG14432" s="10"/>
    </row>
    <row r="14433" spans="33:33">
      <c r="AG14433" s="10"/>
    </row>
    <row r="14434" spans="33:33">
      <c r="AG14434" s="10"/>
    </row>
    <row r="14435" spans="33:33">
      <c r="AG14435" s="10"/>
    </row>
    <row r="14436" spans="33:33">
      <c r="AG14436" s="10"/>
    </row>
    <row r="14437" spans="33:33">
      <c r="AG14437" s="10"/>
    </row>
    <row r="14438" spans="33:33">
      <c r="AG14438" s="10"/>
    </row>
    <row r="14439" spans="33:33">
      <c r="AG14439" s="10"/>
    </row>
    <row r="14440" spans="33:33">
      <c r="AG14440" s="10"/>
    </row>
    <row r="14441" spans="33:33">
      <c r="AG14441" s="10"/>
    </row>
    <row r="14442" spans="33:33">
      <c r="AG14442" s="10"/>
    </row>
    <row r="14443" spans="33:33">
      <c r="AG14443" s="10"/>
    </row>
    <row r="14444" spans="33:33">
      <c r="AG14444" s="10"/>
    </row>
    <row r="14445" spans="33:33">
      <c r="AG14445" s="10"/>
    </row>
    <row r="14446" spans="33:33">
      <c r="AG14446" s="10"/>
    </row>
    <row r="14447" spans="33:33">
      <c r="AG14447" s="10"/>
    </row>
    <row r="14448" spans="33:33">
      <c r="AG14448" s="10"/>
    </row>
    <row r="14449" spans="33:33">
      <c r="AG14449" s="10"/>
    </row>
    <row r="14450" spans="33:33">
      <c r="AG14450" s="10"/>
    </row>
    <row r="14451" spans="33:33">
      <c r="AG14451" s="10"/>
    </row>
    <row r="14452" spans="33:33">
      <c r="AG14452" s="10"/>
    </row>
    <row r="14453" spans="33:33">
      <c r="AG14453" s="10"/>
    </row>
    <row r="14454" spans="33:33">
      <c r="AG14454" s="10"/>
    </row>
    <row r="14455" spans="33:33">
      <c r="AG14455" s="10"/>
    </row>
    <row r="14456" spans="33:33">
      <c r="AG14456" s="10"/>
    </row>
    <row r="14457" spans="33:33">
      <c r="AG14457" s="10"/>
    </row>
    <row r="14458" spans="33:33">
      <c r="AG14458" s="10"/>
    </row>
    <row r="14459" spans="33:33">
      <c r="AG14459" s="10"/>
    </row>
    <row r="14460" spans="33:33">
      <c r="AG14460" s="10"/>
    </row>
    <row r="14461" spans="33:33">
      <c r="AG14461" s="10"/>
    </row>
    <row r="14462" spans="33:33">
      <c r="AG14462" s="10"/>
    </row>
    <row r="14463" spans="33:33">
      <c r="AG14463" s="10"/>
    </row>
    <row r="14464" spans="33:33">
      <c r="AG14464" s="10"/>
    </row>
    <row r="14465" spans="33:33">
      <c r="AG14465" s="10"/>
    </row>
    <row r="14466" spans="33:33">
      <c r="AG14466" s="10"/>
    </row>
    <row r="14467" spans="33:33">
      <c r="AG14467" s="10"/>
    </row>
    <row r="14468" spans="33:33">
      <c r="AG14468" s="10"/>
    </row>
    <row r="14469" spans="33:33">
      <c r="AG14469" s="10"/>
    </row>
    <row r="14470" spans="33:33">
      <c r="AG14470" s="10"/>
    </row>
    <row r="14471" spans="33:33">
      <c r="AG14471" s="10"/>
    </row>
    <row r="14472" spans="33:33">
      <c r="AG14472" s="10"/>
    </row>
    <row r="14473" spans="33:33">
      <c r="AG14473" s="10"/>
    </row>
    <row r="14474" spans="33:33">
      <c r="AG14474" s="10"/>
    </row>
    <row r="14475" spans="33:33">
      <c r="AG14475" s="10"/>
    </row>
    <row r="14476" spans="33:33">
      <c r="AG14476" s="10"/>
    </row>
    <row r="14477" spans="33:33">
      <c r="AG14477" s="10"/>
    </row>
    <row r="14478" spans="33:33">
      <c r="AG14478" s="10"/>
    </row>
    <row r="14479" spans="33:33">
      <c r="AG14479" s="10"/>
    </row>
    <row r="14480" spans="33:33">
      <c r="AG14480" s="10"/>
    </row>
    <row r="14481" spans="33:33">
      <c r="AG14481" s="10"/>
    </row>
    <row r="14482" spans="33:33">
      <c r="AG14482" s="10"/>
    </row>
    <row r="14483" spans="33:33">
      <c r="AG14483" s="10"/>
    </row>
    <row r="14484" spans="33:33">
      <c r="AG14484" s="10"/>
    </row>
    <row r="14485" spans="33:33">
      <c r="AG14485" s="10"/>
    </row>
    <row r="14486" spans="33:33">
      <c r="AG14486" s="10"/>
    </row>
    <row r="14487" spans="33:33">
      <c r="AG14487" s="10"/>
    </row>
    <row r="14488" spans="33:33">
      <c r="AG14488" s="10"/>
    </row>
    <row r="14489" spans="33:33">
      <c r="AG14489" s="10"/>
    </row>
    <row r="14490" spans="33:33">
      <c r="AG14490" s="10"/>
    </row>
    <row r="14491" spans="33:33">
      <c r="AG14491" s="10"/>
    </row>
    <row r="14492" spans="33:33">
      <c r="AG14492" s="10"/>
    </row>
    <row r="14493" spans="33:33">
      <c r="AG14493" s="10"/>
    </row>
    <row r="14494" spans="33:33">
      <c r="AG14494" s="10"/>
    </row>
    <row r="14495" spans="33:33">
      <c r="AG14495" s="10"/>
    </row>
    <row r="14496" spans="33:33">
      <c r="AG14496" s="10"/>
    </row>
    <row r="14497" spans="33:33">
      <c r="AG14497" s="10"/>
    </row>
    <row r="14498" spans="33:33">
      <c r="AG14498" s="10"/>
    </row>
    <row r="14499" spans="33:33">
      <c r="AG14499" s="10"/>
    </row>
    <row r="14500" spans="33:33">
      <c r="AG14500" s="10"/>
    </row>
    <row r="14501" spans="33:33">
      <c r="AG14501" s="10"/>
    </row>
    <row r="14502" spans="33:33">
      <c r="AG14502" s="10"/>
    </row>
    <row r="14503" spans="33:33">
      <c r="AG14503" s="10"/>
    </row>
    <row r="14504" spans="33:33">
      <c r="AG14504" s="10"/>
    </row>
    <row r="14505" spans="33:33">
      <c r="AG14505" s="10"/>
    </row>
    <row r="14506" spans="33:33">
      <c r="AG14506" s="10"/>
    </row>
    <row r="14507" spans="33:33">
      <c r="AG14507" s="10"/>
    </row>
    <row r="14508" spans="33:33">
      <c r="AG14508" s="10"/>
    </row>
    <row r="14509" spans="33:33">
      <c r="AG14509" s="10"/>
    </row>
    <row r="14510" spans="33:33">
      <c r="AG14510" s="10"/>
    </row>
    <row r="14511" spans="33:33">
      <c r="AG14511" s="10"/>
    </row>
    <row r="14512" spans="33:33">
      <c r="AG14512" s="10"/>
    </row>
    <row r="14513" spans="33:33">
      <c r="AG14513" s="10"/>
    </row>
    <row r="14514" spans="33:33">
      <c r="AG14514" s="10"/>
    </row>
    <row r="14515" spans="33:33">
      <c r="AG14515" s="10"/>
    </row>
    <row r="14516" spans="33:33">
      <c r="AG14516" s="10"/>
    </row>
    <row r="14517" spans="33:33">
      <c r="AG14517" s="10"/>
    </row>
    <row r="14518" spans="33:33">
      <c r="AG14518" s="10"/>
    </row>
    <row r="14519" spans="33:33">
      <c r="AG14519" s="10"/>
    </row>
    <row r="14520" spans="33:33">
      <c r="AG14520" s="10"/>
    </row>
    <row r="14521" spans="33:33">
      <c r="AG14521" s="10"/>
    </row>
    <row r="14522" spans="33:33">
      <c r="AG14522" s="10"/>
    </row>
    <row r="14523" spans="33:33">
      <c r="AG14523" s="10"/>
    </row>
    <row r="14524" spans="33:33">
      <c r="AG14524" s="10"/>
    </row>
    <row r="14525" spans="33:33">
      <c r="AG14525" s="10"/>
    </row>
    <row r="14526" spans="33:33">
      <c r="AG14526" s="10"/>
    </row>
    <row r="14527" spans="33:33">
      <c r="AG14527" s="10"/>
    </row>
    <row r="14528" spans="33:33">
      <c r="AG14528" s="10"/>
    </row>
    <row r="14529" spans="33:33">
      <c r="AG14529" s="10"/>
    </row>
    <row r="14530" spans="33:33">
      <c r="AG14530" s="10"/>
    </row>
    <row r="14531" spans="33:33">
      <c r="AG14531" s="10"/>
    </row>
    <row r="14532" spans="33:33">
      <c r="AG14532" s="10"/>
    </row>
    <row r="14533" spans="33:33">
      <c r="AG14533" s="10"/>
    </row>
    <row r="14534" spans="33:33">
      <c r="AG14534" s="10"/>
    </row>
    <row r="14535" spans="33:33">
      <c r="AG14535" s="10"/>
    </row>
    <row r="14536" spans="33:33">
      <c r="AG14536" s="10"/>
    </row>
    <row r="14537" spans="33:33">
      <c r="AG14537" s="10"/>
    </row>
    <row r="14538" spans="33:33">
      <c r="AG14538" s="10"/>
    </row>
    <row r="14539" spans="33:33">
      <c r="AG14539" s="10"/>
    </row>
    <row r="14540" spans="33:33">
      <c r="AG14540" s="10"/>
    </row>
    <row r="14541" spans="33:33">
      <c r="AG14541" s="10"/>
    </row>
    <row r="14542" spans="33:33">
      <c r="AG14542" s="10"/>
    </row>
    <row r="14543" spans="33:33">
      <c r="AG14543" s="10"/>
    </row>
    <row r="14544" spans="33:33">
      <c r="AG14544" s="10"/>
    </row>
    <row r="14545" spans="33:33">
      <c r="AG14545" s="10"/>
    </row>
    <row r="14546" spans="33:33">
      <c r="AG14546" s="10"/>
    </row>
    <row r="14547" spans="33:33">
      <c r="AG14547" s="10"/>
    </row>
    <row r="14548" spans="33:33">
      <c r="AG14548" s="10"/>
    </row>
    <row r="14549" spans="33:33">
      <c r="AG14549" s="10"/>
    </row>
    <row r="14550" spans="33:33">
      <c r="AG14550" s="10"/>
    </row>
    <row r="14551" spans="33:33">
      <c r="AG14551" s="10"/>
    </row>
    <row r="14552" spans="33:33">
      <c r="AG14552" s="10"/>
    </row>
    <row r="14553" spans="33:33">
      <c r="AG14553" s="10"/>
    </row>
    <row r="14554" spans="33:33">
      <c r="AG14554" s="10"/>
    </row>
    <row r="14555" spans="33:33">
      <c r="AG14555" s="10"/>
    </row>
    <row r="14556" spans="33:33">
      <c r="AG14556" s="10"/>
    </row>
    <row r="14557" spans="33:33">
      <c r="AG14557" s="10"/>
    </row>
    <row r="14558" spans="33:33">
      <c r="AG14558" s="10"/>
    </row>
    <row r="14559" spans="33:33">
      <c r="AG14559" s="10"/>
    </row>
    <row r="14560" spans="33:33">
      <c r="AG14560" s="10"/>
    </row>
    <row r="14561" spans="33:33">
      <c r="AG14561" s="10"/>
    </row>
    <row r="14562" spans="33:33">
      <c r="AG14562" s="10"/>
    </row>
    <row r="14563" spans="33:33">
      <c r="AG14563" s="10"/>
    </row>
    <row r="14564" spans="33:33">
      <c r="AG14564" s="10"/>
    </row>
    <row r="14565" spans="33:33">
      <c r="AG14565" s="10"/>
    </row>
    <row r="14566" spans="33:33">
      <c r="AG14566" s="10"/>
    </row>
    <row r="14567" spans="33:33">
      <c r="AG14567" s="10"/>
    </row>
    <row r="14568" spans="33:33">
      <c r="AG14568" s="10"/>
    </row>
    <row r="14569" spans="33:33">
      <c r="AG14569" s="10"/>
    </row>
    <row r="14570" spans="33:33">
      <c r="AG14570" s="10"/>
    </row>
    <row r="14571" spans="33:33">
      <c r="AG14571" s="10"/>
    </row>
    <row r="14572" spans="33:33">
      <c r="AG14572" s="10"/>
    </row>
    <row r="14573" spans="33:33">
      <c r="AG14573" s="10"/>
    </row>
    <row r="14574" spans="33:33">
      <c r="AG14574" s="10"/>
    </row>
    <row r="14575" spans="33:33">
      <c r="AG14575" s="10"/>
    </row>
    <row r="14576" spans="33:33">
      <c r="AG14576" s="10"/>
    </row>
    <row r="14577" spans="33:33">
      <c r="AG14577" s="10"/>
    </row>
    <row r="14578" spans="33:33">
      <c r="AG14578" s="10"/>
    </row>
    <row r="14579" spans="33:33">
      <c r="AG14579" s="10"/>
    </row>
    <row r="14580" spans="33:33">
      <c r="AG14580" s="10"/>
    </row>
    <row r="14581" spans="33:33">
      <c r="AG14581" s="10"/>
    </row>
    <row r="14582" spans="33:33">
      <c r="AG14582" s="10"/>
    </row>
    <row r="14583" spans="33:33">
      <c r="AG14583" s="10"/>
    </row>
    <row r="14584" spans="33:33">
      <c r="AG14584" s="10"/>
    </row>
    <row r="14585" spans="33:33">
      <c r="AG14585" s="10"/>
    </row>
    <row r="14586" spans="33:33">
      <c r="AG14586" s="10"/>
    </row>
    <row r="14587" spans="33:33">
      <c r="AG14587" s="10"/>
    </row>
    <row r="14588" spans="33:33">
      <c r="AG14588" s="10"/>
    </row>
    <row r="14589" spans="33:33">
      <c r="AG14589" s="10"/>
    </row>
    <row r="14590" spans="33:33">
      <c r="AG14590" s="10"/>
    </row>
    <row r="14591" spans="33:33">
      <c r="AG14591" s="10"/>
    </row>
    <row r="14592" spans="33:33">
      <c r="AG14592" s="10"/>
    </row>
    <row r="14593" spans="33:33">
      <c r="AG14593" s="10"/>
    </row>
    <row r="14594" spans="33:33">
      <c r="AG14594" s="10"/>
    </row>
    <row r="14595" spans="33:33">
      <c r="AG14595" s="10"/>
    </row>
    <row r="14596" spans="33:33">
      <c r="AG14596" s="10"/>
    </row>
    <row r="14597" spans="33:33">
      <c r="AG14597" s="10"/>
    </row>
    <row r="14598" spans="33:33">
      <c r="AG14598" s="10"/>
    </row>
    <row r="14599" spans="33:33">
      <c r="AG14599" s="10"/>
    </row>
    <row r="14600" spans="33:33">
      <c r="AG14600" s="10"/>
    </row>
    <row r="14601" spans="33:33">
      <c r="AG14601" s="10"/>
    </row>
    <row r="14602" spans="33:33">
      <c r="AG14602" s="10"/>
    </row>
    <row r="14603" spans="33:33">
      <c r="AG14603" s="10"/>
    </row>
    <row r="14604" spans="33:33">
      <c r="AG14604" s="10"/>
    </row>
    <row r="14605" spans="33:33">
      <c r="AG14605" s="10"/>
    </row>
    <row r="14606" spans="33:33">
      <c r="AG14606" s="10"/>
    </row>
    <row r="14607" spans="33:33">
      <c r="AG14607" s="10"/>
    </row>
    <row r="14608" spans="33:33">
      <c r="AG14608" s="10"/>
    </row>
    <row r="14609" spans="33:33">
      <c r="AG14609" s="10"/>
    </row>
    <row r="14610" spans="33:33">
      <c r="AG14610" s="10"/>
    </row>
    <row r="14611" spans="33:33">
      <c r="AG14611" s="10"/>
    </row>
    <row r="14612" spans="33:33">
      <c r="AG14612" s="10"/>
    </row>
    <row r="14613" spans="33:33">
      <c r="AG14613" s="10"/>
    </row>
    <row r="14614" spans="33:33">
      <c r="AG14614" s="10"/>
    </row>
    <row r="14615" spans="33:33">
      <c r="AG14615" s="10"/>
    </row>
    <row r="14616" spans="33:33">
      <c r="AG14616" s="10"/>
    </row>
    <row r="14617" spans="33:33">
      <c r="AG14617" s="10"/>
    </row>
    <row r="14618" spans="33:33">
      <c r="AG14618" s="10"/>
    </row>
    <row r="14619" spans="33:33">
      <c r="AG14619" s="10"/>
    </row>
    <row r="14620" spans="33:33">
      <c r="AG14620" s="10"/>
    </row>
    <row r="14621" spans="33:33">
      <c r="AG14621" s="10"/>
    </row>
    <row r="14622" spans="33:33">
      <c r="AG14622" s="10"/>
    </row>
    <row r="14623" spans="33:33">
      <c r="AG14623" s="10"/>
    </row>
    <row r="14624" spans="33:33">
      <c r="AG14624" s="10"/>
    </row>
    <row r="14625" spans="33:33">
      <c r="AG14625" s="10"/>
    </row>
    <row r="14626" spans="33:33">
      <c r="AG14626" s="10"/>
    </row>
    <row r="14627" spans="33:33">
      <c r="AG14627" s="10"/>
    </row>
    <row r="14628" spans="33:33">
      <c r="AG14628" s="10"/>
    </row>
    <row r="14629" spans="33:33">
      <c r="AG14629" s="10"/>
    </row>
    <row r="14630" spans="33:33">
      <c r="AG14630" s="10"/>
    </row>
    <row r="14631" spans="33:33">
      <c r="AG14631" s="10"/>
    </row>
    <row r="14632" spans="33:33">
      <c r="AG14632" s="10"/>
    </row>
    <row r="14633" spans="33:33">
      <c r="AG14633" s="10"/>
    </row>
    <row r="14634" spans="33:33">
      <c r="AG14634" s="10"/>
    </row>
    <row r="14635" spans="33:33">
      <c r="AG14635" s="10"/>
    </row>
    <row r="14636" spans="33:33">
      <c r="AG14636" s="10"/>
    </row>
    <row r="14637" spans="33:33">
      <c r="AG14637" s="10"/>
    </row>
    <row r="14638" spans="33:33">
      <c r="AG14638" s="10"/>
    </row>
    <row r="14639" spans="33:33">
      <c r="AG14639" s="10"/>
    </row>
    <row r="14640" spans="33:33">
      <c r="AG14640" s="10"/>
    </row>
    <row r="14641" spans="33:33">
      <c r="AG14641" s="10"/>
    </row>
    <row r="14642" spans="33:33">
      <c r="AG14642" s="10"/>
    </row>
    <row r="14643" spans="33:33">
      <c r="AG14643" s="10"/>
    </row>
    <row r="14644" spans="33:33">
      <c r="AG14644" s="10"/>
    </row>
    <row r="14645" spans="33:33">
      <c r="AG14645" s="10"/>
    </row>
    <row r="14646" spans="33:33">
      <c r="AG14646" s="10"/>
    </row>
    <row r="14647" spans="33:33">
      <c r="AG14647" s="10"/>
    </row>
    <row r="14648" spans="33:33">
      <c r="AG14648" s="10"/>
    </row>
    <row r="14649" spans="33:33">
      <c r="AG14649" s="10"/>
    </row>
    <row r="14650" spans="33:33">
      <c r="AG14650" s="10"/>
    </row>
    <row r="14651" spans="33:33">
      <c r="AG14651" s="10"/>
    </row>
    <row r="14652" spans="33:33">
      <c r="AG14652" s="10"/>
    </row>
    <row r="14653" spans="33:33">
      <c r="AG14653" s="10"/>
    </row>
    <row r="14654" spans="33:33">
      <c r="AG14654" s="10"/>
    </row>
    <row r="14655" spans="33:33">
      <c r="AG14655" s="10"/>
    </row>
    <row r="14656" spans="33:33">
      <c r="AG14656" s="10"/>
    </row>
    <row r="14657" spans="33:33">
      <c r="AG14657" s="10"/>
    </row>
    <row r="14658" spans="33:33">
      <c r="AG14658" s="10"/>
    </row>
    <row r="14659" spans="33:33">
      <c r="AG14659" s="10"/>
    </row>
    <row r="14660" spans="33:33">
      <c r="AG14660" s="10"/>
    </row>
    <row r="14661" spans="33:33">
      <c r="AG14661" s="10"/>
    </row>
    <row r="14662" spans="33:33">
      <c r="AG14662" s="10"/>
    </row>
    <row r="14663" spans="33:33">
      <c r="AG14663" s="10"/>
    </row>
    <row r="14664" spans="33:33">
      <c r="AG14664" s="10"/>
    </row>
    <row r="14665" spans="33:33">
      <c r="AG14665" s="10"/>
    </row>
    <row r="14666" spans="33:33">
      <c r="AG14666" s="10"/>
    </row>
    <row r="14667" spans="33:33">
      <c r="AG14667" s="10"/>
    </row>
    <row r="14668" spans="33:33">
      <c r="AG14668" s="10"/>
    </row>
    <row r="14669" spans="33:33">
      <c r="AG14669" s="10"/>
    </row>
    <row r="14670" spans="33:33">
      <c r="AG14670" s="10"/>
    </row>
    <row r="14671" spans="33:33">
      <c r="AG14671" s="10"/>
    </row>
    <row r="14672" spans="33:33">
      <c r="AG14672" s="10"/>
    </row>
    <row r="14673" spans="33:33">
      <c r="AG14673" s="10"/>
    </row>
    <row r="14674" spans="33:33">
      <c r="AG14674" s="10"/>
    </row>
    <row r="14675" spans="33:33">
      <c r="AG14675" s="10"/>
    </row>
    <row r="14676" spans="33:33">
      <c r="AG14676" s="10"/>
    </row>
    <row r="14677" spans="33:33">
      <c r="AG14677" s="10"/>
    </row>
    <row r="14678" spans="33:33">
      <c r="AG14678" s="10"/>
    </row>
    <row r="14679" spans="33:33">
      <c r="AG14679" s="10"/>
    </row>
    <row r="14680" spans="33:33">
      <c r="AG14680" s="10"/>
    </row>
    <row r="14681" spans="33:33">
      <c r="AG14681" s="10"/>
    </row>
    <row r="14682" spans="33:33">
      <c r="AG14682" s="10"/>
    </row>
    <row r="14683" spans="33:33">
      <c r="AG14683" s="10"/>
    </row>
    <row r="14684" spans="33:33">
      <c r="AG14684" s="10"/>
    </row>
    <row r="14685" spans="33:33">
      <c r="AG14685" s="10"/>
    </row>
    <row r="14686" spans="33:33">
      <c r="AG14686" s="10"/>
    </row>
    <row r="14687" spans="33:33">
      <c r="AG14687" s="10"/>
    </row>
    <row r="14688" spans="33:33">
      <c r="AG14688" s="10"/>
    </row>
    <row r="14689" spans="33:33">
      <c r="AG14689" s="10"/>
    </row>
    <row r="14690" spans="33:33">
      <c r="AG14690" s="10"/>
    </row>
    <row r="14691" spans="33:33">
      <c r="AG14691" s="10"/>
    </row>
    <row r="14692" spans="33:33">
      <c r="AG14692" s="10"/>
    </row>
    <row r="14693" spans="33:33">
      <c r="AG14693" s="10"/>
    </row>
    <row r="14694" spans="33:33">
      <c r="AG14694" s="10"/>
    </row>
    <row r="14695" spans="33:33">
      <c r="AG14695" s="10"/>
    </row>
    <row r="14696" spans="33:33">
      <c r="AG14696" s="10"/>
    </row>
    <row r="14697" spans="33:33">
      <c r="AG14697" s="10"/>
    </row>
    <row r="14698" spans="33:33">
      <c r="AG14698" s="10"/>
    </row>
    <row r="14699" spans="33:33">
      <c r="AG14699" s="10"/>
    </row>
    <row r="14700" spans="33:33">
      <c r="AG14700" s="10"/>
    </row>
    <row r="14701" spans="33:33">
      <c r="AG14701" s="10"/>
    </row>
    <row r="14702" spans="33:33">
      <c r="AG14702" s="10"/>
    </row>
    <row r="14703" spans="33:33">
      <c r="AG14703" s="10"/>
    </row>
    <row r="14704" spans="33:33">
      <c r="AG14704" s="10"/>
    </row>
    <row r="14705" spans="33:33">
      <c r="AG14705" s="10"/>
    </row>
    <row r="14706" spans="33:33">
      <c r="AG14706" s="10"/>
    </row>
    <row r="14707" spans="33:33">
      <c r="AG14707" s="10"/>
    </row>
    <row r="14708" spans="33:33">
      <c r="AG14708" s="10"/>
    </row>
    <row r="14709" spans="33:33">
      <c r="AG14709" s="10"/>
    </row>
    <row r="14710" spans="33:33">
      <c r="AG14710" s="10"/>
    </row>
    <row r="14711" spans="33:33">
      <c r="AG14711" s="10"/>
    </row>
    <row r="14712" spans="33:33">
      <c r="AG14712" s="10"/>
    </row>
    <row r="14713" spans="33:33">
      <c r="AG14713" s="10"/>
    </row>
    <row r="14714" spans="33:33">
      <c r="AG14714" s="10"/>
    </row>
    <row r="14715" spans="33:33">
      <c r="AG14715" s="10"/>
    </row>
    <row r="14716" spans="33:33">
      <c r="AG14716" s="10"/>
    </row>
    <row r="14717" spans="33:33">
      <c r="AG14717" s="10"/>
    </row>
    <row r="14718" spans="33:33">
      <c r="AG14718" s="10"/>
    </row>
    <row r="14719" spans="33:33">
      <c r="AG14719" s="10"/>
    </row>
    <row r="14720" spans="33:33">
      <c r="AG14720" s="10"/>
    </row>
    <row r="14721" spans="33:33">
      <c r="AG14721" s="10"/>
    </row>
    <row r="14722" spans="33:33">
      <c r="AG14722" s="10"/>
    </row>
    <row r="14723" spans="33:33">
      <c r="AG14723" s="10"/>
    </row>
    <row r="14724" spans="33:33">
      <c r="AG14724" s="10"/>
    </row>
    <row r="14725" spans="33:33">
      <c r="AG14725" s="10"/>
    </row>
    <row r="14726" spans="33:33">
      <c r="AG14726" s="10"/>
    </row>
    <row r="14727" spans="33:33">
      <c r="AG14727" s="10"/>
    </row>
    <row r="14728" spans="33:33">
      <c r="AG14728" s="10"/>
    </row>
    <row r="14729" spans="33:33">
      <c r="AG14729" s="10"/>
    </row>
    <row r="14730" spans="33:33">
      <c r="AG14730" s="10"/>
    </row>
    <row r="14731" spans="33:33">
      <c r="AG14731" s="10"/>
    </row>
    <row r="14732" spans="33:33">
      <c r="AG14732" s="10"/>
    </row>
    <row r="14733" spans="33:33">
      <c r="AG14733" s="10"/>
    </row>
    <row r="14734" spans="33:33">
      <c r="AG14734" s="10"/>
    </row>
    <row r="14735" spans="33:33">
      <c r="AG14735" s="10"/>
    </row>
    <row r="14736" spans="33:33">
      <c r="AG14736" s="10"/>
    </row>
    <row r="14737" spans="33:33">
      <c r="AG14737" s="10"/>
    </row>
    <row r="14738" spans="33:33">
      <c r="AG14738" s="10"/>
    </row>
    <row r="14739" spans="33:33">
      <c r="AG14739" s="10"/>
    </row>
    <row r="14740" spans="33:33">
      <c r="AG14740" s="10"/>
    </row>
    <row r="14741" spans="33:33">
      <c r="AG14741" s="10"/>
    </row>
    <row r="14742" spans="33:33">
      <c r="AG14742" s="10"/>
    </row>
    <row r="14743" spans="33:33">
      <c r="AG14743" s="10"/>
    </row>
    <row r="14744" spans="33:33">
      <c r="AG14744" s="10"/>
    </row>
    <row r="14745" spans="33:33">
      <c r="AG14745" s="10"/>
    </row>
    <row r="14746" spans="33:33">
      <c r="AG14746" s="10"/>
    </row>
    <row r="14747" spans="33:33">
      <c r="AG14747" s="10"/>
    </row>
    <row r="14748" spans="33:33">
      <c r="AG14748" s="10"/>
    </row>
    <row r="14749" spans="33:33">
      <c r="AG14749" s="10"/>
    </row>
    <row r="14750" spans="33:33">
      <c r="AG14750" s="10"/>
    </row>
    <row r="14751" spans="33:33">
      <c r="AG14751" s="10"/>
    </row>
    <row r="14752" spans="33:33">
      <c r="AG14752" s="10"/>
    </row>
    <row r="14753" spans="33:33">
      <c r="AG14753" s="10"/>
    </row>
    <row r="14754" spans="33:33">
      <c r="AG14754" s="10"/>
    </row>
    <row r="14755" spans="33:33">
      <c r="AG14755" s="10"/>
    </row>
    <row r="14756" spans="33:33">
      <c r="AG14756" s="10"/>
    </row>
    <row r="14757" spans="33:33">
      <c r="AG14757" s="10"/>
    </row>
    <row r="14758" spans="33:33">
      <c r="AG14758" s="10"/>
    </row>
    <row r="14759" spans="33:33">
      <c r="AG14759" s="10"/>
    </row>
    <row r="14760" spans="33:33">
      <c r="AG14760" s="10"/>
    </row>
    <row r="14761" spans="33:33">
      <c r="AG14761" s="10"/>
    </row>
    <row r="14762" spans="33:33">
      <c r="AG14762" s="10"/>
    </row>
    <row r="14763" spans="33:33">
      <c r="AG14763" s="10"/>
    </row>
    <row r="14764" spans="33:33">
      <c r="AG14764" s="10"/>
    </row>
    <row r="14765" spans="33:33">
      <c r="AG14765" s="10"/>
    </row>
    <row r="14766" spans="33:33">
      <c r="AG14766" s="10"/>
    </row>
    <row r="14767" spans="33:33">
      <c r="AG14767" s="10"/>
    </row>
    <row r="14768" spans="33:33">
      <c r="AG14768" s="10"/>
    </row>
    <row r="14769" spans="33:33">
      <c r="AG14769" s="10"/>
    </row>
    <row r="14770" spans="33:33">
      <c r="AG14770" s="10"/>
    </row>
    <row r="14771" spans="33:33">
      <c r="AG14771" s="10"/>
    </row>
    <row r="14772" spans="33:33">
      <c r="AG14772" s="10"/>
    </row>
    <row r="14773" spans="33:33">
      <c r="AG14773" s="10"/>
    </row>
    <row r="14774" spans="33:33">
      <c r="AG14774" s="10"/>
    </row>
    <row r="14775" spans="33:33">
      <c r="AG14775" s="10"/>
    </row>
    <row r="14776" spans="33:33">
      <c r="AG14776" s="10"/>
    </row>
    <row r="14777" spans="33:33">
      <c r="AG14777" s="10"/>
    </row>
    <row r="14778" spans="33:33">
      <c r="AG14778" s="10"/>
    </row>
    <row r="14779" spans="33:33">
      <c r="AG14779" s="10"/>
    </row>
    <row r="14780" spans="33:33">
      <c r="AG14780" s="10"/>
    </row>
    <row r="14781" spans="33:33">
      <c r="AG14781" s="10"/>
    </row>
    <row r="14782" spans="33:33">
      <c r="AG14782" s="10"/>
    </row>
    <row r="14783" spans="33:33">
      <c r="AG14783" s="10"/>
    </row>
    <row r="14784" spans="33:33">
      <c r="AG14784" s="10"/>
    </row>
    <row r="14785" spans="33:33">
      <c r="AG14785" s="10"/>
    </row>
    <row r="14786" spans="33:33">
      <c r="AG14786" s="10"/>
    </row>
    <row r="14787" spans="33:33">
      <c r="AG14787" s="10"/>
    </row>
    <row r="14788" spans="33:33">
      <c r="AG14788" s="10"/>
    </row>
    <row r="14789" spans="33:33">
      <c r="AG14789" s="10"/>
    </row>
    <row r="14790" spans="33:33">
      <c r="AG14790" s="10"/>
    </row>
    <row r="14791" spans="33:33">
      <c r="AG14791" s="10"/>
    </row>
    <row r="14792" spans="33:33">
      <c r="AG14792" s="10"/>
    </row>
    <row r="14793" spans="33:33">
      <c r="AG14793" s="10"/>
    </row>
    <row r="14794" spans="33:33">
      <c r="AG14794" s="10"/>
    </row>
    <row r="14795" spans="33:33">
      <c r="AG14795" s="10"/>
    </row>
    <row r="14796" spans="33:33">
      <c r="AG14796" s="10"/>
    </row>
    <row r="14797" spans="33:33">
      <c r="AG14797" s="10"/>
    </row>
    <row r="14798" spans="33:33">
      <c r="AG14798" s="10"/>
    </row>
    <row r="14799" spans="33:33">
      <c r="AG14799" s="10"/>
    </row>
    <row r="14800" spans="33:33">
      <c r="AG14800" s="10"/>
    </row>
    <row r="14801" spans="33:33">
      <c r="AG14801" s="10"/>
    </row>
    <row r="14802" spans="33:33">
      <c r="AG14802" s="10"/>
    </row>
    <row r="14803" spans="33:33">
      <c r="AG14803" s="10"/>
    </row>
    <row r="14804" spans="33:33">
      <c r="AG14804" s="10"/>
    </row>
    <row r="14805" spans="33:33">
      <c r="AG14805" s="10"/>
    </row>
    <row r="14806" spans="33:33">
      <c r="AG14806" s="10"/>
    </row>
    <row r="14807" spans="33:33">
      <c r="AG14807" s="10"/>
    </row>
    <row r="14808" spans="33:33">
      <c r="AG14808" s="10"/>
    </row>
    <row r="14809" spans="33:33">
      <c r="AG14809" s="10"/>
    </row>
    <row r="14810" spans="33:33">
      <c r="AG14810" s="10"/>
    </row>
    <row r="14811" spans="33:33">
      <c r="AG14811" s="10"/>
    </row>
    <row r="14812" spans="33:33">
      <c r="AG14812" s="10"/>
    </row>
    <row r="14813" spans="33:33">
      <c r="AG14813" s="10"/>
    </row>
    <row r="14814" spans="33:33">
      <c r="AG14814" s="10"/>
    </row>
    <row r="14815" spans="33:33">
      <c r="AG14815" s="10"/>
    </row>
    <row r="14816" spans="33:33">
      <c r="AG14816" s="10"/>
    </row>
    <row r="14817" spans="33:33">
      <c r="AG14817" s="10"/>
    </row>
    <row r="14818" spans="33:33">
      <c r="AG14818" s="10"/>
    </row>
    <row r="14819" spans="33:33">
      <c r="AG14819" s="10"/>
    </row>
    <row r="14820" spans="33:33">
      <c r="AG14820" s="10"/>
    </row>
    <row r="14821" spans="33:33">
      <c r="AG14821" s="10"/>
    </row>
    <row r="14822" spans="33:33">
      <c r="AG14822" s="10"/>
    </row>
    <row r="14823" spans="33:33">
      <c r="AG14823" s="10"/>
    </row>
    <row r="14824" spans="33:33">
      <c r="AG14824" s="10"/>
    </row>
    <row r="14825" spans="33:33">
      <c r="AG14825" s="10"/>
    </row>
    <row r="14826" spans="33:33">
      <c r="AG14826" s="10"/>
    </row>
    <row r="14827" spans="33:33">
      <c r="AG14827" s="10"/>
    </row>
    <row r="14828" spans="33:33">
      <c r="AG14828" s="10"/>
    </row>
    <row r="14829" spans="33:33">
      <c r="AG14829" s="10"/>
    </row>
    <row r="14830" spans="33:33">
      <c r="AG14830" s="10"/>
    </row>
    <row r="14831" spans="33:33">
      <c r="AG14831" s="10"/>
    </row>
    <row r="14832" spans="33:33">
      <c r="AG14832" s="10"/>
    </row>
    <row r="14833" spans="33:33">
      <c r="AG14833" s="10"/>
    </row>
    <row r="14834" spans="33:33">
      <c r="AG14834" s="10"/>
    </row>
    <row r="14835" spans="33:33">
      <c r="AG14835" s="10"/>
    </row>
    <row r="14836" spans="33:33">
      <c r="AG14836" s="10"/>
    </row>
    <row r="14837" spans="33:33">
      <c r="AG14837" s="10"/>
    </row>
    <row r="14838" spans="33:33">
      <c r="AG14838" s="10"/>
    </row>
    <row r="14839" spans="33:33">
      <c r="AG14839" s="10"/>
    </row>
    <row r="14840" spans="33:33">
      <c r="AG14840" s="10"/>
    </row>
    <row r="14841" spans="33:33">
      <c r="AG14841" s="10"/>
    </row>
    <row r="14842" spans="33:33">
      <c r="AG14842" s="10"/>
    </row>
    <row r="14843" spans="33:33">
      <c r="AG14843" s="10"/>
    </row>
    <row r="14844" spans="33:33">
      <c r="AG14844" s="10"/>
    </row>
    <row r="14845" spans="33:33">
      <c r="AG14845" s="10"/>
    </row>
    <row r="14846" spans="33:33">
      <c r="AG14846" s="10"/>
    </row>
    <row r="14847" spans="33:33">
      <c r="AG14847" s="10"/>
    </row>
    <row r="14848" spans="33:33">
      <c r="AG14848" s="10"/>
    </row>
    <row r="14849" spans="33:33">
      <c r="AG14849" s="10"/>
    </row>
    <row r="14850" spans="33:33">
      <c r="AG14850" s="10"/>
    </row>
    <row r="14851" spans="33:33">
      <c r="AG14851" s="10"/>
    </row>
    <row r="14852" spans="33:33">
      <c r="AG14852" s="10"/>
    </row>
    <row r="14853" spans="33:33">
      <c r="AG14853" s="10"/>
    </row>
    <row r="14854" spans="33:33">
      <c r="AG14854" s="10"/>
    </row>
    <row r="14855" spans="33:33">
      <c r="AG14855" s="10"/>
    </row>
    <row r="14856" spans="33:33">
      <c r="AG14856" s="10"/>
    </row>
    <row r="14857" spans="33:33">
      <c r="AG14857" s="10"/>
    </row>
    <row r="14858" spans="33:33">
      <c r="AG14858" s="10"/>
    </row>
    <row r="14859" spans="33:33">
      <c r="AG14859" s="10"/>
    </row>
    <row r="14860" spans="33:33">
      <c r="AG14860" s="10"/>
    </row>
    <row r="14861" spans="33:33">
      <c r="AG14861" s="10"/>
    </row>
    <row r="14862" spans="33:33">
      <c r="AG14862" s="10"/>
    </row>
    <row r="14863" spans="33:33">
      <c r="AG14863" s="10"/>
    </row>
    <row r="14864" spans="33:33">
      <c r="AG14864" s="10"/>
    </row>
    <row r="14865" spans="33:33">
      <c r="AG14865" s="10"/>
    </row>
    <row r="14866" spans="33:33">
      <c r="AG14866" s="10"/>
    </row>
    <row r="14867" spans="33:33">
      <c r="AG14867" s="10"/>
    </row>
    <row r="14868" spans="33:33">
      <c r="AG14868" s="10"/>
    </row>
    <row r="14869" spans="33:33">
      <c r="AG14869" s="10"/>
    </row>
    <row r="14870" spans="33:33">
      <c r="AG14870" s="10"/>
    </row>
    <row r="14871" spans="33:33">
      <c r="AG14871" s="10"/>
    </row>
    <row r="14872" spans="33:33">
      <c r="AG14872" s="10"/>
    </row>
    <row r="14873" spans="33:33">
      <c r="AG14873" s="10"/>
    </row>
    <row r="14874" spans="33:33">
      <c r="AG14874" s="10"/>
    </row>
    <row r="14875" spans="33:33">
      <c r="AG14875" s="10"/>
    </row>
    <row r="14876" spans="33:33">
      <c r="AG14876" s="10"/>
    </row>
    <row r="14877" spans="33:33">
      <c r="AG14877" s="10"/>
    </row>
    <row r="14878" spans="33:33">
      <c r="AG14878" s="10"/>
    </row>
    <row r="14879" spans="33:33">
      <c r="AG14879" s="10"/>
    </row>
    <row r="14880" spans="33:33">
      <c r="AG14880" s="10"/>
    </row>
    <row r="14881" spans="33:33">
      <c r="AG14881" s="10"/>
    </row>
    <row r="14882" spans="33:33">
      <c r="AG14882" s="10"/>
    </row>
    <row r="14883" spans="33:33">
      <c r="AG14883" s="10"/>
    </row>
    <row r="14884" spans="33:33">
      <c r="AG14884" s="10"/>
    </row>
    <row r="14885" spans="33:33">
      <c r="AG14885" s="10"/>
    </row>
    <row r="14886" spans="33:33">
      <c r="AG14886" s="10"/>
    </row>
    <row r="14887" spans="33:33">
      <c r="AG14887" s="10"/>
    </row>
    <row r="14888" spans="33:33">
      <c r="AG14888" s="10"/>
    </row>
    <row r="14889" spans="33:33">
      <c r="AG14889" s="10"/>
    </row>
    <row r="14890" spans="33:33">
      <c r="AG14890" s="10"/>
    </row>
    <row r="14891" spans="33:33">
      <c r="AG14891" s="10"/>
    </row>
    <row r="14892" spans="33:33">
      <c r="AG14892" s="10"/>
    </row>
    <row r="14893" spans="33:33">
      <c r="AG14893" s="10"/>
    </row>
    <row r="14894" spans="33:33">
      <c r="AG14894" s="10"/>
    </row>
    <row r="14895" spans="33:33">
      <c r="AG14895" s="10"/>
    </row>
    <row r="14896" spans="33:33">
      <c r="AG14896" s="10"/>
    </row>
    <row r="14897" spans="33:33">
      <c r="AG14897" s="10"/>
    </row>
    <row r="14898" spans="33:33">
      <c r="AG14898" s="10"/>
    </row>
    <row r="14899" spans="33:33">
      <c r="AG14899" s="10"/>
    </row>
    <row r="14900" spans="33:33">
      <c r="AG14900" s="10"/>
    </row>
    <row r="14901" spans="33:33">
      <c r="AG14901" s="10"/>
    </row>
    <row r="14902" spans="33:33">
      <c r="AG14902" s="10"/>
    </row>
    <row r="14903" spans="33:33">
      <c r="AG14903" s="10"/>
    </row>
    <row r="14904" spans="33:33">
      <c r="AG14904" s="10"/>
    </row>
    <row r="14905" spans="33:33">
      <c r="AG14905" s="10"/>
    </row>
    <row r="14906" spans="33:33">
      <c r="AG14906" s="10"/>
    </row>
    <row r="14907" spans="33:33">
      <c r="AG14907" s="10"/>
    </row>
    <row r="14908" spans="33:33">
      <c r="AG14908" s="10"/>
    </row>
    <row r="14909" spans="33:33">
      <c r="AG14909" s="10"/>
    </row>
    <row r="14910" spans="33:33">
      <c r="AG14910" s="10"/>
    </row>
    <row r="14911" spans="33:33">
      <c r="AG14911" s="10"/>
    </row>
    <row r="14912" spans="33:33">
      <c r="AG14912" s="10"/>
    </row>
    <row r="14913" spans="33:33">
      <c r="AG14913" s="10"/>
    </row>
    <row r="14914" spans="33:33">
      <c r="AG14914" s="10"/>
    </row>
    <row r="14915" spans="33:33">
      <c r="AG14915" s="10"/>
    </row>
    <row r="14916" spans="33:33">
      <c r="AG14916" s="10"/>
    </row>
    <row r="14917" spans="33:33">
      <c r="AG14917" s="10"/>
    </row>
    <row r="14918" spans="33:33">
      <c r="AG14918" s="10"/>
    </row>
    <row r="14919" spans="33:33">
      <c r="AG14919" s="10"/>
    </row>
    <row r="14920" spans="33:33">
      <c r="AG14920" s="10"/>
    </row>
    <row r="14921" spans="33:33">
      <c r="AG14921" s="10"/>
    </row>
    <row r="14922" spans="33:33">
      <c r="AG14922" s="10"/>
    </row>
    <row r="14923" spans="33:33">
      <c r="AG14923" s="10"/>
    </row>
    <row r="14924" spans="33:33">
      <c r="AG14924" s="10"/>
    </row>
    <row r="14925" spans="33:33">
      <c r="AG14925" s="10"/>
    </row>
    <row r="14926" spans="33:33">
      <c r="AG14926" s="10"/>
    </row>
    <row r="14927" spans="33:33">
      <c r="AG14927" s="10"/>
    </row>
    <row r="14928" spans="33:33">
      <c r="AG14928" s="10"/>
    </row>
    <row r="14929" spans="33:33">
      <c r="AG14929" s="10"/>
    </row>
    <row r="14930" spans="33:33">
      <c r="AG14930" s="10"/>
    </row>
    <row r="14931" spans="33:33">
      <c r="AG14931" s="10"/>
    </row>
    <row r="14932" spans="33:33">
      <c r="AG14932" s="10"/>
    </row>
    <row r="14933" spans="33:33">
      <c r="AG14933" s="10"/>
    </row>
    <row r="14934" spans="33:33">
      <c r="AG14934" s="10"/>
    </row>
    <row r="14935" spans="33:33">
      <c r="AG14935" s="10"/>
    </row>
    <row r="14936" spans="33:33">
      <c r="AG14936" s="10"/>
    </row>
    <row r="14937" spans="33:33">
      <c r="AG14937" s="10"/>
    </row>
    <row r="14938" spans="33:33">
      <c r="AG14938" s="10"/>
    </row>
    <row r="14939" spans="33:33">
      <c r="AG14939" s="10"/>
    </row>
    <row r="14940" spans="33:33">
      <c r="AG14940" s="10"/>
    </row>
    <row r="14941" spans="33:33">
      <c r="AG14941" s="10"/>
    </row>
    <row r="14942" spans="33:33">
      <c r="AG14942" s="10"/>
    </row>
    <row r="14943" spans="33:33">
      <c r="AG14943" s="10"/>
    </row>
    <row r="14944" spans="33:33">
      <c r="AG14944" s="10"/>
    </row>
    <row r="14945" spans="33:33">
      <c r="AG14945" s="10"/>
    </row>
    <row r="14946" spans="33:33">
      <c r="AG14946" s="10"/>
    </row>
    <row r="14947" spans="33:33">
      <c r="AG14947" s="10"/>
    </row>
    <row r="14948" spans="33:33">
      <c r="AG14948" s="10"/>
    </row>
    <row r="14949" spans="33:33">
      <c r="AG14949" s="10"/>
    </row>
    <row r="14950" spans="33:33">
      <c r="AG14950" s="10"/>
    </row>
    <row r="14951" spans="33:33">
      <c r="AG14951" s="10"/>
    </row>
    <row r="14952" spans="33:33">
      <c r="AG14952" s="10"/>
    </row>
    <row r="14953" spans="33:33">
      <c r="AG14953" s="10"/>
    </row>
    <row r="14954" spans="33:33">
      <c r="AG14954" s="10"/>
    </row>
    <row r="14955" spans="33:33">
      <c r="AG14955" s="10"/>
    </row>
    <row r="14956" spans="33:33">
      <c r="AG14956" s="10"/>
    </row>
    <row r="14957" spans="33:33">
      <c r="AG14957" s="10"/>
    </row>
    <row r="14958" spans="33:33">
      <c r="AG14958" s="10"/>
    </row>
    <row r="14959" spans="33:33">
      <c r="AG14959" s="10"/>
    </row>
    <row r="14960" spans="33:33">
      <c r="AG14960" s="10"/>
    </row>
    <row r="14961" spans="33:33">
      <c r="AG14961" s="10"/>
    </row>
    <row r="14962" spans="33:33">
      <c r="AG14962" s="10"/>
    </row>
    <row r="14963" spans="33:33">
      <c r="AG14963" s="10"/>
    </row>
    <row r="14964" spans="33:33">
      <c r="AG14964" s="10"/>
    </row>
    <row r="14965" spans="33:33">
      <c r="AG14965" s="10"/>
    </row>
    <row r="14966" spans="33:33">
      <c r="AG14966" s="10"/>
    </row>
    <row r="14967" spans="33:33">
      <c r="AG14967" s="10"/>
    </row>
    <row r="14968" spans="33:33">
      <c r="AG14968" s="10"/>
    </row>
    <row r="14969" spans="33:33">
      <c r="AG14969" s="10"/>
    </row>
    <row r="14970" spans="33:33">
      <c r="AG14970" s="10"/>
    </row>
    <row r="14971" spans="33:33">
      <c r="AG14971" s="10"/>
    </row>
    <row r="14972" spans="33:33">
      <c r="AG14972" s="10"/>
    </row>
    <row r="14973" spans="33:33">
      <c r="AG14973" s="10"/>
    </row>
    <row r="14974" spans="33:33">
      <c r="AG14974" s="10"/>
    </row>
    <row r="14975" spans="33:33">
      <c r="AG14975" s="10"/>
    </row>
    <row r="14976" spans="33:33">
      <c r="AG14976" s="10"/>
    </row>
    <row r="14977" spans="33:33">
      <c r="AG14977" s="10"/>
    </row>
    <row r="14978" spans="33:33">
      <c r="AG14978" s="10"/>
    </row>
    <row r="14979" spans="33:33">
      <c r="AG14979" s="10"/>
    </row>
    <row r="14980" spans="33:33">
      <c r="AG14980" s="10"/>
    </row>
    <row r="14981" spans="33:33">
      <c r="AG14981" s="10"/>
    </row>
    <row r="14982" spans="33:33">
      <c r="AG14982" s="10"/>
    </row>
    <row r="14983" spans="33:33">
      <c r="AG14983" s="10"/>
    </row>
    <row r="14984" spans="33:33">
      <c r="AG14984" s="10"/>
    </row>
    <row r="14985" spans="33:33">
      <c r="AG14985" s="10"/>
    </row>
    <row r="14986" spans="33:33">
      <c r="AG14986" s="10"/>
    </row>
    <row r="14987" spans="33:33">
      <c r="AG14987" s="10"/>
    </row>
    <row r="14988" spans="33:33">
      <c r="AG14988" s="10"/>
    </row>
    <row r="14989" spans="33:33">
      <c r="AG14989" s="10"/>
    </row>
    <row r="14990" spans="33:33">
      <c r="AG14990" s="10"/>
    </row>
    <row r="14991" spans="33:33">
      <c r="AG14991" s="10"/>
    </row>
    <row r="14992" spans="33:33">
      <c r="AG14992" s="10"/>
    </row>
    <row r="14993" spans="33:33">
      <c r="AG14993" s="10"/>
    </row>
    <row r="14994" spans="33:33">
      <c r="AG14994" s="10"/>
    </row>
    <row r="14995" spans="33:33">
      <c r="AG14995" s="10"/>
    </row>
    <row r="14996" spans="33:33">
      <c r="AG14996" s="10"/>
    </row>
    <row r="14997" spans="33:33">
      <c r="AG14997" s="10"/>
    </row>
    <row r="14998" spans="33:33">
      <c r="AG14998" s="10"/>
    </row>
    <row r="14999" spans="33:33">
      <c r="AG14999" s="10"/>
    </row>
    <row r="15000" spans="33:33">
      <c r="AG15000" s="10"/>
    </row>
    <row r="15001" spans="33:33">
      <c r="AG15001" s="10"/>
    </row>
    <row r="15002" spans="33:33">
      <c r="AG15002" s="10"/>
    </row>
    <row r="15003" spans="33:33">
      <c r="AG15003" s="10"/>
    </row>
    <row r="15004" spans="33:33">
      <c r="AG15004" s="10"/>
    </row>
    <row r="15005" spans="33:33">
      <c r="AG15005" s="10"/>
    </row>
    <row r="15006" spans="33:33">
      <c r="AG15006" s="10"/>
    </row>
    <row r="15007" spans="33:33">
      <c r="AG15007" s="10"/>
    </row>
    <row r="15008" spans="33:33">
      <c r="AG15008" s="10"/>
    </row>
    <row r="15009" spans="33:33">
      <c r="AG15009" s="10"/>
    </row>
    <row r="15010" spans="33:33">
      <c r="AG15010" s="10"/>
    </row>
    <row r="15011" spans="33:33">
      <c r="AG15011" s="10"/>
    </row>
    <row r="15012" spans="33:33">
      <c r="AG15012" s="10"/>
    </row>
    <row r="15013" spans="33:33">
      <c r="AG15013" s="10"/>
    </row>
    <row r="15014" spans="33:33">
      <c r="AG15014" s="10"/>
    </row>
    <row r="15015" spans="33:33">
      <c r="AG15015" s="10"/>
    </row>
    <row r="15016" spans="33:33">
      <c r="AG15016" s="10"/>
    </row>
    <row r="15017" spans="33:33">
      <c r="AG15017" s="10"/>
    </row>
    <row r="15018" spans="33:33">
      <c r="AG15018" s="10"/>
    </row>
    <row r="15019" spans="33:33">
      <c r="AG15019" s="10"/>
    </row>
    <row r="15020" spans="33:33">
      <c r="AG15020" s="10"/>
    </row>
    <row r="15021" spans="33:33">
      <c r="AG15021" s="10"/>
    </row>
    <row r="15022" spans="33:33">
      <c r="AG15022" s="10"/>
    </row>
    <row r="15023" spans="33:33">
      <c r="AG15023" s="10"/>
    </row>
    <row r="15024" spans="33:33">
      <c r="AG15024" s="10"/>
    </row>
    <row r="15025" spans="33:33">
      <c r="AG15025" s="10"/>
    </row>
    <row r="15026" spans="33:33">
      <c r="AG15026" s="10"/>
    </row>
    <row r="15027" spans="33:33">
      <c r="AG15027" s="10"/>
    </row>
    <row r="15028" spans="33:33">
      <c r="AG15028" s="10"/>
    </row>
    <row r="15029" spans="33:33">
      <c r="AG15029" s="10"/>
    </row>
    <row r="15030" spans="33:33">
      <c r="AG15030" s="10"/>
    </row>
    <row r="15031" spans="33:33">
      <c r="AG15031" s="10"/>
    </row>
    <row r="15032" spans="33:33">
      <c r="AG15032" s="10"/>
    </row>
    <row r="15033" spans="33:33">
      <c r="AG15033" s="10"/>
    </row>
    <row r="15034" spans="33:33">
      <c r="AG15034" s="10"/>
    </row>
    <row r="15035" spans="33:33">
      <c r="AG15035" s="10"/>
    </row>
    <row r="15036" spans="33:33">
      <c r="AG15036" s="10"/>
    </row>
    <row r="15037" spans="33:33">
      <c r="AG15037" s="10"/>
    </row>
    <row r="15038" spans="33:33">
      <c r="AG15038" s="10"/>
    </row>
    <row r="15039" spans="33:33">
      <c r="AG15039" s="10"/>
    </row>
    <row r="15040" spans="33:33">
      <c r="AG15040" s="10"/>
    </row>
    <row r="15041" spans="33:33">
      <c r="AG15041" s="10"/>
    </row>
    <row r="15042" spans="33:33">
      <c r="AG15042" s="10"/>
    </row>
    <row r="15043" spans="33:33">
      <c r="AG15043" s="10"/>
    </row>
    <row r="15044" spans="33:33">
      <c r="AG15044" s="10"/>
    </row>
    <row r="15045" spans="33:33">
      <c r="AG15045" s="10"/>
    </row>
    <row r="15046" spans="33:33">
      <c r="AG15046" s="10"/>
    </row>
    <row r="15047" spans="33:33">
      <c r="AG15047" s="10"/>
    </row>
    <row r="15048" spans="33:33">
      <c r="AG15048" s="10"/>
    </row>
    <row r="15049" spans="33:33">
      <c r="AG15049" s="10"/>
    </row>
    <row r="15050" spans="33:33">
      <c r="AG15050" s="10"/>
    </row>
    <row r="15051" spans="33:33">
      <c r="AG15051" s="10"/>
    </row>
    <row r="15052" spans="33:33">
      <c r="AG15052" s="10"/>
    </row>
    <row r="15053" spans="33:33">
      <c r="AG15053" s="10"/>
    </row>
    <row r="15054" spans="33:33">
      <c r="AG15054" s="10"/>
    </row>
    <row r="15055" spans="33:33">
      <c r="AG15055" s="10"/>
    </row>
    <row r="15056" spans="33:33">
      <c r="AG15056" s="10"/>
    </row>
    <row r="15057" spans="33:33">
      <c r="AG15057" s="10"/>
    </row>
    <row r="15058" spans="33:33">
      <c r="AG15058" s="10"/>
    </row>
    <row r="15059" spans="33:33">
      <c r="AG15059" s="10"/>
    </row>
    <row r="15060" spans="33:33">
      <c r="AG15060" s="10"/>
    </row>
    <row r="15061" spans="33:33">
      <c r="AG15061" s="10"/>
    </row>
    <row r="15062" spans="33:33">
      <c r="AG15062" s="10"/>
    </row>
    <row r="15063" spans="33:33">
      <c r="AG15063" s="10"/>
    </row>
    <row r="15064" spans="33:33">
      <c r="AG15064" s="10"/>
    </row>
    <row r="15065" spans="33:33">
      <c r="AG15065" s="10"/>
    </row>
    <row r="15066" spans="33:33">
      <c r="AG15066" s="10"/>
    </row>
    <row r="15067" spans="33:33">
      <c r="AG15067" s="10"/>
    </row>
    <row r="15068" spans="33:33">
      <c r="AG15068" s="10"/>
    </row>
    <row r="15069" spans="33:33">
      <c r="AG15069" s="10"/>
    </row>
    <row r="15070" spans="33:33">
      <c r="AG15070" s="10"/>
    </row>
    <row r="15071" spans="33:33">
      <c r="AG15071" s="10"/>
    </row>
    <row r="15072" spans="33:33">
      <c r="AG15072" s="10"/>
    </row>
    <row r="15073" spans="33:33">
      <c r="AG15073" s="10"/>
    </row>
    <row r="15074" spans="33:33">
      <c r="AG15074" s="10"/>
    </row>
    <row r="15075" spans="33:33">
      <c r="AG15075" s="10"/>
    </row>
    <row r="15076" spans="33:33">
      <c r="AG15076" s="10"/>
    </row>
    <row r="15077" spans="33:33">
      <c r="AG15077" s="10"/>
    </row>
    <row r="15078" spans="33:33">
      <c r="AG15078" s="10"/>
    </row>
    <row r="15079" spans="33:33">
      <c r="AG15079" s="10"/>
    </row>
    <row r="15080" spans="33:33">
      <c r="AG15080" s="10"/>
    </row>
    <row r="15081" spans="33:33">
      <c r="AG15081" s="10"/>
    </row>
    <row r="15082" spans="33:33">
      <c r="AG15082" s="10"/>
    </row>
    <row r="15083" spans="33:33">
      <c r="AG15083" s="10"/>
    </row>
    <row r="15084" spans="33:33">
      <c r="AG15084" s="10"/>
    </row>
    <row r="15085" spans="33:33">
      <c r="AG15085" s="10"/>
    </row>
    <row r="15086" spans="33:33">
      <c r="AG15086" s="10"/>
    </row>
    <row r="15087" spans="33:33">
      <c r="AG15087" s="10"/>
    </row>
    <row r="15088" spans="33:33">
      <c r="AG15088" s="10"/>
    </row>
    <row r="15089" spans="33:33">
      <c r="AG15089" s="10"/>
    </row>
    <row r="15090" spans="33:33">
      <c r="AG15090" s="10"/>
    </row>
    <row r="15091" spans="33:33">
      <c r="AG15091" s="10"/>
    </row>
    <row r="15092" spans="33:33">
      <c r="AG15092" s="10"/>
    </row>
    <row r="15093" spans="33:33">
      <c r="AG15093" s="10"/>
    </row>
    <row r="15094" spans="33:33">
      <c r="AG15094" s="10"/>
    </row>
    <row r="15095" spans="33:33">
      <c r="AG15095" s="10"/>
    </row>
    <row r="15096" spans="33:33">
      <c r="AG15096" s="10"/>
    </row>
    <row r="15097" spans="33:33">
      <c r="AG15097" s="10"/>
    </row>
    <row r="15098" spans="33:33">
      <c r="AG15098" s="10"/>
    </row>
    <row r="15099" spans="33:33">
      <c r="AG15099" s="10"/>
    </row>
    <row r="15100" spans="33:33">
      <c r="AG15100" s="10"/>
    </row>
    <row r="15101" spans="33:33">
      <c r="AG15101" s="10"/>
    </row>
    <row r="15102" spans="33:33">
      <c r="AG15102" s="10"/>
    </row>
    <row r="15103" spans="33:33">
      <c r="AG15103" s="10"/>
    </row>
    <row r="15104" spans="33:33">
      <c r="AG15104" s="10"/>
    </row>
    <row r="15105" spans="33:33">
      <c r="AG15105" s="10"/>
    </row>
    <row r="15106" spans="33:33">
      <c r="AG15106" s="10"/>
    </row>
    <row r="15107" spans="33:33">
      <c r="AG15107" s="10"/>
    </row>
    <row r="15108" spans="33:33">
      <c r="AG15108" s="10"/>
    </row>
    <row r="15109" spans="33:33">
      <c r="AG15109" s="10"/>
    </row>
    <row r="15110" spans="33:33">
      <c r="AG15110" s="10"/>
    </row>
    <row r="15111" spans="33:33">
      <c r="AG15111" s="10"/>
    </row>
    <row r="15112" spans="33:33">
      <c r="AG15112" s="10"/>
    </row>
    <row r="15113" spans="33:33">
      <c r="AG15113" s="10"/>
    </row>
    <row r="15114" spans="33:33">
      <c r="AG15114" s="10"/>
    </row>
    <row r="15115" spans="33:33">
      <c r="AG15115" s="10"/>
    </row>
    <row r="15116" spans="33:33">
      <c r="AG15116" s="10"/>
    </row>
    <row r="15117" spans="33:33">
      <c r="AG15117" s="10"/>
    </row>
    <row r="15118" spans="33:33">
      <c r="AG15118" s="10"/>
    </row>
    <row r="15119" spans="33:33">
      <c r="AG15119" s="10"/>
    </row>
    <row r="15120" spans="33:33">
      <c r="AG15120" s="10"/>
    </row>
    <row r="15121" spans="33:33">
      <c r="AG15121" s="10"/>
    </row>
    <row r="15122" spans="33:33">
      <c r="AG15122" s="10"/>
    </row>
    <row r="15123" spans="33:33">
      <c r="AG15123" s="10"/>
    </row>
    <row r="15124" spans="33:33">
      <c r="AG15124" s="10"/>
    </row>
    <row r="15125" spans="33:33">
      <c r="AG15125" s="10"/>
    </row>
    <row r="15126" spans="33:33">
      <c r="AG15126" s="10"/>
    </row>
    <row r="15127" spans="33:33">
      <c r="AG15127" s="10"/>
    </row>
    <row r="15128" spans="33:33">
      <c r="AG15128" s="10"/>
    </row>
    <row r="15129" spans="33:33">
      <c r="AG15129" s="10"/>
    </row>
    <row r="15130" spans="33:33">
      <c r="AG15130" s="10"/>
    </row>
    <row r="15131" spans="33:33">
      <c r="AG15131" s="10"/>
    </row>
    <row r="15132" spans="33:33">
      <c r="AG15132" s="10"/>
    </row>
    <row r="15133" spans="33:33">
      <c r="AG15133" s="10"/>
    </row>
    <row r="15134" spans="33:33">
      <c r="AG15134" s="10"/>
    </row>
    <row r="15135" spans="33:33">
      <c r="AG15135" s="10"/>
    </row>
    <row r="15136" spans="33:33">
      <c r="AG15136" s="10"/>
    </row>
    <row r="15137" spans="33:33">
      <c r="AG15137" s="10"/>
    </row>
    <row r="15138" spans="33:33">
      <c r="AG15138" s="10"/>
    </row>
    <row r="15139" spans="33:33">
      <c r="AG15139" s="10"/>
    </row>
    <row r="15140" spans="33:33">
      <c r="AG15140" s="10"/>
    </row>
    <row r="15141" spans="33:33">
      <c r="AG15141" s="10"/>
    </row>
    <row r="15142" spans="33:33">
      <c r="AG15142" s="10"/>
    </row>
    <row r="15143" spans="33:33">
      <c r="AG15143" s="10"/>
    </row>
    <row r="15144" spans="33:33">
      <c r="AG15144" s="10"/>
    </row>
    <row r="15145" spans="33:33">
      <c r="AG15145" s="10"/>
    </row>
    <row r="15146" spans="33:33">
      <c r="AG15146" s="10"/>
    </row>
    <row r="15147" spans="33:33">
      <c r="AG15147" s="10"/>
    </row>
    <row r="15148" spans="33:33">
      <c r="AG15148" s="10"/>
    </row>
    <row r="15149" spans="33:33">
      <c r="AG15149" s="10"/>
    </row>
    <row r="15150" spans="33:33">
      <c r="AG15150" s="10"/>
    </row>
    <row r="15151" spans="33:33">
      <c r="AG15151" s="10"/>
    </row>
    <row r="15152" spans="33:33">
      <c r="AG15152" s="10"/>
    </row>
    <row r="15153" spans="33:33">
      <c r="AG15153" s="10"/>
    </row>
    <row r="15154" spans="33:33">
      <c r="AG15154" s="10"/>
    </row>
    <row r="15155" spans="33:33">
      <c r="AG15155" s="10"/>
    </row>
    <row r="15156" spans="33:33">
      <c r="AG15156" s="10"/>
    </row>
    <row r="15157" spans="33:33">
      <c r="AG15157" s="10"/>
    </row>
    <row r="15158" spans="33:33">
      <c r="AG15158" s="10"/>
    </row>
    <row r="15159" spans="33:33">
      <c r="AG15159" s="10"/>
    </row>
    <row r="15160" spans="33:33">
      <c r="AG15160" s="10"/>
    </row>
    <row r="15161" spans="33:33">
      <c r="AG15161" s="10"/>
    </row>
    <row r="15162" spans="33:33">
      <c r="AG15162" s="10"/>
    </row>
    <row r="15163" spans="33:33">
      <c r="AG15163" s="10"/>
    </row>
    <row r="15164" spans="33:33">
      <c r="AG15164" s="10"/>
    </row>
    <row r="15165" spans="33:33">
      <c r="AG15165" s="10"/>
    </row>
    <row r="15166" spans="33:33">
      <c r="AG15166" s="10"/>
    </row>
    <row r="15167" spans="33:33">
      <c r="AG15167" s="10"/>
    </row>
    <row r="15168" spans="33:33">
      <c r="AG15168" s="10"/>
    </row>
    <row r="15169" spans="33:33">
      <c r="AG15169" s="10"/>
    </row>
    <row r="15170" spans="33:33">
      <c r="AG15170" s="10"/>
    </row>
    <row r="15171" spans="33:33">
      <c r="AG15171" s="10"/>
    </row>
    <row r="15172" spans="33:33">
      <c r="AG15172" s="10"/>
    </row>
    <row r="15173" spans="33:33">
      <c r="AG15173" s="10"/>
    </row>
    <row r="15174" spans="33:33">
      <c r="AG15174" s="10"/>
    </row>
    <row r="15175" spans="33:33">
      <c r="AG15175" s="10"/>
    </row>
    <row r="15176" spans="33:33">
      <c r="AG15176" s="10"/>
    </row>
    <row r="15177" spans="33:33">
      <c r="AG15177" s="10"/>
    </row>
    <row r="15178" spans="33:33">
      <c r="AG15178" s="10"/>
    </row>
    <row r="15179" spans="33:33">
      <c r="AG15179" s="10"/>
    </row>
    <row r="15180" spans="33:33">
      <c r="AG15180" s="10"/>
    </row>
    <row r="15181" spans="33:33">
      <c r="AG15181" s="10"/>
    </row>
    <row r="15182" spans="33:33">
      <c r="AG15182" s="10"/>
    </row>
    <row r="15183" spans="33:33">
      <c r="AG15183" s="10"/>
    </row>
    <row r="15184" spans="33:33">
      <c r="AG15184" s="10"/>
    </row>
    <row r="15185" spans="33:33">
      <c r="AG15185" s="10"/>
    </row>
    <row r="15186" spans="33:33">
      <c r="AG15186" s="10"/>
    </row>
    <row r="15187" spans="33:33">
      <c r="AG15187" s="10"/>
    </row>
    <row r="15188" spans="33:33">
      <c r="AG15188" s="10"/>
    </row>
    <row r="15189" spans="33:33">
      <c r="AG15189" s="10"/>
    </row>
    <row r="15190" spans="33:33">
      <c r="AG15190" s="10"/>
    </row>
    <row r="15191" spans="33:33">
      <c r="AG15191" s="10"/>
    </row>
    <row r="15192" spans="33:33">
      <c r="AG15192" s="10"/>
    </row>
    <row r="15193" spans="33:33">
      <c r="AG15193" s="10"/>
    </row>
    <row r="15194" spans="33:33">
      <c r="AG15194" s="10"/>
    </row>
    <row r="15195" spans="33:33">
      <c r="AG15195" s="10"/>
    </row>
    <row r="15196" spans="33:33">
      <c r="AG15196" s="10"/>
    </row>
    <row r="15197" spans="33:33">
      <c r="AG15197" s="10"/>
    </row>
    <row r="15198" spans="33:33">
      <c r="AG15198" s="10"/>
    </row>
    <row r="15199" spans="33:33">
      <c r="AG15199" s="10"/>
    </row>
    <row r="15200" spans="33:33">
      <c r="AG15200" s="10"/>
    </row>
    <row r="15201" spans="33:33">
      <c r="AG15201" s="10"/>
    </row>
    <row r="15202" spans="33:33">
      <c r="AG15202" s="10"/>
    </row>
    <row r="15203" spans="33:33">
      <c r="AG15203" s="10"/>
    </row>
    <row r="15204" spans="33:33">
      <c r="AG15204" s="10"/>
    </row>
    <row r="15205" spans="33:33">
      <c r="AG15205" s="10"/>
    </row>
    <row r="15206" spans="33:33">
      <c r="AG15206" s="10"/>
    </row>
    <row r="15207" spans="33:33">
      <c r="AG15207" s="10"/>
    </row>
    <row r="15208" spans="33:33">
      <c r="AG15208" s="10"/>
    </row>
    <row r="15209" spans="33:33">
      <c r="AG15209" s="10"/>
    </row>
    <row r="15210" spans="33:33">
      <c r="AG15210" s="10"/>
    </row>
    <row r="15211" spans="33:33">
      <c r="AG15211" s="10"/>
    </row>
    <row r="15212" spans="33:33">
      <c r="AG15212" s="10"/>
    </row>
    <row r="15213" spans="33:33">
      <c r="AG15213" s="10"/>
    </row>
    <row r="15214" spans="33:33">
      <c r="AG15214" s="10"/>
    </row>
    <row r="15215" spans="33:33">
      <c r="AG15215" s="10"/>
    </row>
    <row r="15216" spans="33:33">
      <c r="AG15216" s="10"/>
    </row>
    <row r="15217" spans="33:33">
      <c r="AG15217" s="10"/>
    </row>
    <row r="15218" spans="33:33">
      <c r="AG15218" s="10"/>
    </row>
    <row r="15219" spans="33:33">
      <c r="AG15219" s="10"/>
    </row>
    <row r="15220" spans="33:33">
      <c r="AG15220" s="10"/>
    </row>
    <row r="15221" spans="33:33">
      <c r="AG15221" s="10"/>
    </row>
    <row r="15222" spans="33:33">
      <c r="AG15222" s="10"/>
    </row>
    <row r="15223" spans="33:33">
      <c r="AG15223" s="10"/>
    </row>
    <row r="15224" spans="33:33">
      <c r="AG15224" s="10"/>
    </row>
    <row r="15225" spans="33:33">
      <c r="AG15225" s="10"/>
    </row>
    <row r="15226" spans="33:33">
      <c r="AG15226" s="10"/>
    </row>
    <row r="15227" spans="33:33">
      <c r="AG15227" s="10"/>
    </row>
    <row r="15228" spans="33:33">
      <c r="AG15228" s="10"/>
    </row>
    <row r="15229" spans="33:33">
      <c r="AG15229" s="10"/>
    </row>
    <row r="15230" spans="33:33">
      <c r="AG15230" s="10"/>
    </row>
    <row r="15231" spans="33:33">
      <c r="AG15231" s="10"/>
    </row>
    <row r="15232" spans="33:33">
      <c r="AG15232" s="10"/>
    </row>
    <row r="15233" spans="33:33">
      <c r="AG15233" s="10"/>
    </row>
    <row r="15234" spans="33:33">
      <c r="AG15234" s="10"/>
    </row>
    <row r="15235" spans="33:33">
      <c r="AG15235" s="10"/>
    </row>
    <row r="15236" spans="33:33">
      <c r="AG15236" s="10"/>
    </row>
    <row r="15237" spans="33:33">
      <c r="AG15237" s="10"/>
    </row>
    <row r="15238" spans="33:33">
      <c r="AG15238" s="10"/>
    </row>
    <row r="15239" spans="33:33">
      <c r="AG15239" s="10"/>
    </row>
    <row r="15240" spans="33:33">
      <c r="AG15240" s="10"/>
    </row>
    <row r="15241" spans="33:33">
      <c r="AG15241" s="10"/>
    </row>
    <row r="15242" spans="33:33">
      <c r="AG15242" s="10"/>
    </row>
    <row r="15243" spans="33:33">
      <c r="AG15243" s="10"/>
    </row>
    <row r="15244" spans="33:33">
      <c r="AG15244" s="10"/>
    </row>
    <row r="15245" spans="33:33">
      <c r="AG15245" s="10"/>
    </row>
    <row r="15246" spans="33:33">
      <c r="AG15246" s="10"/>
    </row>
    <row r="15247" spans="33:33">
      <c r="AG15247" s="10"/>
    </row>
    <row r="15248" spans="33:33">
      <c r="AG15248" s="10"/>
    </row>
    <row r="15249" spans="33:33">
      <c r="AG15249" s="10"/>
    </row>
    <row r="15250" spans="33:33">
      <c r="AG15250" s="10"/>
    </row>
    <row r="15251" spans="33:33">
      <c r="AG15251" s="10"/>
    </row>
    <row r="15252" spans="33:33">
      <c r="AG15252" s="10"/>
    </row>
    <row r="15253" spans="33:33">
      <c r="AG15253" s="10"/>
    </row>
    <row r="15254" spans="33:33">
      <c r="AG15254" s="10"/>
    </row>
    <row r="15255" spans="33:33">
      <c r="AG15255" s="10"/>
    </row>
    <row r="15256" spans="33:33">
      <c r="AG15256" s="10"/>
    </row>
    <row r="15257" spans="33:33">
      <c r="AG15257" s="10"/>
    </row>
    <row r="15258" spans="33:33">
      <c r="AG15258" s="10"/>
    </row>
    <row r="15259" spans="33:33">
      <c r="AG15259" s="10"/>
    </row>
    <row r="15260" spans="33:33">
      <c r="AG15260" s="10"/>
    </row>
    <row r="15261" spans="33:33">
      <c r="AG15261" s="10"/>
    </row>
    <row r="15262" spans="33:33">
      <c r="AG15262" s="10"/>
    </row>
    <row r="15263" spans="33:33">
      <c r="AG15263" s="10"/>
    </row>
    <row r="15264" spans="33:33">
      <c r="AG15264" s="10"/>
    </row>
    <row r="15265" spans="33:33">
      <c r="AG15265" s="10"/>
    </row>
    <row r="15266" spans="33:33">
      <c r="AG15266" s="10"/>
    </row>
    <row r="15267" spans="33:33">
      <c r="AG15267" s="10"/>
    </row>
    <row r="15268" spans="33:33">
      <c r="AG15268" s="10"/>
    </row>
    <row r="15269" spans="33:33">
      <c r="AG15269" s="10"/>
    </row>
    <row r="15270" spans="33:33">
      <c r="AG15270" s="10"/>
    </row>
    <row r="15271" spans="33:33">
      <c r="AG15271" s="10"/>
    </row>
    <row r="15272" spans="33:33">
      <c r="AG15272" s="10"/>
    </row>
    <row r="15273" spans="33:33">
      <c r="AG15273" s="10"/>
    </row>
    <row r="15274" spans="33:33">
      <c r="AG15274" s="10"/>
    </row>
    <row r="15275" spans="33:33">
      <c r="AG15275" s="10"/>
    </row>
    <row r="15276" spans="33:33">
      <c r="AG15276" s="10"/>
    </row>
    <row r="15277" spans="33:33">
      <c r="AG15277" s="10"/>
    </row>
    <row r="15278" spans="33:33">
      <c r="AG15278" s="10"/>
    </row>
    <row r="15279" spans="33:33">
      <c r="AG15279" s="10"/>
    </row>
    <row r="15280" spans="33:33">
      <c r="AG15280" s="10"/>
    </row>
    <row r="15281" spans="33:33">
      <c r="AG15281" s="10"/>
    </row>
    <row r="15282" spans="33:33">
      <c r="AG15282" s="10"/>
    </row>
    <row r="15283" spans="33:33">
      <c r="AG15283" s="10"/>
    </row>
    <row r="15284" spans="33:33">
      <c r="AG15284" s="10"/>
    </row>
    <row r="15285" spans="33:33">
      <c r="AG15285" s="10"/>
    </row>
    <row r="15286" spans="33:33">
      <c r="AG15286" s="10"/>
    </row>
    <row r="15287" spans="33:33">
      <c r="AG15287" s="10"/>
    </row>
    <row r="15288" spans="33:33">
      <c r="AG15288" s="10"/>
    </row>
    <row r="15289" spans="33:33">
      <c r="AG15289" s="10"/>
    </row>
    <row r="15290" spans="33:33">
      <c r="AG15290" s="10"/>
    </row>
    <row r="15291" spans="33:33">
      <c r="AG15291" s="10"/>
    </row>
    <row r="15292" spans="33:33">
      <c r="AG15292" s="10"/>
    </row>
    <row r="15293" spans="33:33">
      <c r="AG15293" s="10"/>
    </row>
    <row r="15294" spans="33:33">
      <c r="AG15294" s="10"/>
    </row>
    <row r="15295" spans="33:33">
      <c r="AG15295" s="10"/>
    </row>
    <row r="15296" spans="33:33">
      <c r="AG15296" s="10"/>
    </row>
    <row r="15297" spans="33:33">
      <c r="AG15297" s="10"/>
    </row>
    <row r="15298" spans="33:33">
      <c r="AG15298" s="10"/>
    </row>
    <row r="15299" spans="33:33">
      <c r="AG15299" s="10"/>
    </row>
    <row r="15300" spans="33:33">
      <c r="AG15300" s="10"/>
    </row>
    <row r="15301" spans="33:33">
      <c r="AG15301" s="10"/>
    </row>
    <row r="15302" spans="33:33">
      <c r="AG15302" s="10"/>
    </row>
    <row r="15303" spans="33:33">
      <c r="AG15303" s="10"/>
    </row>
    <row r="15304" spans="33:33">
      <c r="AG15304" s="10"/>
    </row>
    <row r="15305" spans="33:33">
      <c r="AG15305" s="10"/>
    </row>
    <row r="15306" spans="33:33">
      <c r="AG15306" s="10"/>
    </row>
    <row r="15307" spans="33:33">
      <c r="AG15307" s="10"/>
    </row>
    <row r="15308" spans="33:33">
      <c r="AG15308" s="10"/>
    </row>
    <row r="15309" spans="33:33">
      <c r="AG15309" s="10"/>
    </row>
    <row r="15310" spans="33:33">
      <c r="AG15310" s="10"/>
    </row>
    <row r="15311" spans="33:33">
      <c r="AG15311" s="10"/>
    </row>
    <row r="15312" spans="33:33">
      <c r="AG15312" s="10"/>
    </row>
    <row r="15313" spans="33:33">
      <c r="AG15313" s="10"/>
    </row>
    <row r="15314" spans="33:33">
      <c r="AG15314" s="10"/>
    </row>
    <row r="15315" spans="33:33">
      <c r="AG15315" s="10"/>
    </row>
    <row r="15316" spans="33:33">
      <c r="AG15316" s="10"/>
    </row>
    <row r="15317" spans="33:33">
      <c r="AG15317" s="10"/>
    </row>
    <row r="15318" spans="33:33">
      <c r="AG15318" s="10"/>
    </row>
    <row r="15319" spans="33:33">
      <c r="AG15319" s="10"/>
    </row>
    <row r="15320" spans="33:33">
      <c r="AG15320" s="10"/>
    </row>
    <row r="15321" spans="33:33">
      <c r="AG15321" s="10"/>
    </row>
    <row r="15322" spans="33:33">
      <c r="AG15322" s="10"/>
    </row>
    <row r="15323" spans="33:33">
      <c r="AG15323" s="10"/>
    </row>
    <row r="15324" spans="33:33">
      <c r="AG15324" s="10"/>
    </row>
    <row r="15325" spans="33:33">
      <c r="AG15325" s="10"/>
    </row>
    <row r="15326" spans="33:33">
      <c r="AG15326" s="10"/>
    </row>
    <row r="15327" spans="33:33">
      <c r="AG15327" s="10"/>
    </row>
    <row r="15328" spans="33:33">
      <c r="AG15328" s="10"/>
    </row>
    <row r="15329" spans="33:33">
      <c r="AG15329" s="10"/>
    </row>
    <row r="15330" spans="33:33">
      <c r="AG15330" s="10"/>
    </row>
    <row r="15331" spans="33:33">
      <c r="AG15331" s="10"/>
    </row>
    <row r="15332" spans="33:33">
      <c r="AG15332" s="10"/>
    </row>
    <row r="15333" spans="33:33">
      <c r="AG15333" s="10"/>
    </row>
    <row r="15334" spans="33:33">
      <c r="AG15334" s="10"/>
    </row>
    <row r="15335" spans="33:33">
      <c r="AG15335" s="10"/>
    </row>
    <row r="15336" spans="33:33">
      <c r="AG15336" s="10"/>
    </row>
    <row r="15337" spans="33:33">
      <c r="AG15337" s="10"/>
    </row>
    <row r="15338" spans="33:33">
      <c r="AG15338" s="10"/>
    </row>
    <row r="15339" spans="33:33">
      <c r="AG15339" s="10"/>
    </row>
    <row r="15340" spans="33:33">
      <c r="AG15340" s="10"/>
    </row>
    <row r="15341" spans="33:33">
      <c r="AG15341" s="10"/>
    </row>
    <row r="15342" spans="33:33">
      <c r="AG15342" s="10"/>
    </row>
    <row r="15343" spans="33:33">
      <c r="AG15343" s="10"/>
    </row>
    <row r="15344" spans="33:33">
      <c r="AG15344" s="10"/>
    </row>
    <row r="15345" spans="33:33">
      <c r="AG15345" s="10"/>
    </row>
    <row r="15346" spans="33:33">
      <c r="AG15346" s="10"/>
    </row>
    <row r="15347" spans="33:33">
      <c r="AG15347" s="10"/>
    </row>
    <row r="15348" spans="33:33">
      <c r="AG15348" s="10"/>
    </row>
    <row r="15349" spans="33:33">
      <c r="AG15349" s="10"/>
    </row>
    <row r="15350" spans="33:33">
      <c r="AG15350" s="10"/>
    </row>
    <row r="15351" spans="33:33">
      <c r="AG15351" s="10"/>
    </row>
    <row r="15352" spans="33:33">
      <c r="AG15352" s="10"/>
    </row>
    <row r="15353" spans="33:33">
      <c r="AG15353" s="10"/>
    </row>
    <row r="15354" spans="33:33">
      <c r="AG15354" s="10"/>
    </row>
    <row r="15355" spans="33:33">
      <c r="AG15355" s="10"/>
    </row>
    <row r="15356" spans="33:33">
      <c r="AG15356" s="10"/>
    </row>
    <row r="15357" spans="33:33">
      <c r="AG15357" s="10"/>
    </row>
    <row r="15358" spans="33:33">
      <c r="AG15358" s="10"/>
    </row>
    <row r="15359" spans="33:33">
      <c r="AG15359" s="10"/>
    </row>
    <row r="15360" spans="33:33">
      <c r="AG15360" s="10"/>
    </row>
    <row r="15361" spans="33:33">
      <c r="AG15361" s="10"/>
    </row>
    <row r="15362" spans="33:33">
      <c r="AG15362" s="10"/>
    </row>
    <row r="15363" spans="33:33">
      <c r="AG15363" s="10"/>
    </row>
    <row r="15364" spans="33:33">
      <c r="AG15364" s="10"/>
    </row>
    <row r="15365" spans="33:33">
      <c r="AG15365" s="10"/>
    </row>
    <row r="15366" spans="33:33">
      <c r="AG15366" s="10"/>
    </row>
    <row r="15367" spans="33:33">
      <c r="AG15367" s="10"/>
    </row>
    <row r="15368" spans="33:33">
      <c r="AG15368" s="10"/>
    </row>
    <row r="15369" spans="33:33">
      <c r="AG15369" s="10"/>
    </row>
    <row r="15370" spans="33:33">
      <c r="AG15370" s="10"/>
    </row>
    <row r="15371" spans="33:33">
      <c r="AG15371" s="10"/>
    </row>
    <row r="15372" spans="33:33">
      <c r="AG15372" s="10"/>
    </row>
    <row r="15373" spans="33:33">
      <c r="AG15373" s="10"/>
    </row>
    <row r="15374" spans="33:33">
      <c r="AG15374" s="10"/>
    </row>
    <row r="15375" spans="33:33">
      <c r="AG15375" s="10"/>
    </row>
    <row r="15376" spans="33:33">
      <c r="AG15376" s="10"/>
    </row>
    <row r="15377" spans="33:33">
      <c r="AG15377" s="10"/>
    </row>
    <row r="15378" spans="33:33">
      <c r="AG15378" s="10"/>
    </row>
    <row r="15379" spans="33:33">
      <c r="AG15379" s="10"/>
    </row>
    <row r="15380" spans="33:33">
      <c r="AG15380" s="10"/>
    </row>
    <row r="15381" spans="33:33">
      <c r="AG15381" s="10"/>
    </row>
    <row r="15382" spans="33:33">
      <c r="AG15382" s="10"/>
    </row>
    <row r="15383" spans="33:33">
      <c r="AG15383" s="10"/>
    </row>
    <row r="15384" spans="33:33">
      <c r="AG15384" s="10"/>
    </row>
    <row r="15385" spans="33:33">
      <c r="AG15385" s="10"/>
    </row>
    <row r="15386" spans="33:33">
      <c r="AG15386" s="10"/>
    </row>
    <row r="15387" spans="33:33">
      <c r="AG15387" s="10"/>
    </row>
    <row r="15388" spans="33:33">
      <c r="AG15388" s="10"/>
    </row>
    <row r="15389" spans="33:33">
      <c r="AG15389" s="10"/>
    </row>
    <row r="15390" spans="33:33">
      <c r="AG15390" s="10"/>
    </row>
    <row r="15391" spans="33:33">
      <c r="AG15391" s="10"/>
    </row>
    <row r="15392" spans="33:33">
      <c r="AG15392" s="10"/>
    </row>
    <row r="15393" spans="33:33">
      <c r="AG15393" s="10"/>
    </row>
    <row r="15394" spans="33:33">
      <c r="AG15394" s="10"/>
    </row>
    <row r="15395" spans="33:33">
      <c r="AG15395" s="10"/>
    </row>
    <row r="15396" spans="33:33">
      <c r="AG15396" s="10"/>
    </row>
    <row r="15397" spans="33:33">
      <c r="AG15397" s="10"/>
    </row>
    <row r="15398" spans="33:33">
      <c r="AG15398" s="10"/>
    </row>
    <row r="15399" spans="33:33">
      <c r="AG15399" s="10"/>
    </row>
    <row r="15400" spans="33:33">
      <c r="AG15400" s="10"/>
    </row>
    <row r="15401" spans="33:33">
      <c r="AG15401" s="10"/>
    </row>
    <row r="15402" spans="33:33">
      <c r="AG15402" s="10"/>
    </row>
    <row r="15403" spans="33:33">
      <c r="AG15403" s="10"/>
    </row>
    <row r="15404" spans="33:33">
      <c r="AG15404" s="10"/>
    </row>
    <row r="15405" spans="33:33">
      <c r="AG15405" s="10"/>
    </row>
    <row r="15406" spans="33:33">
      <c r="AG15406" s="10"/>
    </row>
    <row r="15407" spans="33:33">
      <c r="AG15407" s="10"/>
    </row>
    <row r="15408" spans="33:33">
      <c r="AG15408" s="10"/>
    </row>
    <row r="15409" spans="33:33">
      <c r="AG15409" s="10"/>
    </row>
    <row r="15410" spans="33:33">
      <c r="AG15410" s="10"/>
    </row>
    <row r="15411" spans="33:33">
      <c r="AG15411" s="10"/>
    </row>
    <row r="15412" spans="33:33">
      <c r="AG15412" s="10"/>
    </row>
    <row r="15413" spans="33:33">
      <c r="AG15413" s="10"/>
    </row>
    <row r="15414" spans="33:33">
      <c r="AG15414" s="10"/>
    </row>
    <row r="15415" spans="33:33">
      <c r="AG15415" s="10"/>
    </row>
    <row r="15416" spans="33:33">
      <c r="AG15416" s="10"/>
    </row>
    <row r="15417" spans="33:33">
      <c r="AG15417" s="10"/>
    </row>
    <row r="15418" spans="33:33">
      <c r="AG15418" s="10"/>
    </row>
    <row r="15419" spans="33:33">
      <c r="AG15419" s="10"/>
    </row>
    <row r="15420" spans="33:33">
      <c r="AG15420" s="10"/>
    </row>
    <row r="15421" spans="33:33">
      <c r="AG15421" s="10"/>
    </row>
    <row r="15422" spans="33:33">
      <c r="AG15422" s="10"/>
    </row>
    <row r="15423" spans="33:33">
      <c r="AG15423" s="10"/>
    </row>
    <row r="15424" spans="33:33">
      <c r="AG15424" s="10"/>
    </row>
    <row r="15425" spans="33:33">
      <c r="AG15425" s="10"/>
    </row>
    <row r="15426" spans="33:33">
      <c r="AG15426" s="10"/>
    </row>
    <row r="15427" spans="33:33">
      <c r="AG15427" s="10"/>
    </row>
    <row r="15428" spans="33:33">
      <c r="AG15428" s="10"/>
    </row>
    <row r="15429" spans="33:33">
      <c r="AG15429" s="10"/>
    </row>
    <row r="15430" spans="33:33">
      <c r="AG15430" s="10"/>
    </row>
    <row r="15431" spans="33:33">
      <c r="AG15431" s="10"/>
    </row>
    <row r="15432" spans="33:33">
      <c r="AG15432" s="10"/>
    </row>
    <row r="15433" spans="33:33">
      <c r="AG15433" s="10"/>
    </row>
    <row r="15434" spans="33:33">
      <c r="AG15434" s="10"/>
    </row>
    <row r="15435" spans="33:33">
      <c r="AG15435" s="10"/>
    </row>
    <row r="15436" spans="33:33">
      <c r="AG15436" s="10"/>
    </row>
    <row r="15437" spans="33:33">
      <c r="AG15437" s="10"/>
    </row>
    <row r="15438" spans="33:33">
      <c r="AG15438" s="10"/>
    </row>
    <row r="15439" spans="33:33">
      <c r="AG15439" s="10"/>
    </row>
    <row r="15440" spans="33:33">
      <c r="AG15440" s="10"/>
    </row>
    <row r="15441" spans="33:33">
      <c r="AG15441" s="10"/>
    </row>
    <row r="15442" spans="33:33">
      <c r="AG15442" s="10"/>
    </row>
    <row r="15443" spans="33:33">
      <c r="AG15443" s="10"/>
    </row>
    <row r="15444" spans="33:33">
      <c r="AG15444" s="10"/>
    </row>
    <row r="15445" spans="33:33">
      <c r="AG15445" s="10"/>
    </row>
    <row r="15446" spans="33:33">
      <c r="AG15446" s="10"/>
    </row>
    <row r="15447" spans="33:33">
      <c r="AG15447" s="10"/>
    </row>
    <row r="15448" spans="33:33">
      <c r="AG15448" s="10"/>
    </row>
    <row r="15449" spans="33:33">
      <c r="AG15449" s="10"/>
    </row>
    <row r="15450" spans="33:33">
      <c r="AG15450" s="10"/>
    </row>
    <row r="15451" spans="33:33">
      <c r="AG15451" s="10"/>
    </row>
    <row r="15452" spans="33:33">
      <c r="AG15452" s="10"/>
    </row>
    <row r="15453" spans="33:33">
      <c r="AG15453" s="10"/>
    </row>
    <row r="15454" spans="33:33">
      <c r="AG15454" s="10"/>
    </row>
    <row r="15455" spans="33:33">
      <c r="AG15455" s="10"/>
    </row>
    <row r="15456" spans="33:33">
      <c r="AG15456" s="10"/>
    </row>
    <row r="15457" spans="33:33">
      <c r="AG15457" s="10"/>
    </row>
    <row r="15458" spans="33:33">
      <c r="AG15458" s="10"/>
    </row>
    <row r="15459" spans="33:33">
      <c r="AG15459" s="10"/>
    </row>
    <row r="15460" spans="33:33">
      <c r="AG15460" s="10"/>
    </row>
    <row r="15461" spans="33:33">
      <c r="AG15461" s="10"/>
    </row>
    <row r="15462" spans="33:33">
      <c r="AG15462" s="10"/>
    </row>
    <row r="15463" spans="33:33">
      <c r="AG15463" s="10"/>
    </row>
    <row r="15464" spans="33:33">
      <c r="AG15464" s="10"/>
    </row>
    <row r="15465" spans="33:33">
      <c r="AG15465" s="10"/>
    </row>
    <row r="15466" spans="33:33">
      <c r="AG15466" s="10"/>
    </row>
    <row r="15467" spans="33:33">
      <c r="AG15467" s="10"/>
    </row>
    <row r="15468" spans="33:33">
      <c r="AG15468" s="10"/>
    </row>
    <row r="15469" spans="33:33">
      <c r="AG15469" s="10"/>
    </row>
    <row r="15470" spans="33:33">
      <c r="AG15470" s="10"/>
    </row>
    <row r="15471" spans="33:33">
      <c r="AG15471" s="10"/>
    </row>
    <row r="15472" spans="33:33">
      <c r="AG15472" s="10"/>
    </row>
    <row r="15473" spans="33:33">
      <c r="AG15473" s="10"/>
    </row>
    <row r="15474" spans="33:33">
      <c r="AG15474" s="10"/>
    </row>
    <row r="15475" spans="33:33">
      <c r="AG15475" s="10"/>
    </row>
    <row r="15476" spans="33:33">
      <c r="AG15476" s="10"/>
    </row>
    <row r="15477" spans="33:33">
      <c r="AG15477" s="10"/>
    </row>
    <row r="15478" spans="33:33">
      <c r="AG15478" s="10"/>
    </row>
    <row r="15479" spans="33:33">
      <c r="AG15479" s="10"/>
    </row>
    <row r="15480" spans="33:33">
      <c r="AG15480" s="10"/>
    </row>
    <row r="15481" spans="33:33">
      <c r="AG15481" s="10"/>
    </row>
    <row r="15482" spans="33:33">
      <c r="AG15482" s="10"/>
    </row>
    <row r="15483" spans="33:33">
      <c r="AG15483" s="10"/>
    </row>
    <row r="15484" spans="33:33">
      <c r="AG15484" s="10"/>
    </row>
    <row r="15485" spans="33:33">
      <c r="AG15485" s="10"/>
    </row>
    <row r="15486" spans="33:33">
      <c r="AG15486" s="10"/>
    </row>
    <row r="15487" spans="33:33">
      <c r="AG15487" s="10"/>
    </row>
    <row r="15488" spans="33:33">
      <c r="AG15488" s="10"/>
    </row>
    <row r="15489" spans="33:33">
      <c r="AG15489" s="10"/>
    </row>
    <row r="15490" spans="33:33">
      <c r="AG15490" s="10"/>
    </row>
    <row r="15491" spans="33:33">
      <c r="AG15491" s="10"/>
    </row>
    <row r="15492" spans="33:33">
      <c r="AG15492" s="10"/>
    </row>
    <row r="15493" spans="33:33">
      <c r="AG15493" s="10"/>
    </row>
    <row r="15494" spans="33:33">
      <c r="AG15494" s="10"/>
    </row>
    <row r="15495" spans="33:33">
      <c r="AG15495" s="10"/>
    </row>
    <row r="15496" spans="33:33">
      <c r="AG15496" s="10"/>
    </row>
    <row r="15497" spans="33:33">
      <c r="AG15497" s="10"/>
    </row>
    <row r="15498" spans="33:33">
      <c r="AG15498" s="10"/>
    </row>
    <row r="15499" spans="33:33">
      <c r="AG15499" s="10"/>
    </row>
    <row r="15500" spans="33:33">
      <c r="AG15500" s="10"/>
    </row>
    <row r="15501" spans="33:33">
      <c r="AG15501" s="10"/>
    </row>
    <row r="15502" spans="33:33">
      <c r="AG15502" s="10"/>
    </row>
    <row r="15503" spans="33:33">
      <c r="AG15503" s="10"/>
    </row>
    <row r="15504" spans="33:33">
      <c r="AG15504" s="10"/>
    </row>
    <row r="15505" spans="33:33">
      <c r="AG15505" s="10"/>
    </row>
    <row r="15506" spans="33:33">
      <c r="AG15506" s="10"/>
    </row>
    <row r="15507" spans="33:33">
      <c r="AG15507" s="10"/>
    </row>
    <row r="15508" spans="33:33">
      <c r="AG15508" s="10"/>
    </row>
    <row r="15509" spans="33:33">
      <c r="AG15509" s="10"/>
    </row>
    <row r="15510" spans="33:33">
      <c r="AG15510" s="10"/>
    </row>
    <row r="15511" spans="33:33">
      <c r="AG15511" s="10"/>
    </row>
    <row r="15512" spans="33:33">
      <c r="AG15512" s="10"/>
    </row>
    <row r="15513" spans="33:33">
      <c r="AG15513" s="10"/>
    </row>
    <row r="15514" spans="33:33">
      <c r="AG15514" s="10"/>
    </row>
    <row r="15515" spans="33:33">
      <c r="AG15515" s="10"/>
    </row>
    <row r="15516" spans="33:33">
      <c r="AG15516" s="10"/>
    </row>
    <row r="15517" spans="33:33">
      <c r="AG15517" s="10"/>
    </row>
    <row r="15518" spans="33:33">
      <c r="AG15518" s="10"/>
    </row>
    <row r="15519" spans="33:33">
      <c r="AG15519" s="10"/>
    </row>
    <row r="15520" spans="33:33">
      <c r="AG15520" s="10"/>
    </row>
    <row r="15521" spans="33:33">
      <c r="AG15521" s="10"/>
    </row>
    <row r="15522" spans="33:33">
      <c r="AG15522" s="10"/>
    </row>
    <row r="15523" spans="33:33">
      <c r="AG15523" s="10"/>
    </row>
    <row r="15524" spans="33:33">
      <c r="AG15524" s="10"/>
    </row>
    <row r="15525" spans="33:33">
      <c r="AG15525" s="10"/>
    </row>
    <row r="15526" spans="33:33">
      <c r="AG15526" s="10"/>
    </row>
    <row r="15527" spans="33:33">
      <c r="AG15527" s="10"/>
    </row>
    <row r="15528" spans="33:33">
      <c r="AG15528" s="10"/>
    </row>
    <row r="15529" spans="33:33">
      <c r="AG15529" s="10"/>
    </row>
    <row r="15530" spans="33:33">
      <c r="AG15530" s="10"/>
    </row>
    <row r="15531" spans="33:33">
      <c r="AG15531" s="10"/>
    </row>
    <row r="15532" spans="33:33">
      <c r="AG15532" s="10"/>
    </row>
    <row r="15533" spans="33:33">
      <c r="AG15533" s="10"/>
    </row>
    <row r="15534" spans="33:33">
      <c r="AG15534" s="10"/>
    </row>
    <row r="15535" spans="33:33">
      <c r="AG15535" s="10"/>
    </row>
    <row r="15536" spans="33:33">
      <c r="AG15536" s="10"/>
    </row>
    <row r="15537" spans="33:33">
      <c r="AG15537" s="10"/>
    </row>
    <row r="15538" spans="33:33">
      <c r="AG15538" s="10"/>
    </row>
    <row r="15539" spans="33:33">
      <c r="AG15539" s="10"/>
    </row>
    <row r="15540" spans="33:33">
      <c r="AG15540" s="10"/>
    </row>
    <row r="15541" spans="33:33">
      <c r="AG15541" s="10"/>
    </row>
    <row r="15542" spans="33:33">
      <c r="AG15542" s="10"/>
    </row>
    <row r="15543" spans="33:33">
      <c r="AG15543" s="10"/>
    </row>
    <row r="15544" spans="33:33">
      <c r="AG15544" s="10"/>
    </row>
    <row r="15545" spans="33:33">
      <c r="AG15545" s="10"/>
    </row>
    <row r="15546" spans="33:33">
      <c r="AG15546" s="10"/>
    </row>
    <row r="15547" spans="33:33">
      <c r="AG15547" s="10"/>
    </row>
    <row r="15548" spans="33:33">
      <c r="AG15548" s="10"/>
    </row>
    <row r="15549" spans="33:33">
      <c r="AG15549" s="10"/>
    </row>
    <row r="15550" spans="33:33">
      <c r="AG15550" s="10"/>
    </row>
    <row r="15551" spans="33:33">
      <c r="AG15551" s="10"/>
    </row>
    <row r="15552" spans="33:33">
      <c r="AG15552" s="10"/>
    </row>
    <row r="15553" spans="33:33">
      <c r="AG15553" s="10"/>
    </row>
    <row r="15554" spans="33:33">
      <c r="AG15554" s="10"/>
    </row>
    <row r="15555" spans="33:33">
      <c r="AG15555" s="10"/>
    </row>
    <row r="15556" spans="33:33">
      <c r="AG15556" s="10"/>
    </row>
    <row r="15557" spans="33:33">
      <c r="AG15557" s="10"/>
    </row>
    <row r="15558" spans="33:33">
      <c r="AG15558" s="10"/>
    </row>
    <row r="15559" spans="33:33">
      <c r="AG15559" s="10"/>
    </row>
    <row r="15560" spans="33:33">
      <c r="AG15560" s="10"/>
    </row>
    <row r="15561" spans="33:33">
      <c r="AG15561" s="10"/>
    </row>
    <row r="15562" spans="33:33">
      <c r="AG15562" s="10"/>
    </row>
    <row r="15563" spans="33:33">
      <c r="AG15563" s="10"/>
    </row>
    <row r="15564" spans="33:33">
      <c r="AG15564" s="10"/>
    </row>
    <row r="15565" spans="33:33">
      <c r="AG15565" s="10"/>
    </row>
    <row r="15566" spans="33:33">
      <c r="AG15566" s="10"/>
    </row>
    <row r="15567" spans="33:33">
      <c r="AG15567" s="10"/>
    </row>
    <row r="15568" spans="33:33">
      <c r="AG15568" s="10"/>
    </row>
    <row r="15569" spans="33:33">
      <c r="AG15569" s="10"/>
    </row>
    <row r="15570" spans="33:33">
      <c r="AG15570" s="10"/>
    </row>
    <row r="15571" spans="33:33">
      <c r="AG15571" s="10"/>
    </row>
    <row r="15572" spans="33:33">
      <c r="AG15572" s="10"/>
    </row>
    <row r="15573" spans="33:33">
      <c r="AG15573" s="10"/>
    </row>
    <row r="15574" spans="33:33">
      <c r="AG15574" s="10"/>
    </row>
    <row r="15575" spans="33:33">
      <c r="AG15575" s="10"/>
    </row>
    <row r="15576" spans="33:33">
      <c r="AG15576" s="10"/>
    </row>
    <row r="15577" spans="33:33">
      <c r="AG15577" s="10"/>
    </row>
    <row r="15578" spans="33:33">
      <c r="AG15578" s="10"/>
    </row>
    <row r="15579" spans="33:33">
      <c r="AG15579" s="10"/>
    </row>
    <row r="15580" spans="33:33">
      <c r="AG15580" s="10"/>
    </row>
    <row r="15581" spans="33:33">
      <c r="AG15581" s="10"/>
    </row>
    <row r="15582" spans="33:33">
      <c r="AG15582" s="10"/>
    </row>
    <row r="15583" spans="33:33">
      <c r="AG15583" s="10"/>
    </row>
    <row r="15584" spans="33:33">
      <c r="AG15584" s="10"/>
    </row>
    <row r="15585" spans="33:33">
      <c r="AG15585" s="10"/>
    </row>
    <row r="15586" spans="33:33">
      <c r="AG15586" s="10"/>
    </row>
    <row r="15587" spans="33:33">
      <c r="AG15587" s="10"/>
    </row>
    <row r="15588" spans="33:33">
      <c r="AG15588" s="10"/>
    </row>
    <row r="15589" spans="33:33">
      <c r="AG15589" s="10"/>
    </row>
    <row r="15590" spans="33:33">
      <c r="AG15590" s="10"/>
    </row>
    <row r="15591" spans="33:33">
      <c r="AG15591" s="10"/>
    </row>
    <row r="15592" spans="33:33">
      <c r="AG15592" s="10"/>
    </row>
    <row r="15593" spans="33:33">
      <c r="AG15593" s="10"/>
    </row>
    <row r="15594" spans="33:33">
      <c r="AG15594" s="10"/>
    </row>
    <row r="15595" spans="33:33">
      <c r="AG15595" s="10"/>
    </row>
    <row r="15596" spans="33:33">
      <c r="AG15596" s="10"/>
    </row>
    <row r="15597" spans="33:33">
      <c r="AG15597" s="10"/>
    </row>
    <row r="15598" spans="33:33">
      <c r="AG15598" s="10"/>
    </row>
    <row r="15599" spans="33:33">
      <c r="AG15599" s="10"/>
    </row>
    <row r="15600" spans="33:33">
      <c r="AG15600" s="10"/>
    </row>
    <row r="15601" spans="33:33">
      <c r="AG15601" s="10"/>
    </row>
    <row r="15602" spans="33:33">
      <c r="AG15602" s="10"/>
    </row>
    <row r="15603" spans="33:33">
      <c r="AG15603" s="10"/>
    </row>
    <row r="15604" spans="33:33">
      <c r="AG15604" s="10"/>
    </row>
    <row r="15605" spans="33:33">
      <c r="AG15605" s="10"/>
    </row>
    <row r="15606" spans="33:33">
      <c r="AG15606" s="10"/>
    </row>
    <row r="15607" spans="33:33">
      <c r="AG15607" s="10"/>
    </row>
    <row r="15608" spans="33:33">
      <c r="AG15608" s="10"/>
    </row>
    <row r="15609" spans="33:33">
      <c r="AG15609" s="10"/>
    </row>
    <row r="15610" spans="33:33">
      <c r="AG15610" s="10"/>
    </row>
    <row r="15611" spans="33:33">
      <c r="AG15611" s="10"/>
    </row>
    <row r="15612" spans="33:33">
      <c r="AG15612" s="10"/>
    </row>
    <row r="15613" spans="33:33">
      <c r="AG15613" s="10"/>
    </row>
    <row r="15614" spans="33:33">
      <c r="AG15614" s="10"/>
    </row>
    <row r="15615" spans="33:33">
      <c r="AG15615" s="10"/>
    </row>
    <row r="15616" spans="33:33">
      <c r="AG15616" s="10"/>
    </row>
    <row r="15617" spans="33:33">
      <c r="AG15617" s="10"/>
    </row>
    <row r="15618" spans="33:33">
      <c r="AG15618" s="10"/>
    </row>
    <row r="15619" spans="33:33">
      <c r="AG15619" s="10"/>
    </row>
    <row r="15620" spans="33:33">
      <c r="AG15620" s="10"/>
    </row>
    <row r="15621" spans="33:33">
      <c r="AG15621" s="10"/>
    </row>
    <row r="15622" spans="33:33">
      <c r="AG15622" s="10"/>
    </row>
    <row r="15623" spans="33:33">
      <c r="AG15623" s="10"/>
    </row>
    <row r="15624" spans="33:33">
      <c r="AG15624" s="10"/>
    </row>
    <row r="15625" spans="33:33">
      <c r="AG15625" s="10"/>
    </row>
    <row r="15626" spans="33:33">
      <c r="AG15626" s="10"/>
    </row>
    <row r="15627" spans="33:33">
      <c r="AG15627" s="10"/>
    </row>
    <row r="15628" spans="33:33">
      <c r="AG15628" s="10"/>
    </row>
    <row r="15629" spans="33:33">
      <c r="AG15629" s="10"/>
    </row>
    <row r="15630" spans="33:33">
      <c r="AG15630" s="10"/>
    </row>
    <row r="15631" spans="33:33">
      <c r="AG15631" s="10"/>
    </row>
    <row r="15632" spans="33:33">
      <c r="AG15632" s="10"/>
    </row>
    <row r="15633" spans="33:33">
      <c r="AG15633" s="10"/>
    </row>
    <row r="15634" spans="33:33">
      <c r="AG15634" s="10"/>
    </row>
    <row r="15635" spans="33:33">
      <c r="AG15635" s="10"/>
    </row>
    <row r="15636" spans="33:33">
      <c r="AG15636" s="10"/>
    </row>
    <row r="15637" spans="33:33">
      <c r="AG15637" s="10"/>
    </row>
    <row r="15638" spans="33:33">
      <c r="AG15638" s="10"/>
    </row>
    <row r="15639" spans="33:33">
      <c r="AG15639" s="10"/>
    </row>
    <row r="15640" spans="33:33">
      <c r="AG15640" s="10"/>
    </row>
    <row r="15641" spans="33:33">
      <c r="AG15641" s="10"/>
    </row>
    <row r="15642" spans="33:33">
      <c r="AG15642" s="10"/>
    </row>
    <row r="15643" spans="33:33">
      <c r="AG15643" s="10"/>
    </row>
    <row r="15644" spans="33:33">
      <c r="AG15644" s="10"/>
    </row>
    <row r="15645" spans="33:33">
      <c r="AG15645" s="10"/>
    </row>
    <row r="15646" spans="33:33">
      <c r="AG15646" s="10"/>
    </row>
    <row r="15647" spans="33:33">
      <c r="AG15647" s="10"/>
    </row>
    <row r="15648" spans="33:33">
      <c r="AG15648" s="10"/>
    </row>
    <row r="15649" spans="33:33">
      <c r="AG15649" s="10"/>
    </row>
    <row r="15650" spans="33:33">
      <c r="AG15650" s="10"/>
    </row>
    <row r="15651" spans="33:33">
      <c r="AG15651" s="10"/>
    </row>
    <row r="15652" spans="33:33">
      <c r="AG15652" s="10"/>
    </row>
    <row r="15653" spans="33:33">
      <c r="AG15653" s="10"/>
    </row>
    <row r="15654" spans="33:33">
      <c r="AG15654" s="10"/>
    </row>
    <row r="15655" spans="33:33">
      <c r="AG15655" s="10"/>
    </row>
    <row r="15656" spans="33:33">
      <c r="AG15656" s="10"/>
    </row>
    <row r="15657" spans="33:33">
      <c r="AG15657" s="10"/>
    </row>
    <row r="15658" spans="33:33">
      <c r="AG15658" s="10"/>
    </row>
    <row r="15659" spans="33:33">
      <c r="AG15659" s="10"/>
    </row>
    <row r="15660" spans="33:33">
      <c r="AG15660" s="10"/>
    </row>
    <row r="15661" spans="33:33">
      <c r="AG15661" s="10"/>
    </row>
    <row r="15662" spans="33:33">
      <c r="AG15662" s="10"/>
    </row>
    <row r="15663" spans="33:33">
      <c r="AG15663" s="10"/>
    </row>
    <row r="15664" spans="33:33">
      <c r="AG15664" s="10"/>
    </row>
    <row r="15665" spans="33:33">
      <c r="AG15665" s="10"/>
    </row>
    <row r="15666" spans="33:33">
      <c r="AG15666" s="10"/>
    </row>
    <row r="15667" spans="33:33">
      <c r="AG15667" s="10"/>
    </row>
    <row r="15668" spans="33:33">
      <c r="AG15668" s="10"/>
    </row>
    <row r="15669" spans="33:33">
      <c r="AG15669" s="10"/>
    </row>
    <row r="15670" spans="33:33">
      <c r="AG15670" s="10"/>
    </row>
    <row r="15671" spans="33:33">
      <c r="AG15671" s="10"/>
    </row>
    <row r="15672" spans="33:33">
      <c r="AG15672" s="10"/>
    </row>
    <row r="15673" spans="33:33">
      <c r="AG15673" s="10"/>
    </row>
    <row r="15674" spans="33:33">
      <c r="AG15674" s="10"/>
    </row>
    <row r="15675" spans="33:33">
      <c r="AG15675" s="10"/>
    </row>
    <row r="15676" spans="33:33">
      <c r="AG15676" s="10"/>
    </row>
    <row r="15677" spans="33:33">
      <c r="AG15677" s="10"/>
    </row>
    <row r="15678" spans="33:33">
      <c r="AG15678" s="10"/>
    </row>
    <row r="15679" spans="33:33">
      <c r="AG15679" s="10"/>
    </row>
    <row r="15680" spans="33:33">
      <c r="AG15680" s="10"/>
    </row>
    <row r="15681" spans="33:33">
      <c r="AG15681" s="10"/>
    </row>
    <row r="15682" spans="33:33">
      <c r="AG15682" s="10"/>
    </row>
    <row r="15683" spans="33:33">
      <c r="AG15683" s="10"/>
    </row>
    <row r="15684" spans="33:33">
      <c r="AG15684" s="10"/>
    </row>
    <row r="15685" spans="33:33">
      <c r="AG15685" s="10"/>
    </row>
    <row r="15686" spans="33:33">
      <c r="AG15686" s="10"/>
    </row>
    <row r="15687" spans="33:33">
      <c r="AG15687" s="10"/>
    </row>
    <row r="15688" spans="33:33">
      <c r="AG15688" s="10"/>
    </row>
    <row r="15689" spans="33:33">
      <c r="AG15689" s="10"/>
    </row>
    <row r="15690" spans="33:33">
      <c r="AG15690" s="10"/>
    </row>
    <row r="15691" spans="33:33">
      <c r="AG15691" s="10"/>
    </row>
    <row r="15692" spans="33:33">
      <c r="AG15692" s="10"/>
    </row>
    <row r="15693" spans="33:33">
      <c r="AG15693" s="10"/>
    </row>
    <row r="15694" spans="33:33">
      <c r="AG15694" s="10"/>
    </row>
    <row r="15695" spans="33:33">
      <c r="AG15695" s="10"/>
    </row>
    <row r="15696" spans="33:33">
      <c r="AG15696" s="10"/>
    </row>
    <row r="15697" spans="33:33">
      <c r="AG15697" s="10"/>
    </row>
    <row r="15698" spans="33:33">
      <c r="AG15698" s="10"/>
    </row>
    <row r="15699" spans="33:33">
      <c r="AG15699" s="10"/>
    </row>
    <row r="15700" spans="33:33">
      <c r="AG15700" s="10"/>
    </row>
    <row r="15701" spans="33:33">
      <c r="AG15701" s="10"/>
    </row>
    <row r="15702" spans="33:33">
      <c r="AG15702" s="10"/>
    </row>
    <row r="15703" spans="33:33">
      <c r="AG15703" s="10"/>
    </row>
    <row r="15704" spans="33:33">
      <c r="AG15704" s="10"/>
    </row>
    <row r="15705" spans="33:33">
      <c r="AG15705" s="10"/>
    </row>
    <row r="15706" spans="33:33">
      <c r="AG15706" s="10"/>
    </row>
    <row r="15707" spans="33:33">
      <c r="AG15707" s="10"/>
    </row>
    <row r="15708" spans="33:33">
      <c r="AG15708" s="10"/>
    </row>
    <row r="15709" spans="33:33">
      <c r="AG15709" s="10"/>
    </row>
    <row r="15710" spans="33:33">
      <c r="AG15710" s="10"/>
    </row>
    <row r="15711" spans="33:33">
      <c r="AG15711" s="10"/>
    </row>
    <row r="15712" spans="33:33">
      <c r="AG15712" s="10"/>
    </row>
    <row r="15713" spans="33:33">
      <c r="AG15713" s="10"/>
    </row>
    <row r="15714" spans="33:33">
      <c r="AG15714" s="10"/>
    </row>
    <row r="15715" spans="33:33">
      <c r="AG15715" s="10"/>
    </row>
    <row r="15716" spans="33:33">
      <c r="AG15716" s="10"/>
    </row>
    <row r="15717" spans="33:33">
      <c r="AG15717" s="10"/>
    </row>
    <row r="15718" spans="33:33">
      <c r="AG15718" s="10"/>
    </row>
    <row r="15719" spans="33:33">
      <c r="AG15719" s="10"/>
    </row>
    <row r="15720" spans="33:33">
      <c r="AG15720" s="10"/>
    </row>
    <row r="15721" spans="33:33">
      <c r="AG15721" s="10"/>
    </row>
    <row r="15722" spans="33:33">
      <c r="AG15722" s="10"/>
    </row>
    <row r="15723" spans="33:33">
      <c r="AG15723" s="10"/>
    </row>
    <row r="15724" spans="33:33">
      <c r="AG15724" s="10"/>
    </row>
    <row r="15725" spans="33:33">
      <c r="AG15725" s="10"/>
    </row>
    <row r="15726" spans="33:33">
      <c r="AG15726" s="10"/>
    </row>
    <row r="15727" spans="33:33">
      <c r="AG15727" s="10"/>
    </row>
    <row r="15728" spans="33:33">
      <c r="AG15728" s="10"/>
    </row>
    <row r="15729" spans="33:33">
      <c r="AG15729" s="10"/>
    </row>
    <row r="15730" spans="33:33">
      <c r="AG15730" s="10"/>
    </row>
    <row r="15731" spans="33:33">
      <c r="AG15731" s="10"/>
    </row>
    <row r="15732" spans="33:33">
      <c r="AG15732" s="10"/>
    </row>
    <row r="15733" spans="33:33">
      <c r="AG15733" s="10"/>
    </row>
    <row r="15734" spans="33:33">
      <c r="AG15734" s="10"/>
    </row>
    <row r="15735" spans="33:33">
      <c r="AG15735" s="10"/>
    </row>
    <row r="15736" spans="33:33">
      <c r="AG15736" s="10"/>
    </row>
    <row r="15737" spans="33:33">
      <c r="AG15737" s="10"/>
    </row>
    <row r="15738" spans="33:33">
      <c r="AG15738" s="10"/>
    </row>
    <row r="15739" spans="33:33">
      <c r="AG15739" s="10"/>
    </row>
    <row r="15740" spans="33:33">
      <c r="AG15740" s="10"/>
    </row>
    <row r="15741" spans="33:33">
      <c r="AG15741" s="10"/>
    </row>
    <row r="15742" spans="33:33">
      <c r="AG15742" s="10"/>
    </row>
    <row r="15743" spans="33:33">
      <c r="AG15743" s="10"/>
    </row>
    <row r="15744" spans="33:33">
      <c r="AG15744" s="10"/>
    </row>
    <row r="15745" spans="33:33">
      <c r="AG15745" s="10"/>
    </row>
    <row r="15746" spans="33:33">
      <c r="AG15746" s="10"/>
    </row>
    <row r="15747" spans="33:33">
      <c r="AG15747" s="10"/>
    </row>
    <row r="15748" spans="33:33">
      <c r="AG15748" s="10"/>
    </row>
    <row r="15749" spans="33:33">
      <c r="AG15749" s="10"/>
    </row>
    <row r="15750" spans="33:33">
      <c r="AG15750" s="10"/>
    </row>
    <row r="15751" spans="33:33">
      <c r="AG15751" s="10"/>
    </row>
    <row r="15752" spans="33:33">
      <c r="AG15752" s="10"/>
    </row>
    <row r="15753" spans="33:33">
      <c r="AG15753" s="10"/>
    </row>
    <row r="15754" spans="33:33">
      <c r="AG15754" s="10"/>
    </row>
    <row r="15755" spans="33:33">
      <c r="AG15755" s="10"/>
    </row>
    <row r="15756" spans="33:33">
      <c r="AG15756" s="10"/>
    </row>
    <row r="15757" spans="33:33">
      <c r="AG15757" s="10"/>
    </row>
    <row r="15758" spans="33:33">
      <c r="AG15758" s="10"/>
    </row>
    <row r="15759" spans="33:33">
      <c r="AG15759" s="10"/>
    </row>
    <row r="15760" spans="33:33">
      <c r="AG15760" s="10"/>
    </row>
    <row r="15761" spans="33:33">
      <c r="AG15761" s="10"/>
    </row>
    <row r="15762" spans="33:33">
      <c r="AG15762" s="10"/>
    </row>
    <row r="15763" spans="33:33">
      <c r="AG15763" s="10"/>
    </row>
    <row r="15764" spans="33:33">
      <c r="AG15764" s="10"/>
    </row>
    <row r="15765" spans="33:33">
      <c r="AG15765" s="10"/>
    </row>
    <row r="15766" spans="33:33">
      <c r="AG15766" s="10"/>
    </row>
    <row r="15767" spans="33:33">
      <c r="AG15767" s="10"/>
    </row>
    <row r="15768" spans="33:33">
      <c r="AG15768" s="10"/>
    </row>
    <row r="15769" spans="33:33">
      <c r="AG15769" s="10"/>
    </row>
    <row r="15770" spans="33:33">
      <c r="AG15770" s="10"/>
    </row>
  </sheetData>
  <autoFilter ref="A1:AG1337">
    <extLst/>
  </autoFilter>
  <sortState ref="A2:AG1337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19050</xdr:colOff>
                <xdr:row>0</xdr:row>
                <xdr:rowOff>0</xdr:rowOff>
              </from>
              <to>
                <xdr:col>35</xdr:col>
                <xdr:colOff>0</xdr:colOff>
                <xdr:row>2</xdr:row>
                <xdr:rowOff>18415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3"/>
  <sheetViews>
    <sheetView workbookViewId="0">
      <selection activeCell="C24" sqref="C24"/>
    </sheetView>
  </sheetViews>
  <sheetFormatPr defaultColWidth="9" defaultRowHeight="14.25" outlineLevelRow="2" outlineLevelCol="2"/>
  <cols>
    <col min="1" max="1" width="24.75" customWidth="1"/>
    <col min="2" max="2" width="11.875" customWidth="1"/>
    <col min="3" max="3" width="13.75"/>
  </cols>
  <sheetData>
    <row r="1" spans="1:3">
      <c r="A1" t="s">
        <v>11</v>
      </c>
      <c r="B1" t="s">
        <v>6294</v>
      </c>
      <c r="C1" t="s">
        <v>6295</v>
      </c>
    </row>
    <row r="2" spans="1:2">
      <c r="A2" t="s">
        <v>6296</v>
      </c>
      <c r="B2">
        <f>SUM(B3:B5000)</f>
        <v>0</v>
      </c>
    </row>
    <row r="3" spans="2:3"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</sheetData>
  <pageMargins left="0.699305555555556" right="0.699305555555556" top="0.75" bottom="0.75" header="0.3" footer="0.3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373"/>
  <sheetViews>
    <sheetView workbookViewId="0">
      <selection activeCell="B3" sqref="B3:I157"/>
    </sheetView>
  </sheetViews>
  <sheetFormatPr defaultColWidth="9" defaultRowHeight="14.25"/>
  <cols>
    <col min="1" max="2" width="22.5" customWidth="1"/>
    <col min="7" max="7" width="12.625"/>
    <col min="9" max="9" width="12.625"/>
  </cols>
  <sheetData>
    <row r="1" spans="1:9">
      <c r="A1" t="s">
        <v>11</v>
      </c>
      <c r="B1" t="s">
        <v>6297</v>
      </c>
      <c r="C1" t="s">
        <v>6298</v>
      </c>
      <c r="D1" t="s">
        <v>6299</v>
      </c>
      <c r="E1" t="s">
        <v>6300</v>
      </c>
      <c r="F1" t="s">
        <v>6301</v>
      </c>
      <c r="G1" t="s">
        <v>6302</v>
      </c>
      <c r="H1" t="s">
        <v>6303</v>
      </c>
      <c r="I1" t="s">
        <v>6304</v>
      </c>
    </row>
    <row r="2" s="4" customFormat="1" spans="1:6">
      <c r="A2" s="4" t="s">
        <v>6296</v>
      </c>
      <c r="C2" s="4">
        <f>SUM(C3:C5000)</f>
        <v>287</v>
      </c>
      <c r="D2" s="4">
        <f>SUM(D3:D5000)</f>
        <v>311</v>
      </c>
      <c r="E2" s="4">
        <f>SUM(E3:E5000)</f>
        <v>379</v>
      </c>
      <c r="F2" s="4">
        <f>SUM(F3:F5000)</f>
        <v>346</v>
      </c>
    </row>
    <row r="3" spans="1:9">
      <c r="A3" s="5" t="s">
        <v>41</v>
      </c>
      <c r="B3" t="str">
        <f>VLOOKUP(A3,'[1]子SKU-父SKU'!$A:$B,2,0)</f>
        <v>ST172</v>
      </c>
      <c r="C3">
        <f>SUMIFS(allorders!O:O,allorders!L:L,$A3,allorders!AG:AG,"&lt;="&amp;日期!$B$5,allorders!AG:AG,"&gt;="&amp;日期!$B$6,allorders!N:N,"Shipped")</f>
        <v>0</v>
      </c>
      <c r="D3">
        <f>SUMIFS(allorders!$O:$O,allorders!$L:$L,$A3,allorders!$AG:$AG,"&lt;="&amp;日期!$B$7,allorders!$AG:$AG,"&gt;="&amp;日期!$B$8,allorders!N:N,"Shipped")</f>
        <v>0</v>
      </c>
      <c r="E3">
        <f>SUMIFS(allorders!$O:$O,allorders!$L:$L,$A3,allorders!$AG:$AG,"&lt;="&amp;日期!$B$9,allorders!$AG:$AG,"&gt;="&amp;日期!$B$10,allorders!N:N,"Shipped")</f>
        <v>1</v>
      </c>
      <c r="F3">
        <f>SUMIFS(allorders!$O:$O,allorders!$L:$L,$A3,allorders!$AG:$AG,"&lt;="&amp;日期!$B$11,allorders!$AG:$AG,"&gt;="&amp;日期!$B$12,allorders!N:N,"Shipped")</f>
        <v>3</v>
      </c>
      <c r="G3">
        <f>SUMIFS(allorders!Q:Q,allorders!L:L,A3,allorders!AG:AG,"&lt;="&amp;日期!$B$5,allorders!AG:AG,"&gt;="&amp;日期!$B$12,allorders!N:N,"Shipped")/SUM(C3:F3)</f>
        <v>12.98</v>
      </c>
      <c r="H3">
        <f>SUMIFS(allorders!Q:Q,allorders!L:L,A3,allorders!AG:AG,"&gt;="&amp;日期!$B$12,allorders!AG:AG,"&lt;="&amp;日期!$B$5,allorders!N:N,"Shipped")</f>
        <v>51.92</v>
      </c>
      <c r="I3">
        <f t="shared" ref="I3:I66" si="0">SUM(C3:F3)</f>
        <v>4</v>
      </c>
    </row>
    <row r="4" spans="1:9">
      <c r="A4" s="5" t="s">
        <v>51</v>
      </c>
      <c r="B4" t="str">
        <f>VLOOKUP(A4,'[1]子SKU-父SKU'!$A:$B,2,0)</f>
        <v>TZ-IUYL240</v>
      </c>
      <c r="C4">
        <f>SUMIFS(allorders!O:O,allorders!L:L,$A4,allorders!AG:AG,"&lt;="&amp;日期!$B$5,allorders!AG:AG,"&gt;="&amp;日期!$B$6,allorders!N:N,"Shipped")</f>
        <v>14</v>
      </c>
      <c r="D4">
        <f>SUMIFS(allorders!$O:$O,allorders!$L:$L,$A4,allorders!$AG:$AG,"&lt;="&amp;日期!$B$7,allorders!$AG:$AG,"&gt;="&amp;日期!$B$8,allorders!N:N,"Shipped")</f>
        <v>27</v>
      </c>
      <c r="E4">
        <f>SUMIFS(allorders!$O:$O,allorders!$L:$L,$A4,allorders!$AG:$AG,"&lt;="&amp;日期!$B$9,allorders!$AG:$AG,"&gt;="&amp;日期!$B$10,allorders!N:N,"Shipped")</f>
        <v>23</v>
      </c>
      <c r="F4">
        <f>SUMIFS(allorders!$O:$O,allorders!$L:$L,$A4,allorders!$AG:$AG,"&lt;="&amp;日期!$B$11,allorders!$AG:$AG,"&gt;="&amp;日期!$B$12,allorders!N:N,"Shipped")</f>
        <v>26</v>
      </c>
      <c r="G4">
        <f>SUMIFS(allorders!Q:Q,allorders!L:L,A4,allorders!AG:AG,"&lt;="&amp;日期!$B$5,allorders!AG:AG,"&gt;="&amp;日期!$B$12,allorders!N:N,"Shipped")/SUM(C4:F4)</f>
        <v>18.99</v>
      </c>
      <c r="H4">
        <f>SUMIFS(allorders!Q:Q,allorders!L:L,A4,allorders!AG:AG,"&gt;="&amp;日期!$B$12,allorders!AG:AG,"&lt;="&amp;日期!$B$5,allorders!N:N,"Shipped")</f>
        <v>1709.1</v>
      </c>
      <c r="I4">
        <f t="shared" si="0"/>
        <v>90</v>
      </c>
    </row>
    <row r="5" spans="1:9">
      <c r="A5" s="5" t="s">
        <v>59</v>
      </c>
      <c r="B5" t="str">
        <f>VLOOKUP(A5,'[1]子SKU-父SKU'!$A:$B,2,0)</f>
        <v>TZ-IUYL240</v>
      </c>
      <c r="C5">
        <f>SUMIFS(allorders!O:O,allorders!L:L,$A5,allorders!AG:AG,"&lt;="&amp;日期!$B$5,allorders!AG:AG,"&gt;="&amp;日期!$B$6,allorders!N:N,"Shipped")</f>
        <v>11</v>
      </c>
      <c r="D5">
        <f>SUMIFS(allorders!$O:$O,allorders!$L:$L,$A5,allorders!$AG:$AG,"&lt;="&amp;日期!$B$7,allorders!$AG:$AG,"&gt;="&amp;日期!$B$8,allorders!N:N,"Shipped")</f>
        <v>9</v>
      </c>
      <c r="E5">
        <f>SUMIFS(allorders!$O:$O,allorders!$L:$L,$A5,allorders!$AG:$AG,"&lt;="&amp;日期!$B$9,allorders!$AG:$AG,"&gt;="&amp;日期!$B$10,allorders!N:N,"Shipped")</f>
        <v>6</v>
      </c>
      <c r="F5">
        <f>SUMIFS(allorders!$O:$O,allorders!$L:$L,$A5,allorders!$AG:$AG,"&lt;="&amp;日期!$B$11,allorders!$AG:$AG,"&gt;="&amp;日期!$B$12,allorders!N:N,"Shipped")</f>
        <v>3</v>
      </c>
      <c r="G5">
        <f>SUMIFS(allorders!Q:Q,allorders!L:L,A5,allorders!AG:AG,"&lt;="&amp;日期!$B$5,allorders!AG:AG,"&gt;="&amp;日期!$B$12,allorders!N:N,"Shipped")/SUM(C5:F5)</f>
        <v>13.99</v>
      </c>
      <c r="H5">
        <f>SUMIFS(allorders!Q:Q,allorders!L:L,A5,allorders!AG:AG,"&gt;="&amp;日期!$B$12,allorders!AG:AG,"&lt;="&amp;日期!$B$5,allorders!N:N,"Shipped")</f>
        <v>405.71</v>
      </c>
      <c r="I5">
        <f t="shared" si="0"/>
        <v>29</v>
      </c>
    </row>
    <row r="6" spans="1:9">
      <c r="A6" s="5" t="s">
        <v>68</v>
      </c>
      <c r="B6" t="str">
        <f>VLOOKUP(A6,'[1]子SKU-父SKU'!$A:$B,2,0)</f>
        <v>TZ-IUYL240</v>
      </c>
      <c r="C6">
        <f>SUMIFS(allorders!O:O,allorders!L:L,$A6,allorders!AG:AG,"&lt;="&amp;日期!$B$5,allorders!AG:AG,"&gt;="&amp;日期!$B$6,allorders!N:N,"Shipped")</f>
        <v>1</v>
      </c>
      <c r="D6">
        <f>SUMIFS(allorders!$O:$O,allorders!$L:$L,$A6,allorders!$AG:$AG,"&lt;="&amp;日期!$B$7,allorders!$AG:$AG,"&gt;="&amp;日期!$B$8,allorders!N:N,"Shipped")</f>
        <v>5</v>
      </c>
      <c r="E6">
        <f>SUMIFS(allorders!$O:$O,allorders!$L:$L,$A6,allorders!$AG:$AG,"&lt;="&amp;日期!$B$9,allorders!$AG:$AG,"&gt;="&amp;日期!$B$10,allorders!N:N,"Shipped")</f>
        <v>4</v>
      </c>
      <c r="F6">
        <f>SUMIFS(allorders!$O:$O,allorders!$L:$L,$A6,allorders!$AG:$AG,"&lt;="&amp;日期!$B$11,allorders!$AG:$AG,"&gt;="&amp;日期!$B$12,allorders!N:N,"Shipped")</f>
        <v>2</v>
      </c>
      <c r="G6">
        <f>SUMIFS(allorders!Q:Q,allorders!L:L,A6,allorders!AG:AG,"&lt;="&amp;日期!$B$5,allorders!AG:AG,"&gt;="&amp;日期!$B$12,allorders!N:N,"Shipped")/SUM(C6:F6)</f>
        <v>25.24</v>
      </c>
      <c r="H6">
        <f>SUMIFS(allorders!Q:Q,allorders!L:L,A6,allorders!AG:AG,"&gt;="&amp;日期!$B$12,allorders!AG:AG,"&lt;="&amp;日期!$B$5,allorders!N:N,"Shipped")</f>
        <v>302.88</v>
      </c>
      <c r="I6">
        <f t="shared" si="0"/>
        <v>12</v>
      </c>
    </row>
    <row r="7" spans="1:9">
      <c r="A7" s="5" t="s">
        <v>76</v>
      </c>
      <c r="B7" t="str">
        <f>VLOOKUP(A7,'[1]子SKU-父SKU'!$A:$B,2,0)</f>
        <v>TZ-IUYL240</v>
      </c>
      <c r="C7">
        <f>SUMIFS(allorders!O:O,allorders!L:L,$A7,allorders!AG:AG,"&lt;="&amp;日期!$B$5,allorders!AG:AG,"&gt;="&amp;日期!$B$6,allorders!N:N,"Shipped")</f>
        <v>30</v>
      </c>
      <c r="D7">
        <f>SUMIFS(allorders!$O:$O,allorders!$L:$L,$A7,allorders!$AG:$AG,"&lt;="&amp;日期!$B$7,allorders!$AG:$AG,"&gt;="&amp;日期!$B$8,allorders!N:N,"Shipped")</f>
        <v>15</v>
      </c>
      <c r="E7">
        <f>SUMIFS(allorders!$O:$O,allorders!$L:$L,$A7,allorders!$AG:$AG,"&lt;="&amp;日期!$B$9,allorders!$AG:$AG,"&gt;="&amp;日期!$B$10,allorders!N:N,"Shipped")</f>
        <v>34</v>
      </c>
      <c r="F7">
        <f>SUMIFS(allorders!$O:$O,allorders!$L:$L,$A7,allorders!$AG:$AG,"&lt;="&amp;日期!$B$11,allorders!$AG:$AG,"&gt;="&amp;日期!$B$12,allorders!N:N,"Shipped")</f>
        <v>38</v>
      </c>
      <c r="G7">
        <f>SUMIFS(allorders!Q:Q,allorders!L:L,A7,allorders!AG:AG,"&lt;="&amp;日期!$B$5,allorders!AG:AG,"&gt;="&amp;日期!$B$12,allorders!N:N,"Shipped")/SUM(C7:F7)</f>
        <v>13.3062393162393</v>
      </c>
      <c r="H7">
        <f>SUMIFS(allorders!Q:Q,allorders!L:L,A7,allorders!AG:AG,"&gt;="&amp;日期!$B$12,allorders!AG:AG,"&lt;="&amp;日期!$B$5,allorders!N:N,"Shipped")</f>
        <v>1556.83</v>
      </c>
      <c r="I7">
        <f t="shared" si="0"/>
        <v>117</v>
      </c>
    </row>
    <row r="8" spans="1:9">
      <c r="A8" s="5" t="s">
        <v>84</v>
      </c>
      <c r="B8" t="str">
        <f>VLOOKUP(A8,'[1]子SKU-父SKU'!$A:$B,2,0)</f>
        <v>TZ-IUYL240</v>
      </c>
      <c r="C8">
        <f>SUMIFS(allorders!O:O,allorders!L:L,$A8,allorders!AG:AG,"&lt;="&amp;日期!$B$5,allorders!AG:AG,"&gt;="&amp;日期!$B$6,allorders!N:N,"Shipped")</f>
        <v>3</v>
      </c>
      <c r="D8">
        <f>SUMIFS(allorders!$O:$O,allorders!$L:$L,$A8,allorders!$AG:$AG,"&lt;="&amp;日期!$B$7,allorders!$AG:$AG,"&gt;="&amp;日期!$B$8,allorders!N:N,"Shipped")</f>
        <v>6</v>
      </c>
      <c r="E8">
        <f>SUMIFS(allorders!$O:$O,allorders!$L:$L,$A8,allorders!$AG:$AG,"&lt;="&amp;日期!$B$9,allorders!$AG:$AG,"&gt;="&amp;日期!$B$10,allorders!N:N,"Shipped")</f>
        <v>3</v>
      </c>
      <c r="F8">
        <f>SUMIFS(allorders!$O:$O,allorders!$L:$L,$A8,allorders!$AG:$AG,"&lt;="&amp;日期!$B$11,allorders!$AG:$AG,"&gt;="&amp;日期!$B$12,allorders!N:N,"Shipped")</f>
        <v>7</v>
      </c>
      <c r="G8">
        <f>SUMIFS(allorders!Q:Q,allorders!L:L,A8,allorders!AG:AG,"&lt;="&amp;日期!$B$5,allorders!AG:AG,"&gt;="&amp;日期!$B$12,allorders!N:N,"Shipped")/SUM(C8:F8)</f>
        <v>12.99</v>
      </c>
      <c r="H8">
        <f>SUMIFS(allorders!Q:Q,allorders!L:L,A8,allorders!AG:AG,"&gt;="&amp;日期!$B$12,allorders!AG:AG,"&lt;="&amp;日期!$B$5,allorders!N:N,"Shipped")</f>
        <v>246.81</v>
      </c>
      <c r="I8">
        <f t="shared" si="0"/>
        <v>19</v>
      </c>
    </row>
    <row r="9" spans="1:9">
      <c r="A9" s="5" t="s">
        <v>93</v>
      </c>
      <c r="B9" t="str">
        <f>VLOOKUP(A9,'[1]子SKU-父SKU'!$A:$B,2,0)</f>
        <v>ST172</v>
      </c>
      <c r="C9">
        <f>SUMIFS(allorders!O:O,allorders!L:L,$A9,allorders!AG:AG,"&lt;="&amp;日期!$B$5,allorders!AG:AG,"&gt;="&amp;日期!$B$6,allorders!N:N,"Shipped")</f>
        <v>0</v>
      </c>
      <c r="D9">
        <f>SUMIFS(allorders!$O:$O,allorders!$L:$L,$A9,allorders!$AG:$AG,"&lt;="&amp;日期!$B$7,allorders!$AG:$AG,"&gt;="&amp;日期!$B$8,allorders!N:N,"Shipped")</f>
        <v>0</v>
      </c>
      <c r="E9">
        <f>SUMIFS(allorders!$O:$O,allorders!$L:$L,$A9,allorders!$AG:$AG,"&lt;="&amp;日期!$B$9,allorders!$AG:$AG,"&gt;="&amp;日期!$B$10,allorders!N:N,"Shipped")</f>
        <v>0</v>
      </c>
      <c r="F9">
        <f>SUMIFS(allorders!$O:$O,allorders!$L:$L,$A9,allorders!$AG:$AG,"&lt;="&amp;日期!$B$11,allorders!$AG:$AG,"&gt;="&amp;日期!$B$12,allorders!N:N,"Shipped")</f>
        <v>1</v>
      </c>
      <c r="G9">
        <f>SUMIFS(allorders!Q:Q,allorders!L:L,A9,allorders!AG:AG,"&lt;="&amp;日期!$B$5,allorders!AG:AG,"&gt;="&amp;日期!$B$12,allorders!N:N,"Shipped")/SUM(C9:F9)</f>
        <v>10</v>
      </c>
      <c r="H9">
        <f>SUMIFS(allorders!Q:Q,allorders!L:L,A9,allorders!AG:AG,"&gt;="&amp;日期!$B$12,allorders!AG:AG,"&lt;="&amp;日期!$B$5,allorders!N:N,"Shipped")</f>
        <v>10</v>
      </c>
      <c r="I9">
        <f t="shared" si="0"/>
        <v>1</v>
      </c>
    </row>
    <row r="10" spans="1:9">
      <c r="A10" s="5" t="s">
        <v>102</v>
      </c>
      <c r="B10" t="str">
        <f>VLOOKUP(A10,'[1]子SKU-父SKU'!$A:$B,2,0)</f>
        <v>TZ-IUYL240</v>
      </c>
      <c r="C10">
        <f>SUMIFS(allorders!O:O,allorders!L:L,$A10,allorders!AG:AG,"&lt;="&amp;日期!$B$5,allorders!AG:AG,"&gt;="&amp;日期!$B$6,allorders!N:N,"Shipped")</f>
        <v>24</v>
      </c>
      <c r="D10">
        <f>SUMIFS(allorders!$O:$O,allorders!$L:$L,$A10,allorders!$AG:$AG,"&lt;="&amp;日期!$B$7,allorders!$AG:$AG,"&gt;="&amp;日期!$B$8,allorders!N:N,"Shipped")</f>
        <v>9</v>
      </c>
      <c r="E10">
        <f>SUMIFS(allorders!$O:$O,allorders!$L:$L,$A10,allorders!$AG:$AG,"&lt;="&amp;日期!$B$9,allorders!$AG:$AG,"&gt;="&amp;日期!$B$10,allorders!N:N,"Shipped")</f>
        <v>28</v>
      </c>
      <c r="F10">
        <f>SUMIFS(allorders!$O:$O,allorders!$L:$L,$A10,allorders!$AG:$AG,"&lt;="&amp;日期!$B$11,allorders!$AG:$AG,"&gt;="&amp;日期!$B$12,allorders!N:N,"Shipped")</f>
        <v>18</v>
      </c>
      <c r="G10">
        <f>SUMIFS(allorders!Q:Q,allorders!L:L,A10,allorders!AG:AG,"&lt;="&amp;日期!$B$5,allorders!AG:AG,"&gt;="&amp;日期!$B$12,allorders!N:N,"Shipped")/SUM(C10:F10)</f>
        <v>13.369746835443</v>
      </c>
      <c r="H10">
        <f>SUMIFS(allorders!Q:Q,allorders!L:L,A10,allorders!AG:AG,"&gt;="&amp;日期!$B$12,allorders!AG:AG,"&lt;="&amp;日期!$B$5,allorders!N:N,"Shipped")</f>
        <v>1056.21</v>
      </c>
      <c r="I10">
        <f t="shared" si="0"/>
        <v>79</v>
      </c>
    </row>
    <row r="11" spans="1:9">
      <c r="A11" s="5" t="s">
        <v>111</v>
      </c>
      <c r="B11" t="str">
        <f>VLOOKUP(A11,'[1]子SKU-父SKU'!$A:$B,2,0)</f>
        <v>TZ-IUYL240</v>
      </c>
      <c r="C11">
        <f>SUMIFS(allorders!O:O,allorders!L:L,$A11,allorders!AG:AG,"&lt;="&amp;日期!$B$5,allorders!AG:AG,"&gt;="&amp;日期!$B$6,allorders!N:N,"Shipped")</f>
        <v>15</v>
      </c>
      <c r="D11">
        <f>SUMIFS(allorders!$O:$O,allorders!$L:$L,$A11,allorders!$AG:$AG,"&lt;="&amp;日期!$B$7,allorders!$AG:$AG,"&gt;="&amp;日期!$B$8,allorders!N:N,"Shipped")</f>
        <v>10</v>
      </c>
      <c r="E11">
        <f>SUMIFS(allorders!$O:$O,allorders!$L:$L,$A11,allorders!$AG:$AG,"&lt;="&amp;日期!$B$9,allorders!$AG:$AG,"&gt;="&amp;日期!$B$10,allorders!N:N,"Shipped")</f>
        <v>23</v>
      </c>
      <c r="F11">
        <f>SUMIFS(allorders!$O:$O,allorders!$L:$L,$A11,allorders!$AG:$AG,"&lt;="&amp;日期!$B$11,allorders!$AG:$AG,"&gt;="&amp;日期!$B$12,allorders!N:N,"Shipped")</f>
        <v>26</v>
      </c>
      <c r="G11">
        <f>SUMIFS(allorders!Q:Q,allorders!L:L,A11,allorders!AG:AG,"&lt;="&amp;日期!$B$5,allorders!AG:AG,"&gt;="&amp;日期!$B$12,allorders!N:N,"Shipped")/SUM(C11:F11)</f>
        <v>13.3008108108108</v>
      </c>
      <c r="H11">
        <f>SUMIFS(allorders!Q:Q,allorders!L:L,A11,allorders!AG:AG,"&gt;="&amp;日期!$B$12,allorders!AG:AG,"&lt;="&amp;日期!$B$5,allorders!N:N,"Shipped")</f>
        <v>984.26</v>
      </c>
      <c r="I11">
        <f t="shared" si="0"/>
        <v>74</v>
      </c>
    </row>
    <row r="12" spans="1:9">
      <c r="A12" s="5" t="s">
        <v>120</v>
      </c>
      <c r="B12" t="str">
        <f>VLOOKUP(A12,'[1]子SKU-父SKU'!$A:$B,2,0)</f>
        <v>TZ-IUYL240</v>
      </c>
      <c r="C12">
        <f>SUMIFS(allorders!O:O,allorders!L:L,$A12,allorders!AG:AG,"&lt;="&amp;日期!$B$5,allorders!AG:AG,"&gt;="&amp;日期!$B$6,allorders!N:N,"Shipped")</f>
        <v>0</v>
      </c>
      <c r="D12">
        <f>SUMIFS(allorders!$O:$O,allorders!$L:$L,$A12,allorders!$AG:$AG,"&lt;="&amp;日期!$B$7,allorders!$AG:$AG,"&gt;="&amp;日期!$B$8,allorders!N:N,"Shipped")</f>
        <v>0</v>
      </c>
      <c r="E12">
        <f>SUMIFS(allorders!$O:$O,allorders!$L:$L,$A12,allorders!$AG:$AG,"&lt;="&amp;日期!$B$9,allorders!$AG:$AG,"&gt;="&amp;日期!$B$10,allorders!N:N,"Shipped")</f>
        <v>0</v>
      </c>
      <c r="F12">
        <f>SUMIFS(allorders!$O:$O,allorders!$L:$L,$A12,allorders!$AG:$AG,"&lt;="&amp;日期!$B$11,allorders!$AG:$AG,"&gt;="&amp;日期!$B$12,allorders!N:N,"Shipped")</f>
        <v>10</v>
      </c>
      <c r="G12">
        <f>SUMIFS(allorders!Q:Q,allorders!L:L,A12,allorders!AG:AG,"&lt;="&amp;日期!$B$5,allorders!AG:AG,"&gt;="&amp;日期!$B$12,allorders!N:N,"Shipped")/SUM(C12:F12)</f>
        <v>24.99</v>
      </c>
      <c r="H12">
        <f>SUMIFS(allorders!Q:Q,allorders!L:L,A12,allorders!AG:AG,"&gt;="&amp;日期!$B$12,allorders!AG:AG,"&lt;="&amp;日期!$B$5,allorders!N:N,"Shipped")</f>
        <v>249.9</v>
      </c>
      <c r="I12">
        <f t="shared" si="0"/>
        <v>10</v>
      </c>
    </row>
    <row r="13" spans="1:9">
      <c r="A13" s="5" t="s">
        <v>148</v>
      </c>
      <c r="B13" t="str">
        <f>VLOOKUP(A13,'[1]子SKU-父SKU'!$A:$B,2,0)</f>
        <v>TZ-IUYL240</v>
      </c>
      <c r="C13">
        <f>SUMIFS(allorders!O:O,allorders!L:L,$A13,allorders!AG:AG,"&lt;="&amp;日期!$B$5,allorders!AG:AG,"&gt;="&amp;日期!$B$6,allorders!N:N,"Shipped")</f>
        <v>16</v>
      </c>
      <c r="D13">
        <f>SUMIFS(allorders!$O:$O,allorders!$L:$L,$A13,allorders!$AG:$AG,"&lt;="&amp;日期!$B$7,allorders!$AG:$AG,"&gt;="&amp;日期!$B$8,allorders!N:N,"Shipped")</f>
        <v>21</v>
      </c>
      <c r="E13">
        <f>SUMIFS(allorders!$O:$O,allorders!$L:$L,$A13,allorders!$AG:$AG,"&lt;="&amp;日期!$B$9,allorders!$AG:$AG,"&gt;="&amp;日期!$B$10,allorders!N:N,"Shipped")</f>
        <v>35</v>
      </c>
      <c r="F13">
        <f>SUMIFS(allorders!$O:$O,allorders!$L:$L,$A13,allorders!$AG:$AG,"&lt;="&amp;日期!$B$11,allorders!$AG:$AG,"&gt;="&amp;日期!$B$12,allorders!N:N,"Shipped")</f>
        <v>24</v>
      </c>
      <c r="G13">
        <f>SUMIFS(allorders!Q:Q,allorders!L:L,A13,allorders!AG:AG,"&lt;="&amp;日期!$B$5,allorders!AG:AG,"&gt;="&amp;日期!$B$12,allorders!N:N,"Shipped")/SUM(C13:F13)</f>
        <v>13.3580208333333</v>
      </c>
      <c r="H13">
        <f>SUMIFS(allorders!Q:Q,allorders!L:L,A13,allorders!AG:AG,"&gt;="&amp;日期!$B$12,allorders!AG:AG,"&lt;="&amp;日期!$B$5,allorders!N:N,"Shipped")</f>
        <v>1282.37</v>
      </c>
      <c r="I13">
        <f t="shared" si="0"/>
        <v>96</v>
      </c>
    </row>
    <row r="14" spans="1:9">
      <c r="A14" s="5" t="s">
        <v>167</v>
      </c>
      <c r="B14" t="str">
        <f>VLOOKUP(A14,'[1]子SKU-父SKU'!$A:$B,2,0)</f>
        <v>SCF-D01</v>
      </c>
      <c r="C14">
        <f>SUMIFS(allorders!O:O,allorders!L:L,$A14,allorders!AG:AG,"&lt;="&amp;日期!$B$5,allorders!AG:AG,"&gt;="&amp;日期!$B$6,allorders!N:N,"Shipped")</f>
        <v>0</v>
      </c>
      <c r="D14">
        <f>SUMIFS(allorders!$O:$O,allorders!$L:$L,$A14,allorders!$AG:$AG,"&lt;="&amp;日期!$B$7,allorders!$AG:$AG,"&gt;="&amp;日期!$B$8,allorders!N:N,"Shipped")</f>
        <v>0</v>
      </c>
      <c r="E14">
        <f>SUMIFS(allorders!$O:$O,allorders!$L:$L,$A14,allorders!$AG:$AG,"&lt;="&amp;日期!$B$9,allorders!$AG:$AG,"&gt;="&amp;日期!$B$10,allorders!N:N,"Shipped")</f>
        <v>0</v>
      </c>
      <c r="F14">
        <f>SUMIFS(allorders!$O:$O,allorders!$L:$L,$A14,allorders!$AG:$AG,"&lt;="&amp;日期!$B$11,allorders!$AG:$AG,"&gt;="&amp;日期!$B$12,allorders!N:N,"Shipped")</f>
        <v>1</v>
      </c>
      <c r="G14">
        <f>SUMIFS(allorders!Q:Q,allorders!L:L,A14,allorders!AG:AG,"&lt;="&amp;日期!$B$5,allorders!AG:AG,"&gt;="&amp;日期!$B$12,allorders!N:N,"Shipped")/SUM(C14:F14)</f>
        <v>15</v>
      </c>
      <c r="H14">
        <f>SUMIFS(allorders!Q:Q,allorders!L:L,A14,allorders!AG:AG,"&gt;="&amp;日期!$B$12,allorders!AG:AG,"&lt;="&amp;日期!$B$5,allorders!N:N,"Shipped")</f>
        <v>15</v>
      </c>
      <c r="I14">
        <f t="shared" si="0"/>
        <v>1</v>
      </c>
    </row>
    <row r="15" spans="1:9">
      <c r="A15" s="5" t="s">
        <v>181</v>
      </c>
      <c r="B15" t="str">
        <f>VLOOKUP(A15,'[1]子SKU-父SKU'!$A:$B,2,0)</f>
        <v>TZ-IUYL240</v>
      </c>
      <c r="C15">
        <f>SUMIFS(allorders!O:O,allorders!L:L,$A15,allorders!AG:AG,"&lt;="&amp;日期!$B$5,allorders!AG:AG,"&gt;="&amp;日期!$B$6,allorders!N:N,"Shipped")</f>
        <v>0</v>
      </c>
      <c r="D15">
        <f>SUMIFS(allorders!$O:$O,allorders!$L:$L,$A15,allorders!$AG:$AG,"&lt;="&amp;日期!$B$7,allorders!$AG:$AG,"&gt;="&amp;日期!$B$8,allorders!N:N,"Shipped")</f>
        <v>0</v>
      </c>
      <c r="E15">
        <f>SUMIFS(allorders!$O:$O,allorders!$L:$L,$A15,allorders!$AG:$AG,"&lt;="&amp;日期!$B$9,allorders!$AG:$AG,"&gt;="&amp;日期!$B$10,allorders!N:N,"Shipped")</f>
        <v>2</v>
      </c>
      <c r="F15">
        <f>SUMIFS(allorders!$O:$O,allorders!$L:$L,$A15,allorders!$AG:$AG,"&lt;="&amp;日期!$B$11,allorders!$AG:$AG,"&gt;="&amp;日期!$B$12,allorders!N:N,"Shipped")</f>
        <v>3</v>
      </c>
      <c r="G15">
        <f>SUMIFS(allorders!Q:Q,allorders!L:L,A15,allorders!AG:AG,"&lt;="&amp;日期!$B$5,allorders!AG:AG,"&gt;="&amp;日期!$B$12,allorders!N:N,"Shipped")/SUM(C15:F15)</f>
        <v>12.99</v>
      </c>
      <c r="H15">
        <f>SUMIFS(allorders!Q:Q,allorders!L:L,A15,allorders!AG:AG,"&gt;="&amp;日期!$B$12,allorders!AG:AG,"&lt;="&amp;日期!$B$5,allorders!N:N,"Shipped")</f>
        <v>64.95</v>
      </c>
      <c r="I15">
        <f t="shared" si="0"/>
        <v>5</v>
      </c>
    </row>
    <row r="16" spans="1:9">
      <c r="A16" s="5" t="s">
        <v>194</v>
      </c>
      <c r="B16" t="str">
        <f>VLOOKUP(A16,'[1]子SKU-父SKU'!$A:$B,2,0)</f>
        <v>HZB-QJTZ-IUYL300310</v>
      </c>
      <c r="C16">
        <f>SUMIFS(allorders!O:O,allorders!L:L,$A16,allorders!AG:AG,"&lt;="&amp;日期!$B$5,allorders!AG:AG,"&gt;="&amp;日期!$B$6,allorders!N:N,"Shipped")</f>
        <v>0</v>
      </c>
      <c r="D16">
        <f>SUMIFS(allorders!$O:$O,allorders!$L:$L,$A16,allorders!$AG:$AG,"&lt;="&amp;日期!$B$7,allorders!$AG:$AG,"&gt;="&amp;日期!$B$8,allorders!N:N,"Shipped")</f>
        <v>0</v>
      </c>
      <c r="E16">
        <f>SUMIFS(allorders!$O:$O,allorders!$L:$L,$A16,allorders!$AG:$AG,"&lt;="&amp;日期!$B$9,allorders!$AG:$AG,"&gt;="&amp;日期!$B$10,allorders!N:N,"Shipped")</f>
        <v>1</v>
      </c>
      <c r="F16">
        <f>SUMIFS(allorders!$O:$O,allorders!$L:$L,$A16,allorders!$AG:$AG,"&lt;="&amp;日期!$B$11,allorders!$AG:$AG,"&gt;="&amp;日期!$B$12,allorders!N:N,"Shipped")</f>
        <v>1</v>
      </c>
      <c r="G16">
        <f>SUMIFS(allorders!Q:Q,allorders!L:L,A16,allorders!AG:AG,"&lt;="&amp;日期!$B$5,allorders!AG:AG,"&gt;="&amp;日期!$B$12,allorders!N:N,"Shipped")/SUM(C16:F16)</f>
        <v>36.99</v>
      </c>
      <c r="H16">
        <f>SUMIFS(allorders!Q:Q,allorders!L:L,A16,allorders!AG:AG,"&gt;="&amp;日期!$B$12,allorders!AG:AG,"&lt;="&amp;日期!$B$5,allorders!N:N,"Shipped")</f>
        <v>73.98</v>
      </c>
      <c r="I16">
        <f t="shared" si="0"/>
        <v>2</v>
      </c>
    </row>
    <row r="17" spans="1:9">
      <c r="A17" s="5" t="s">
        <v>202</v>
      </c>
      <c r="B17" t="str">
        <f>VLOOKUP(A17,'[1]子SKU-父SKU'!$A:$B,2,0)</f>
        <v>TZ-IUYL240</v>
      </c>
      <c r="C17">
        <f>SUMIFS(allorders!O:O,allorders!L:L,$A17,allorders!AG:AG,"&lt;="&amp;日期!$B$5,allorders!AG:AG,"&gt;="&amp;日期!$B$6,allorders!N:N,"Shipped")</f>
        <v>14</v>
      </c>
      <c r="D17">
        <f>SUMIFS(allorders!$O:$O,allorders!$L:$L,$A17,allorders!$AG:$AG,"&lt;="&amp;日期!$B$7,allorders!$AG:$AG,"&gt;="&amp;日期!$B$8,allorders!N:N,"Shipped")</f>
        <v>16</v>
      </c>
      <c r="E17">
        <f>SUMIFS(allorders!$O:$O,allorders!$L:$L,$A17,allorders!$AG:$AG,"&lt;="&amp;日期!$B$9,allorders!$AG:$AG,"&gt;="&amp;日期!$B$10,allorders!N:N,"Shipped")</f>
        <v>14</v>
      </c>
      <c r="F17">
        <f>SUMIFS(allorders!$O:$O,allorders!$L:$L,$A17,allorders!$AG:$AG,"&lt;="&amp;日期!$B$11,allorders!$AG:$AG,"&gt;="&amp;日期!$B$12,allorders!N:N,"Shipped")</f>
        <v>15</v>
      </c>
      <c r="G17">
        <f>SUMIFS(allorders!Q:Q,allorders!L:L,A17,allorders!AG:AG,"&lt;="&amp;日期!$B$5,allorders!AG:AG,"&gt;="&amp;日期!$B$12,allorders!N:N,"Shipped")/SUM(C17:F17)</f>
        <v>18.99</v>
      </c>
      <c r="H17">
        <f>SUMIFS(allorders!Q:Q,allorders!L:L,A17,allorders!AG:AG,"&gt;="&amp;日期!$B$12,allorders!AG:AG,"&lt;="&amp;日期!$B$5,allorders!N:N,"Shipped")</f>
        <v>1120.41</v>
      </c>
      <c r="I17">
        <f t="shared" si="0"/>
        <v>59</v>
      </c>
    </row>
    <row r="18" spans="1:9">
      <c r="A18" s="5" t="s">
        <v>210</v>
      </c>
      <c r="B18" t="str">
        <f>VLOOKUP(A18,'[1]子SKU-父SKU'!$A:$B,2,0)</f>
        <v>TZ-IUYL240</v>
      </c>
      <c r="C18">
        <f>SUMIFS(allorders!O:O,allorders!L:L,$A18,allorders!AG:AG,"&lt;="&amp;日期!$B$5,allorders!AG:AG,"&gt;="&amp;日期!$B$6,allorders!N:N,"Shipped")</f>
        <v>4</v>
      </c>
      <c r="D18">
        <f>SUMIFS(allorders!$O:$O,allorders!$L:$L,$A18,allorders!$AG:$AG,"&lt;="&amp;日期!$B$7,allorders!$AG:$AG,"&gt;="&amp;日期!$B$8,allorders!N:N,"Shipped")</f>
        <v>1</v>
      </c>
      <c r="E18">
        <f>SUMIFS(allorders!$O:$O,allorders!$L:$L,$A18,allorders!$AG:$AG,"&lt;="&amp;日期!$B$9,allorders!$AG:$AG,"&gt;="&amp;日期!$B$10,allorders!N:N,"Shipped")</f>
        <v>5</v>
      </c>
      <c r="F18">
        <f>SUMIFS(allorders!$O:$O,allorders!$L:$L,$A18,allorders!$AG:$AG,"&lt;="&amp;日期!$B$11,allorders!$AG:$AG,"&gt;="&amp;日期!$B$12,allorders!N:N,"Shipped")</f>
        <v>4</v>
      </c>
      <c r="G18">
        <f>SUMIFS(allorders!Q:Q,allorders!L:L,A18,allorders!AG:AG,"&lt;="&amp;日期!$B$5,allorders!AG:AG,"&gt;="&amp;日期!$B$12,allorders!N:N,"Shipped")/SUM(C18:F18)</f>
        <v>13.99</v>
      </c>
      <c r="H18">
        <f>SUMIFS(allorders!Q:Q,allorders!L:L,A18,allorders!AG:AG,"&gt;="&amp;日期!$B$12,allorders!AG:AG,"&lt;="&amp;日期!$B$5,allorders!N:N,"Shipped")</f>
        <v>195.86</v>
      </c>
      <c r="I18">
        <f t="shared" si="0"/>
        <v>14</v>
      </c>
    </row>
    <row r="19" spans="1:9">
      <c r="A19" s="5" t="s">
        <v>230</v>
      </c>
      <c r="B19" t="str">
        <f>VLOOKUP(A19,'[1]子SKU-父SKU'!$A:$B,2,0)</f>
        <v>ST155</v>
      </c>
      <c r="C19">
        <f>SUMIFS(allorders!O:O,allorders!L:L,$A19,allorders!AG:AG,"&lt;="&amp;日期!$B$5,allorders!AG:AG,"&gt;="&amp;日期!$B$6,allorders!N:N,"Shipped")</f>
        <v>0</v>
      </c>
      <c r="D19">
        <f>SUMIFS(allorders!$O:$O,allorders!$L:$L,$A19,allorders!$AG:$AG,"&lt;="&amp;日期!$B$7,allorders!$AG:$AG,"&gt;="&amp;日期!$B$8,allorders!N:N,"Shipped")</f>
        <v>0</v>
      </c>
      <c r="E19">
        <f>SUMIFS(allorders!$O:$O,allorders!$L:$L,$A19,allorders!$AG:$AG,"&lt;="&amp;日期!$B$9,allorders!$AG:$AG,"&gt;="&amp;日期!$B$10,allorders!N:N,"Shipped")</f>
        <v>0</v>
      </c>
      <c r="F19">
        <f>SUMIFS(allorders!$O:$O,allorders!$L:$L,$A19,allorders!$AG:$AG,"&lt;="&amp;日期!$B$11,allorders!$AG:$AG,"&gt;="&amp;日期!$B$12,allorders!N:N,"Shipped")</f>
        <v>1</v>
      </c>
      <c r="G19">
        <f>SUMIFS(allorders!Q:Q,allorders!L:L,A19,allorders!AG:AG,"&lt;="&amp;日期!$B$5,allorders!AG:AG,"&gt;="&amp;日期!$B$12,allorders!N:N,"Shipped")/SUM(C19:F19)</f>
        <v>24.82</v>
      </c>
      <c r="H19">
        <f>SUMIFS(allorders!Q:Q,allorders!L:L,A19,allorders!AG:AG,"&gt;="&amp;日期!$B$12,allorders!AG:AG,"&lt;="&amp;日期!$B$5,allorders!N:N,"Shipped")</f>
        <v>24.82</v>
      </c>
      <c r="I19">
        <f t="shared" si="0"/>
        <v>1</v>
      </c>
    </row>
    <row r="20" spans="1:9">
      <c r="A20" s="5" t="s">
        <v>244</v>
      </c>
      <c r="B20" t="str">
        <f>VLOOKUP(A20,'[1]子SKU-父SKU'!$A:$B,2,0)</f>
        <v>TZ-IUYL240</v>
      </c>
      <c r="C20">
        <f>SUMIFS(allorders!O:O,allorders!L:L,$A20,allorders!AG:AG,"&lt;="&amp;日期!$B$5,allorders!AG:AG,"&gt;="&amp;日期!$B$6,allorders!N:N,"Shipped")</f>
        <v>20</v>
      </c>
      <c r="D20">
        <f>SUMIFS(allorders!$O:$O,allorders!$L:$L,$A20,allorders!$AG:$AG,"&lt;="&amp;日期!$B$7,allorders!$AG:$AG,"&gt;="&amp;日期!$B$8,allorders!N:N,"Shipped")</f>
        <v>21</v>
      </c>
      <c r="E20">
        <f>SUMIFS(allorders!$O:$O,allorders!$L:$L,$A20,allorders!$AG:$AG,"&lt;="&amp;日期!$B$9,allorders!$AG:$AG,"&gt;="&amp;日期!$B$10,allorders!N:N,"Shipped")</f>
        <v>27</v>
      </c>
      <c r="F20">
        <f>SUMIFS(allorders!$O:$O,allorders!$L:$L,$A20,allorders!$AG:$AG,"&lt;="&amp;日期!$B$11,allorders!$AG:$AG,"&gt;="&amp;日期!$B$12,allorders!N:N,"Shipped")</f>
        <v>7</v>
      </c>
      <c r="G20">
        <f>SUMIFS(allorders!Q:Q,allorders!L:L,A20,allorders!AG:AG,"&lt;="&amp;日期!$B$5,allorders!AG:AG,"&gt;="&amp;日期!$B$12,allorders!N:N,"Shipped")/SUM(C20:F20)</f>
        <v>18.99</v>
      </c>
      <c r="H20">
        <f>SUMIFS(allorders!Q:Q,allorders!L:L,A20,allorders!AG:AG,"&gt;="&amp;日期!$B$12,allorders!AG:AG,"&lt;="&amp;日期!$B$5,allorders!N:N,"Shipped")</f>
        <v>1424.25</v>
      </c>
      <c r="I20">
        <f t="shared" si="0"/>
        <v>75</v>
      </c>
    </row>
    <row r="21" spans="1:9">
      <c r="A21" s="5" t="s">
        <v>252</v>
      </c>
      <c r="B21" t="str">
        <f>VLOOKUP(A21,'[1]子SKU-父SKU'!$A:$B,2,0)</f>
        <v>ST173</v>
      </c>
      <c r="C21">
        <f>SUMIFS(allorders!O:O,allorders!L:L,$A21,allorders!AG:AG,"&lt;="&amp;日期!$B$5,allorders!AG:AG,"&gt;="&amp;日期!$B$6,allorders!N:N,"Shipped")</f>
        <v>1</v>
      </c>
      <c r="D21">
        <f>SUMIFS(allorders!$O:$O,allorders!$L:$L,$A21,allorders!$AG:$AG,"&lt;="&amp;日期!$B$7,allorders!$AG:$AG,"&gt;="&amp;日期!$B$8,allorders!N:N,"Shipped")</f>
        <v>0</v>
      </c>
      <c r="E21">
        <f>SUMIFS(allorders!$O:$O,allorders!$L:$L,$A21,allorders!$AG:$AG,"&lt;="&amp;日期!$B$9,allorders!$AG:$AG,"&gt;="&amp;日期!$B$10,allorders!N:N,"Shipped")</f>
        <v>1</v>
      </c>
      <c r="F21">
        <f>SUMIFS(allorders!$O:$O,allorders!$L:$L,$A21,allorders!$AG:$AG,"&lt;="&amp;日期!$B$11,allorders!$AG:$AG,"&gt;="&amp;日期!$B$12,allorders!N:N,"Shipped")</f>
        <v>2</v>
      </c>
      <c r="G21">
        <f>SUMIFS(allorders!Q:Q,allorders!L:L,A21,allorders!AG:AG,"&lt;="&amp;日期!$B$5,allorders!AG:AG,"&gt;="&amp;日期!$B$12,allorders!N:N,"Shipped")/SUM(C21:F21)</f>
        <v>15.98</v>
      </c>
      <c r="H21">
        <f>SUMIFS(allorders!Q:Q,allorders!L:L,A21,allorders!AG:AG,"&gt;="&amp;日期!$B$12,allorders!AG:AG,"&lt;="&amp;日期!$B$5,allorders!N:N,"Shipped")</f>
        <v>63.92</v>
      </c>
      <c r="I21">
        <f t="shared" si="0"/>
        <v>4</v>
      </c>
    </row>
    <row r="22" spans="1:9">
      <c r="A22" s="5" t="s">
        <v>261</v>
      </c>
      <c r="B22" t="str">
        <f>VLOOKUP(A22,'[1]子SKU-父SKU'!$A:$B,2,0)</f>
        <v>TZ-IUYL240</v>
      </c>
      <c r="C22">
        <f>SUMIFS(allorders!O:O,allorders!L:L,$A22,allorders!AG:AG,"&lt;="&amp;日期!$B$5,allorders!AG:AG,"&gt;="&amp;日期!$B$6,allorders!N:N,"Shipped")</f>
        <v>0</v>
      </c>
      <c r="D22">
        <f>SUMIFS(allorders!$O:$O,allorders!$L:$L,$A22,allorders!$AG:$AG,"&lt;="&amp;日期!$B$7,allorders!$AG:$AG,"&gt;="&amp;日期!$B$8,allorders!N:N,"Shipped")</f>
        <v>2</v>
      </c>
      <c r="E22">
        <f>SUMIFS(allorders!$O:$O,allorders!$L:$L,$A22,allorders!$AG:$AG,"&lt;="&amp;日期!$B$9,allorders!$AG:$AG,"&gt;="&amp;日期!$B$10,allorders!N:N,"Shipped")</f>
        <v>1</v>
      </c>
      <c r="F22">
        <f>SUMIFS(allorders!$O:$O,allorders!$L:$L,$A22,allorders!$AG:$AG,"&lt;="&amp;日期!$B$11,allorders!$AG:$AG,"&gt;="&amp;日期!$B$12,allorders!N:N,"Shipped")</f>
        <v>5</v>
      </c>
      <c r="G22">
        <f>SUMIFS(allorders!Q:Q,allorders!L:L,A22,allorders!AG:AG,"&lt;="&amp;日期!$B$5,allorders!AG:AG,"&gt;="&amp;日期!$B$12,allorders!N:N,"Shipped")/SUM(C22:F22)</f>
        <v>18.99</v>
      </c>
      <c r="H22">
        <f>SUMIFS(allorders!Q:Q,allorders!L:L,A22,allorders!AG:AG,"&gt;="&amp;日期!$B$12,allorders!AG:AG,"&lt;="&amp;日期!$B$5,allorders!N:N,"Shipped")</f>
        <v>151.92</v>
      </c>
      <c r="I22">
        <f t="shared" si="0"/>
        <v>8</v>
      </c>
    </row>
    <row r="23" spans="1:9">
      <c r="A23" s="5" t="s">
        <v>270</v>
      </c>
      <c r="B23" t="str">
        <f>VLOOKUP(A23,'[1]子SKU-父SKU'!$A:$B,2,0)</f>
        <v>TZ-IUYL240</v>
      </c>
      <c r="C23">
        <f>SUMIFS(allorders!O:O,allorders!L:L,$A23,allorders!AG:AG,"&lt;="&amp;日期!$B$5,allorders!AG:AG,"&gt;="&amp;日期!$B$6,allorders!N:N,"Shipped")</f>
        <v>0</v>
      </c>
      <c r="D23">
        <f>SUMIFS(allorders!$O:$O,allorders!$L:$L,$A23,allorders!$AG:$AG,"&lt;="&amp;日期!$B$7,allorders!$AG:$AG,"&gt;="&amp;日期!$B$8,allorders!N:N,"Shipped")</f>
        <v>0</v>
      </c>
      <c r="E23">
        <f>SUMIFS(allorders!$O:$O,allorders!$L:$L,$A23,allorders!$AG:$AG,"&lt;="&amp;日期!$B$9,allorders!$AG:$AG,"&gt;="&amp;日期!$B$10,allorders!N:N,"Shipped")</f>
        <v>1</v>
      </c>
      <c r="F23">
        <f>SUMIFS(allorders!$O:$O,allorders!$L:$L,$A23,allorders!$AG:$AG,"&lt;="&amp;日期!$B$11,allorders!$AG:$AG,"&gt;="&amp;日期!$B$12,allorders!N:N,"Shipped")</f>
        <v>12</v>
      </c>
      <c r="G23">
        <f>SUMIFS(allorders!Q:Q,allorders!L:L,A23,allorders!AG:AG,"&lt;="&amp;日期!$B$5,allorders!AG:AG,"&gt;="&amp;日期!$B$12,allorders!N:N,"Shipped")/SUM(C23:F23)</f>
        <v>24.99</v>
      </c>
      <c r="H23">
        <f>SUMIFS(allorders!Q:Q,allorders!L:L,A23,allorders!AG:AG,"&gt;="&amp;日期!$B$12,allorders!AG:AG,"&lt;="&amp;日期!$B$5,allorders!N:N,"Shipped")</f>
        <v>324.87</v>
      </c>
      <c r="I23">
        <f t="shared" si="0"/>
        <v>13</v>
      </c>
    </row>
    <row r="24" spans="1:9">
      <c r="A24" s="5" t="s">
        <v>279</v>
      </c>
      <c r="B24" t="str">
        <f>VLOOKUP(A24,'[1]子SKU-父SKU'!$A:$B,2,0)</f>
        <v>TZ-IUYL240</v>
      </c>
      <c r="C24">
        <f>SUMIFS(allorders!O:O,allorders!L:L,$A24,allorders!AG:AG,"&lt;="&amp;日期!$B$5,allorders!AG:AG,"&gt;="&amp;日期!$B$6,allorders!N:N,"Shipped")</f>
        <v>1</v>
      </c>
      <c r="D24">
        <f>SUMIFS(allorders!$O:$O,allorders!$L:$L,$A24,allorders!$AG:$AG,"&lt;="&amp;日期!$B$7,allorders!$AG:$AG,"&gt;="&amp;日期!$B$8,allorders!N:N,"Shipped")</f>
        <v>1</v>
      </c>
      <c r="E24">
        <f>SUMIFS(allorders!$O:$O,allorders!$L:$L,$A24,allorders!$AG:$AG,"&lt;="&amp;日期!$B$9,allorders!$AG:$AG,"&gt;="&amp;日期!$B$10,allorders!N:N,"Shipped")</f>
        <v>5</v>
      </c>
      <c r="F24">
        <f>SUMIFS(allorders!$O:$O,allorders!$L:$L,$A24,allorders!$AG:$AG,"&lt;="&amp;日期!$B$11,allorders!$AG:$AG,"&gt;="&amp;日期!$B$12,allorders!N:N,"Shipped")</f>
        <v>8</v>
      </c>
      <c r="G24">
        <f>SUMIFS(allorders!Q:Q,allorders!L:L,A24,allorders!AG:AG,"&lt;="&amp;日期!$B$5,allorders!AG:AG,"&gt;="&amp;日期!$B$12,allorders!N:N,"Shipped")/SUM(C24:F24)</f>
        <v>24.8573333333333</v>
      </c>
      <c r="H24">
        <f>SUMIFS(allorders!Q:Q,allorders!L:L,A24,allorders!AG:AG,"&gt;="&amp;日期!$B$12,allorders!AG:AG,"&lt;="&amp;日期!$B$5,allorders!N:N,"Shipped")</f>
        <v>372.86</v>
      </c>
      <c r="I24">
        <f t="shared" si="0"/>
        <v>15</v>
      </c>
    </row>
    <row r="25" spans="1:9">
      <c r="A25" s="5" t="s">
        <v>294</v>
      </c>
      <c r="B25" t="str">
        <f>VLOOKUP(A25,'[1]子SKU-父SKU'!$A:$B,2,0)</f>
        <v>TZ-IUYL240</v>
      </c>
      <c r="C25">
        <f>SUMIFS(allorders!O:O,allorders!L:L,$A25,allorders!AG:AG,"&lt;="&amp;日期!$B$5,allorders!AG:AG,"&gt;="&amp;日期!$B$6,allorders!N:N,"Shipped")</f>
        <v>3</v>
      </c>
      <c r="D25">
        <f>SUMIFS(allorders!$O:$O,allorders!$L:$L,$A25,allorders!$AG:$AG,"&lt;="&amp;日期!$B$7,allorders!$AG:$AG,"&gt;="&amp;日期!$B$8,allorders!N:N,"Shipped")</f>
        <v>1</v>
      </c>
      <c r="E25">
        <f>SUMIFS(allorders!$O:$O,allorders!$L:$L,$A25,allorders!$AG:$AG,"&lt;="&amp;日期!$B$9,allorders!$AG:$AG,"&gt;="&amp;日期!$B$10,allorders!N:N,"Shipped")</f>
        <v>1</v>
      </c>
      <c r="F25">
        <f>SUMIFS(allorders!$O:$O,allorders!$L:$L,$A25,allorders!$AG:$AG,"&lt;="&amp;日期!$B$11,allorders!$AG:$AG,"&gt;="&amp;日期!$B$12,allorders!N:N,"Shipped")</f>
        <v>2</v>
      </c>
      <c r="G25">
        <f>SUMIFS(allorders!Q:Q,allorders!L:L,A25,allorders!AG:AG,"&lt;="&amp;日期!$B$5,allorders!AG:AG,"&gt;="&amp;日期!$B$12,allorders!N:N,"Shipped")/SUM(C25:F25)</f>
        <v>18.99</v>
      </c>
      <c r="H25">
        <f>SUMIFS(allorders!Q:Q,allorders!L:L,A25,allorders!AG:AG,"&gt;="&amp;日期!$B$12,allorders!AG:AG,"&lt;="&amp;日期!$B$5,allorders!N:N,"Shipped")</f>
        <v>132.93</v>
      </c>
      <c r="I25">
        <f t="shared" si="0"/>
        <v>7</v>
      </c>
    </row>
    <row r="26" spans="1:9">
      <c r="A26" s="5" t="s">
        <v>301</v>
      </c>
      <c r="B26" t="str">
        <f>VLOOKUP(A26,'[1]子SKU-父SKU'!$A:$B,2,0)</f>
        <v>TZ-IUYL240</v>
      </c>
      <c r="C26">
        <f>SUMIFS(allorders!O:O,allorders!L:L,$A26,allorders!AG:AG,"&lt;="&amp;日期!$B$5,allorders!AG:AG,"&gt;="&amp;日期!$B$6,allorders!N:N,"Shipped")</f>
        <v>0</v>
      </c>
      <c r="D26">
        <f>SUMIFS(allorders!$O:$O,allorders!$L:$L,$A26,allorders!$AG:$AG,"&lt;="&amp;日期!$B$7,allorders!$AG:$AG,"&gt;="&amp;日期!$B$8,allorders!N:N,"Shipped")</f>
        <v>0</v>
      </c>
      <c r="E26">
        <f>SUMIFS(allorders!$O:$O,allorders!$L:$L,$A26,allorders!$AG:$AG,"&lt;="&amp;日期!$B$9,allorders!$AG:$AG,"&gt;="&amp;日期!$B$10,allorders!N:N,"Shipped")</f>
        <v>0</v>
      </c>
      <c r="F26">
        <f>SUMIFS(allorders!$O:$O,allorders!$L:$L,$A26,allorders!$AG:$AG,"&lt;="&amp;日期!$B$11,allorders!$AG:$AG,"&gt;="&amp;日期!$B$12,allorders!N:N,"Shipped")</f>
        <v>10</v>
      </c>
      <c r="G26">
        <f>SUMIFS(allorders!Q:Q,allorders!L:L,A26,allorders!AG:AG,"&lt;="&amp;日期!$B$5,allorders!AG:AG,"&gt;="&amp;日期!$B$12,allorders!N:N,"Shipped")/SUM(C26:F26)</f>
        <v>18.99</v>
      </c>
      <c r="H26">
        <f>SUMIFS(allorders!Q:Q,allorders!L:L,A26,allorders!AG:AG,"&gt;="&amp;日期!$B$12,allorders!AG:AG,"&lt;="&amp;日期!$B$5,allorders!N:N,"Shipped")</f>
        <v>189.9</v>
      </c>
      <c r="I26">
        <f t="shared" si="0"/>
        <v>10</v>
      </c>
    </row>
    <row r="27" spans="1:9">
      <c r="A27" s="5" t="s">
        <v>313</v>
      </c>
      <c r="B27" t="str">
        <f>VLOOKUP(A27,'[1]子SKU-父SKU'!$A:$B,2,0)</f>
        <v>TZ-IUYL240</v>
      </c>
      <c r="C27">
        <f>SUMIFS(allorders!O:O,allorders!L:L,$A27,allorders!AG:AG,"&lt;="&amp;日期!$B$5,allorders!AG:AG,"&gt;="&amp;日期!$B$6,allorders!N:N,"Shipped")</f>
        <v>0</v>
      </c>
      <c r="D27">
        <f>SUMIFS(allorders!$O:$O,allorders!$L:$L,$A27,allorders!$AG:$AG,"&lt;="&amp;日期!$B$7,allorders!$AG:$AG,"&gt;="&amp;日期!$B$8,allorders!N:N,"Shipped")</f>
        <v>0</v>
      </c>
      <c r="E27">
        <f>SUMIFS(allorders!$O:$O,allorders!$L:$L,$A27,allorders!$AG:$AG,"&lt;="&amp;日期!$B$9,allorders!$AG:$AG,"&gt;="&amp;日期!$B$10,allorders!N:N,"Shipped")</f>
        <v>2</v>
      </c>
      <c r="F27">
        <f>SUMIFS(allorders!$O:$O,allorders!$L:$L,$A27,allorders!$AG:$AG,"&lt;="&amp;日期!$B$11,allorders!$AG:$AG,"&gt;="&amp;日期!$B$12,allorders!N:N,"Shipped")</f>
        <v>4</v>
      </c>
      <c r="G27">
        <f>SUMIFS(allorders!Q:Q,allorders!L:L,A27,allorders!AG:AG,"&lt;="&amp;日期!$B$5,allorders!AG:AG,"&gt;="&amp;日期!$B$12,allorders!N:N,"Shipped")/SUM(C27:F27)</f>
        <v>24.99</v>
      </c>
      <c r="H27">
        <f>SUMIFS(allorders!Q:Q,allorders!L:L,A27,allorders!AG:AG,"&gt;="&amp;日期!$B$12,allorders!AG:AG,"&lt;="&amp;日期!$B$5,allorders!N:N,"Shipped")</f>
        <v>149.94</v>
      </c>
      <c r="I27">
        <f t="shared" si="0"/>
        <v>6</v>
      </c>
    </row>
    <row r="28" spans="1:9">
      <c r="A28" s="5" t="s">
        <v>326</v>
      </c>
      <c r="B28" t="str">
        <f>VLOOKUP(A28,'[1]子SKU-父SKU'!$A:$B,2,0)</f>
        <v>ST085</v>
      </c>
      <c r="C28">
        <f>SUMIFS(allorders!O:O,allorders!L:L,$A28,allorders!AG:AG,"&lt;="&amp;日期!$B$5,allorders!AG:AG,"&gt;="&amp;日期!$B$6,allorders!N:N,"Shipped")</f>
        <v>2</v>
      </c>
      <c r="D28">
        <f>SUMIFS(allorders!$O:$O,allorders!$L:$L,$A28,allorders!$AG:$AG,"&lt;="&amp;日期!$B$7,allorders!$AG:$AG,"&gt;="&amp;日期!$B$8,allorders!N:N,"Shipped")</f>
        <v>2</v>
      </c>
      <c r="E28">
        <f>SUMIFS(allorders!$O:$O,allorders!$L:$L,$A28,allorders!$AG:$AG,"&lt;="&amp;日期!$B$9,allorders!$AG:$AG,"&gt;="&amp;日期!$B$10,allorders!N:N,"Shipped")</f>
        <v>2</v>
      </c>
      <c r="F28">
        <f>SUMIFS(allorders!$O:$O,allorders!$L:$L,$A28,allorders!$AG:$AG,"&lt;="&amp;日期!$B$11,allorders!$AG:$AG,"&gt;="&amp;日期!$B$12,allorders!N:N,"Shipped")</f>
        <v>1</v>
      </c>
      <c r="G28">
        <f>SUMIFS(allorders!Q:Q,allorders!L:L,A28,allorders!AG:AG,"&lt;="&amp;日期!$B$5,allorders!AG:AG,"&gt;="&amp;日期!$B$12,allorders!N:N,"Shipped")/SUM(C28:F28)</f>
        <v>10</v>
      </c>
      <c r="H28">
        <f>SUMIFS(allorders!Q:Q,allorders!L:L,A28,allorders!AG:AG,"&gt;="&amp;日期!$B$12,allorders!AG:AG,"&lt;="&amp;日期!$B$5,allorders!N:N,"Shipped")</f>
        <v>70</v>
      </c>
      <c r="I28">
        <f t="shared" si="0"/>
        <v>7</v>
      </c>
    </row>
    <row r="29" spans="1:9">
      <c r="A29" s="5" t="s">
        <v>346</v>
      </c>
      <c r="B29" t="str">
        <f>VLOOKUP(A29,'[1]子SKU-父SKU'!$A:$B,2,0)</f>
        <v>LGQ-IUYL100</v>
      </c>
      <c r="C29">
        <f>SUMIFS(allorders!O:O,allorders!L:L,$A29,allorders!AG:AG,"&lt;="&amp;日期!$B$5,allorders!AG:AG,"&gt;="&amp;日期!$B$6,allorders!N:N,"Shipped")</f>
        <v>1</v>
      </c>
      <c r="D29">
        <f>SUMIFS(allorders!$O:$O,allorders!$L:$L,$A29,allorders!$AG:$AG,"&lt;="&amp;日期!$B$7,allorders!$AG:$AG,"&gt;="&amp;日期!$B$8,allorders!N:N,"Shipped")</f>
        <v>1</v>
      </c>
      <c r="E29">
        <f>SUMIFS(allorders!$O:$O,allorders!$L:$L,$A29,allorders!$AG:$AG,"&lt;="&amp;日期!$B$9,allorders!$AG:$AG,"&gt;="&amp;日期!$B$10,allorders!N:N,"Shipped")</f>
        <v>0</v>
      </c>
      <c r="F29">
        <f>SUMIFS(allorders!$O:$O,allorders!$L:$L,$A29,allorders!$AG:$AG,"&lt;="&amp;日期!$B$11,allorders!$AG:$AG,"&gt;="&amp;日期!$B$12,allorders!N:N,"Shipped")</f>
        <v>2</v>
      </c>
      <c r="G29">
        <f>SUMIFS(allorders!Q:Q,allorders!L:L,A29,allorders!AG:AG,"&lt;="&amp;日期!$B$5,allorders!AG:AG,"&gt;="&amp;日期!$B$12,allorders!N:N,"Shipped")/SUM(C29:F29)</f>
        <v>17.98</v>
      </c>
      <c r="H29">
        <f>SUMIFS(allorders!Q:Q,allorders!L:L,A29,allorders!AG:AG,"&gt;="&amp;日期!$B$12,allorders!AG:AG,"&lt;="&amp;日期!$B$5,allorders!N:N,"Shipped")</f>
        <v>71.92</v>
      </c>
      <c r="I29">
        <f t="shared" si="0"/>
        <v>4</v>
      </c>
    </row>
    <row r="30" spans="1:9">
      <c r="A30" s="5" t="s">
        <v>366</v>
      </c>
      <c r="B30" t="str">
        <f>VLOOKUP(A30,'[1]子SKU-父SKU'!$A:$B,2,0)</f>
        <v>TZ-IUYL240</v>
      </c>
      <c r="C30">
        <f>SUMIFS(allorders!O:O,allorders!L:L,$A30,allorders!AG:AG,"&lt;="&amp;日期!$B$5,allorders!AG:AG,"&gt;="&amp;日期!$B$6,allorders!N:N,"Shipped")</f>
        <v>1</v>
      </c>
      <c r="D30">
        <f>SUMIFS(allorders!$O:$O,allorders!$L:$L,$A30,allorders!$AG:$AG,"&lt;="&amp;日期!$B$7,allorders!$AG:$AG,"&gt;="&amp;日期!$B$8,allorders!N:N,"Shipped")</f>
        <v>0</v>
      </c>
      <c r="E30">
        <f>SUMIFS(allorders!$O:$O,allorders!$L:$L,$A30,allorders!$AG:$AG,"&lt;="&amp;日期!$B$9,allorders!$AG:$AG,"&gt;="&amp;日期!$B$10,allorders!N:N,"Shipped")</f>
        <v>5</v>
      </c>
      <c r="F30">
        <f>SUMIFS(allorders!$O:$O,allorders!$L:$L,$A30,allorders!$AG:$AG,"&lt;="&amp;日期!$B$11,allorders!$AG:$AG,"&gt;="&amp;日期!$B$12,allorders!N:N,"Shipped")</f>
        <v>3</v>
      </c>
      <c r="G30">
        <f>SUMIFS(allorders!Q:Q,allorders!L:L,A30,allorders!AG:AG,"&lt;="&amp;日期!$B$5,allorders!AG:AG,"&gt;="&amp;日期!$B$12,allorders!N:N,"Shipped")/SUM(C30:F30)</f>
        <v>18.99</v>
      </c>
      <c r="H30">
        <f>SUMIFS(allorders!Q:Q,allorders!L:L,A30,allorders!AG:AG,"&gt;="&amp;日期!$B$12,allorders!AG:AG,"&lt;="&amp;日期!$B$5,allorders!N:N,"Shipped")</f>
        <v>170.91</v>
      </c>
      <c r="I30">
        <f t="shared" si="0"/>
        <v>9</v>
      </c>
    </row>
    <row r="31" spans="1:9">
      <c r="A31" s="5" t="s">
        <v>374</v>
      </c>
      <c r="B31" t="str">
        <f>VLOOKUP(A31,'[1]子SKU-父SKU'!$A:$B,2,0)</f>
        <v>GW-LULHY</v>
      </c>
      <c r="C31">
        <f>SUMIFS(allorders!O:O,allorders!L:L,$A31,allorders!AG:AG,"&lt;="&amp;日期!$B$5,allorders!AG:AG,"&gt;="&amp;日期!$B$6,allorders!N:N,"Shipped")</f>
        <v>0</v>
      </c>
      <c r="D31">
        <f>SUMIFS(allorders!$O:$O,allorders!$L:$L,$A31,allorders!$AG:$AG,"&lt;="&amp;日期!$B$7,allorders!$AG:$AG,"&gt;="&amp;日期!$B$8,allorders!N:N,"Shipped")</f>
        <v>0</v>
      </c>
      <c r="E31">
        <f>SUMIFS(allorders!$O:$O,allorders!$L:$L,$A31,allorders!$AG:$AG,"&lt;="&amp;日期!$B$9,allorders!$AG:$AG,"&gt;="&amp;日期!$B$10,allorders!N:N,"Shipped")</f>
        <v>0</v>
      </c>
      <c r="F31">
        <f>SUMIFS(allorders!$O:$O,allorders!$L:$L,$A31,allorders!$AG:$AG,"&lt;="&amp;日期!$B$11,allorders!$AG:$AG,"&gt;="&amp;日期!$B$12,allorders!N:N,"Shipped")</f>
        <v>2</v>
      </c>
      <c r="G31">
        <f>SUMIFS(allorders!Q:Q,allorders!L:L,A31,allorders!AG:AG,"&lt;="&amp;日期!$B$5,allorders!AG:AG,"&gt;="&amp;日期!$B$12,allorders!N:N,"Shipped")/SUM(C31:F31)</f>
        <v>9.945</v>
      </c>
      <c r="H31">
        <f>SUMIFS(allorders!Q:Q,allorders!L:L,A31,allorders!AG:AG,"&gt;="&amp;日期!$B$12,allorders!AG:AG,"&lt;="&amp;日期!$B$5,allorders!N:N,"Shipped")</f>
        <v>19.89</v>
      </c>
      <c r="I31">
        <f t="shared" si="0"/>
        <v>2</v>
      </c>
    </row>
    <row r="32" spans="1:9">
      <c r="A32" s="5" t="s">
        <v>388</v>
      </c>
      <c r="B32" t="str">
        <f>VLOOKUP(A32,'[1]子SKU-父SKU'!$A:$B,2,0)</f>
        <v>TZ-IUYL240</v>
      </c>
      <c r="C32">
        <f>SUMIFS(allorders!O:O,allorders!L:L,$A32,allorders!AG:AG,"&lt;="&amp;日期!$B$5,allorders!AG:AG,"&gt;="&amp;日期!$B$6,allorders!N:N,"Shipped")</f>
        <v>6</v>
      </c>
      <c r="D32">
        <f>SUMIFS(allorders!$O:$O,allorders!$L:$L,$A32,allorders!$AG:$AG,"&lt;="&amp;日期!$B$7,allorders!$AG:$AG,"&gt;="&amp;日期!$B$8,allorders!N:N,"Shipped")</f>
        <v>14</v>
      </c>
      <c r="E32">
        <f>SUMIFS(allorders!$O:$O,allorders!$L:$L,$A32,allorders!$AG:$AG,"&lt;="&amp;日期!$B$9,allorders!$AG:$AG,"&gt;="&amp;日期!$B$10,allorders!N:N,"Shipped")</f>
        <v>17</v>
      </c>
      <c r="F32">
        <f>SUMIFS(allorders!$O:$O,allorders!$L:$L,$A32,allorders!$AG:$AG,"&lt;="&amp;日期!$B$11,allorders!$AG:$AG,"&gt;="&amp;日期!$B$12,allorders!N:N,"Shipped")</f>
        <v>17</v>
      </c>
      <c r="G32">
        <f>SUMIFS(allorders!Q:Q,allorders!L:L,A32,allorders!AG:AG,"&lt;="&amp;日期!$B$5,allorders!AG:AG,"&gt;="&amp;日期!$B$12,allorders!N:N,"Shipped")/SUM(C32:F32)</f>
        <v>18.99</v>
      </c>
      <c r="H32">
        <f>SUMIFS(allorders!Q:Q,allorders!L:L,A32,allorders!AG:AG,"&gt;="&amp;日期!$B$12,allorders!AG:AG,"&lt;="&amp;日期!$B$5,allorders!N:N,"Shipped")</f>
        <v>1025.46</v>
      </c>
      <c r="I32">
        <f t="shared" si="0"/>
        <v>54</v>
      </c>
    </row>
    <row r="33" spans="1:9">
      <c r="A33" s="5" t="s">
        <v>397</v>
      </c>
      <c r="B33" t="str">
        <f>VLOOKUP(A33,'[1]子SKU-父SKU'!$A:$B,2,0)</f>
        <v>ST172</v>
      </c>
      <c r="C33">
        <f>SUMIFS(allorders!O:O,allorders!L:L,$A33,allorders!AG:AG,"&lt;="&amp;日期!$B$5,allorders!AG:AG,"&gt;="&amp;日期!$B$6,allorders!N:N,"Shipped")</f>
        <v>0</v>
      </c>
      <c r="D33">
        <f>SUMIFS(allorders!$O:$O,allorders!$L:$L,$A33,allorders!$AG:$AG,"&lt;="&amp;日期!$B$7,allorders!$AG:$AG,"&gt;="&amp;日期!$B$8,allorders!N:N,"Shipped")</f>
        <v>0</v>
      </c>
      <c r="E33">
        <f>SUMIFS(allorders!$O:$O,allorders!$L:$L,$A33,allorders!$AG:$AG,"&lt;="&amp;日期!$B$9,allorders!$AG:$AG,"&gt;="&amp;日期!$B$10,allorders!N:N,"Shipped")</f>
        <v>0</v>
      </c>
      <c r="F33">
        <f>SUMIFS(allorders!$O:$O,allorders!$L:$L,$A33,allorders!$AG:$AG,"&lt;="&amp;日期!$B$11,allorders!$AG:$AG,"&gt;="&amp;日期!$B$12,allorders!N:N,"Shipped")</f>
        <v>1</v>
      </c>
      <c r="G33">
        <f>SUMIFS(allorders!Q:Q,allorders!L:L,A33,allorders!AG:AG,"&lt;="&amp;日期!$B$5,allorders!AG:AG,"&gt;="&amp;日期!$B$12,allorders!N:N,"Shipped")/SUM(C33:F33)</f>
        <v>14.98</v>
      </c>
      <c r="H33">
        <f>SUMIFS(allorders!Q:Q,allorders!L:L,A33,allorders!AG:AG,"&gt;="&amp;日期!$B$12,allorders!AG:AG,"&lt;="&amp;日期!$B$5,allorders!N:N,"Shipped")</f>
        <v>14.98</v>
      </c>
      <c r="I33">
        <f t="shared" si="0"/>
        <v>1</v>
      </c>
    </row>
    <row r="34" spans="1:9">
      <c r="A34" s="5" t="s">
        <v>410</v>
      </c>
      <c r="B34" t="str">
        <f>VLOOKUP(A34,'[1]子SKU-父SKU'!$A:$B,2,0)</f>
        <v>XQ-IUYL260</v>
      </c>
      <c r="C34">
        <f>SUMIFS(allorders!O:O,allorders!L:L,$A34,allorders!AG:AG,"&lt;="&amp;日期!$B$5,allorders!AG:AG,"&gt;="&amp;日期!$B$6,allorders!N:N,"Shipped")</f>
        <v>0</v>
      </c>
      <c r="D34">
        <f>SUMIFS(allorders!$O:$O,allorders!$L:$L,$A34,allorders!$AG:$AG,"&lt;="&amp;日期!$B$7,allorders!$AG:$AG,"&gt;="&amp;日期!$B$8,allorders!N:N,"Shipped")</f>
        <v>3</v>
      </c>
      <c r="E34">
        <f>SUMIFS(allorders!$O:$O,allorders!$L:$L,$A34,allorders!$AG:$AG,"&lt;="&amp;日期!$B$9,allorders!$AG:$AG,"&gt;="&amp;日期!$B$10,allorders!N:N,"Shipped")</f>
        <v>2</v>
      </c>
      <c r="F34">
        <f>SUMIFS(allorders!$O:$O,allorders!$L:$L,$A34,allorders!$AG:$AG,"&lt;="&amp;日期!$B$11,allorders!$AG:$AG,"&gt;="&amp;日期!$B$12,allorders!N:N,"Shipped")</f>
        <v>3</v>
      </c>
      <c r="G34">
        <f>SUMIFS(allorders!Q:Q,allorders!L:L,A34,allorders!AG:AG,"&lt;="&amp;日期!$B$5,allorders!AG:AG,"&gt;="&amp;日期!$B$12,allorders!N:N,"Shipped")/SUM(C34:F34)</f>
        <v>9.9</v>
      </c>
      <c r="H34">
        <f>SUMIFS(allorders!Q:Q,allorders!L:L,A34,allorders!AG:AG,"&gt;="&amp;日期!$B$12,allorders!AG:AG,"&lt;="&amp;日期!$B$5,allorders!N:N,"Shipped")</f>
        <v>79.2</v>
      </c>
      <c r="I34">
        <f t="shared" si="0"/>
        <v>8</v>
      </c>
    </row>
    <row r="35" spans="1:9">
      <c r="A35" s="5" t="s">
        <v>419</v>
      </c>
      <c r="B35" t="str">
        <f>VLOOKUP(A35,'[1]子SKU-父SKU'!$A:$B,2,0)</f>
        <v>TZ-IUYL240</v>
      </c>
      <c r="C35">
        <f>SUMIFS(allorders!O:O,allorders!L:L,$A35,allorders!AG:AG,"&lt;="&amp;日期!$B$5,allorders!AG:AG,"&gt;="&amp;日期!$B$6,allorders!N:N,"Shipped")</f>
        <v>1</v>
      </c>
      <c r="D35">
        <f>SUMIFS(allorders!$O:$O,allorders!$L:$L,$A35,allorders!$AG:$AG,"&lt;="&amp;日期!$B$7,allorders!$AG:$AG,"&gt;="&amp;日期!$B$8,allorders!N:N,"Shipped")</f>
        <v>2</v>
      </c>
      <c r="E35">
        <f>SUMIFS(allorders!$O:$O,allorders!$L:$L,$A35,allorders!$AG:$AG,"&lt;="&amp;日期!$B$9,allorders!$AG:$AG,"&gt;="&amp;日期!$B$10,allorders!N:N,"Shipped")</f>
        <v>2</v>
      </c>
      <c r="F35">
        <f>SUMIFS(allorders!$O:$O,allorders!$L:$L,$A35,allorders!$AG:$AG,"&lt;="&amp;日期!$B$11,allorders!$AG:$AG,"&gt;="&amp;日期!$B$12,allorders!N:N,"Shipped")</f>
        <v>3</v>
      </c>
      <c r="G35">
        <f>SUMIFS(allorders!Q:Q,allorders!L:L,A35,allorders!AG:AG,"&lt;="&amp;日期!$B$5,allorders!AG:AG,"&gt;="&amp;日期!$B$12,allorders!N:N,"Shipped")/SUM(C35:F35)</f>
        <v>18.99</v>
      </c>
      <c r="H35">
        <f>SUMIFS(allorders!Q:Q,allorders!L:L,A35,allorders!AG:AG,"&gt;="&amp;日期!$B$12,allorders!AG:AG,"&lt;="&amp;日期!$B$5,allorders!N:N,"Shipped")</f>
        <v>151.92</v>
      </c>
      <c r="I35">
        <f t="shared" si="0"/>
        <v>8</v>
      </c>
    </row>
    <row r="36" spans="1:9">
      <c r="A36" s="5" t="s">
        <v>423</v>
      </c>
      <c r="B36" t="str">
        <f>VLOOKUP(A36,'[1]子SKU-父SKU'!$A:$B,2,0)</f>
        <v>XQ-IUYL260</v>
      </c>
      <c r="C36">
        <f>SUMIFS(allorders!O:O,allorders!L:L,$A36,allorders!AG:AG,"&lt;="&amp;日期!$B$5,allorders!AG:AG,"&gt;="&amp;日期!$B$6,allorders!N:N,"Shipped")</f>
        <v>0</v>
      </c>
      <c r="D36">
        <f>SUMIFS(allorders!$O:$O,allorders!$L:$L,$A36,allorders!$AG:$AG,"&lt;="&amp;日期!$B$7,allorders!$AG:$AG,"&gt;="&amp;日期!$B$8,allorders!N:N,"Shipped")</f>
        <v>2</v>
      </c>
      <c r="E36">
        <f>SUMIFS(allorders!$O:$O,allorders!$L:$L,$A36,allorders!$AG:$AG,"&lt;="&amp;日期!$B$9,allorders!$AG:$AG,"&gt;="&amp;日期!$B$10,allorders!N:N,"Shipped")</f>
        <v>2</v>
      </c>
      <c r="F36">
        <f>SUMIFS(allorders!$O:$O,allorders!$L:$L,$A36,allorders!$AG:$AG,"&lt;="&amp;日期!$B$11,allorders!$AG:$AG,"&gt;="&amp;日期!$B$12,allorders!N:N,"Shipped")</f>
        <v>1</v>
      </c>
      <c r="G36">
        <f>SUMIFS(allorders!Q:Q,allorders!L:L,A36,allorders!AG:AG,"&lt;="&amp;日期!$B$5,allorders!AG:AG,"&gt;="&amp;日期!$B$12,allorders!N:N,"Shipped")/SUM(C36:F36)</f>
        <v>9.9</v>
      </c>
      <c r="H36">
        <f>SUMIFS(allorders!Q:Q,allorders!L:L,A36,allorders!AG:AG,"&gt;="&amp;日期!$B$12,allorders!AG:AG,"&lt;="&amp;日期!$B$5,allorders!N:N,"Shipped")</f>
        <v>49.5</v>
      </c>
      <c r="I36">
        <f t="shared" si="0"/>
        <v>5</v>
      </c>
    </row>
    <row r="37" spans="1:9">
      <c r="A37" s="5" t="s">
        <v>435</v>
      </c>
      <c r="B37" t="str">
        <f>VLOOKUP(A37,'[1]子SKU-父SKU'!$A:$B,2,0)</f>
        <v>TZ-IUYL240</v>
      </c>
      <c r="C37">
        <f>SUMIFS(allorders!O:O,allorders!L:L,$A37,allorders!AG:AG,"&lt;="&amp;日期!$B$5,allorders!AG:AG,"&gt;="&amp;日期!$B$6,allorders!N:N,"Shipped")</f>
        <v>6</v>
      </c>
      <c r="D37">
        <f>SUMIFS(allorders!$O:$O,allorders!$L:$L,$A37,allorders!$AG:$AG,"&lt;="&amp;日期!$B$7,allorders!$AG:$AG,"&gt;="&amp;日期!$B$8,allorders!N:N,"Shipped")</f>
        <v>8</v>
      </c>
      <c r="E37">
        <f>SUMIFS(allorders!$O:$O,allorders!$L:$L,$A37,allorders!$AG:$AG,"&lt;="&amp;日期!$B$9,allorders!$AG:$AG,"&gt;="&amp;日期!$B$10,allorders!N:N,"Shipped")</f>
        <v>7</v>
      </c>
      <c r="F37">
        <f>SUMIFS(allorders!$O:$O,allorders!$L:$L,$A37,allorders!$AG:$AG,"&lt;="&amp;日期!$B$11,allorders!$AG:$AG,"&gt;="&amp;日期!$B$12,allorders!N:N,"Shipped")</f>
        <v>6</v>
      </c>
      <c r="G37">
        <f>SUMIFS(allorders!Q:Q,allorders!L:L,A37,allorders!AG:AG,"&lt;="&amp;日期!$B$5,allorders!AG:AG,"&gt;="&amp;日期!$B$12,allorders!N:N,"Shipped")/SUM(C37:F37)</f>
        <v>13.9533333333333</v>
      </c>
      <c r="H37">
        <f>SUMIFS(allorders!Q:Q,allorders!L:L,A37,allorders!AG:AG,"&gt;="&amp;日期!$B$12,allorders!AG:AG,"&lt;="&amp;日期!$B$5,allorders!N:N,"Shipped")</f>
        <v>376.74</v>
      </c>
      <c r="I37">
        <f t="shared" si="0"/>
        <v>27</v>
      </c>
    </row>
    <row r="38" spans="1:9">
      <c r="A38" s="5" t="s">
        <v>452</v>
      </c>
      <c r="B38" t="str">
        <f>VLOOKUP(A38,'[1]子SKU-父SKU'!$A:$B,2,0)</f>
        <v>XQ-IUYL260</v>
      </c>
      <c r="C38">
        <f>SUMIFS(allorders!O:O,allorders!L:L,$A38,allorders!AG:AG,"&lt;="&amp;日期!$B$5,allorders!AG:AG,"&gt;="&amp;日期!$B$6,allorders!N:N,"Shipped")</f>
        <v>0</v>
      </c>
      <c r="D38">
        <f>SUMIFS(allorders!$O:$O,allorders!$L:$L,$A38,allorders!$AG:$AG,"&lt;="&amp;日期!$B$7,allorders!$AG:$AG,"&gt;="&amp;日期!$B$8,allorders!N:N,"Shipped")</f>
        <v>1</v>
      </c>
      <c r="E38">
        <f>SUMIFS(allorders!$O:$O,allorders!$L:$L,$A38,allorders!$AG:$AG,"&lt;="&amp;日期!$B$9,allorders!$AG:$AG,"&gt;="&amp;日期!$B$10,allorders!N:N,"Shipped")</f>
        <v>1</v>
      </c>
      <c r="F38">
        <f>SUMIFS(allorders!$O:$O,allorders!$L:$L,$A38,allorders!$AG:$AG,"&lt;="&amp;日期!$B$11,allorders!$AG:$AG,"&gt;="&amp;日期!$B$12,allorders!N:N,"Shipped")</f>
        <v>1</v>
      </c>
      <c r="G38">
        <f>SUMIFS(allorders!Q:Q,allorders!L:L,A38,allorders!AG:AG,"&lt;="&amp;日期!$B$5,allorders!AG:AG,"&gt;="&amp;日期!$B$12,allorders!N:N,"Shipped")/SUM(C38:F38)</f>
        <v>9.9</v>
      </c>
      <c r="H38">
        <f>SUMIFS(allorders!Q:Q,allorders!L:L,A38,allorders!AG:AG,"&gt;="&amp;日期!$B$12,allorders!AG:AG,"&lt;="&amp;日期!$B$5,allorders!N:N,"Shipped")</f>
        <v>29.7</v>
      </c>
      <c r="I38">
        <f t="shared" si="0"/>
        <v>3</v>
      </c>
    </row>
    <row r="39" spans="1:9">
      <c r="A39" s="5" t="s">
        <v>460</v>
      </c>
      <c r="B39" t="str">
        <f>VLOOKUP(A39,'[1]子SKU-父SKU'!$A:$B,2,0)</f>
        <v>ST170</v>
      </c>
      <c r="C39">
        <f>SUMIFS(allorders!O:O,allorders!L:L,$A39,allorders!AG:AG,"&lt;="&amp;日期!$B$5,allorders!AG:AG,"&gt;="&amp;日期!$B$6,allorders!N:N,"Shipped")</f>
        <v>0</v>
      </c>
      <c r="D39">
        <f>SUMIFS(allorders!$O:$O,allorders!$L:$L,$A39,allorders!$AG:$AG,"&lt;="&amp;日期!$B$7,allorders!$AG:$AG,"&gt;="&amp;日期!$B$8,allorders!N:N,"Shipped")</f>
        <v>0</v>
      </c>
      <c r="E39">
        <f>SUMIFS(allorders!$O:$O,allorders!$L:$L,$A39,allorders!$AG:$AG,"&lt;="&amp;日期!$B$9,allorders!$AG:$AG,"&gt;="&amp;日期!$B$10,allorders!N:N,"Shipped")</f>
        <v>8</v>
      </c>
      <c r="F39">
        <f>SUMIFS(allorders!$O:$O,allorders!$L:$L,$A39,allorders!$AG:$AG,"&lt;="&amp;日期!$B$11,allorders!$AG:$AG,"&gt;="&amp;日期!$B$12,allorders!N:N,"Shipped")</f>
        <v>5</v>
      </c>
      <c r="G39">
        <f>SUMIFS(allorders!Q:Q,allorders!L:L,A39,allorders!AG:AG,"&lt;="&amp;日期!$B$5,allorders!AG:AG,"&gt;="&amp;日期!$B$12,allorders!N:N,"Shipped")/SUM(C39:F39)</f>
        <v>15.98</v>
      </c>
      <c r="H39">
        <f>SUMIFS(allorders!Q:Q,allorders!L:L,A39,allorders!AG:AG,"&gt;="&amp;日期!$B$12,allorders!AG:AG,"&lt;="&amp;日期!$B$5,allorders!N:N,"Shipped")</f>
        <v>207.74</v>
      </c>
      <c r="I39">
        <f t="shared" si="0"/>
        <v>13</v>
      </c>
    </row>
    <row r="40" spans="1:9">
      <c r="A40" s="5" t="s">
        <v>479</v>
      </c>
      <c r="B40" t="str">
        <f>VLOOKUP(A40,'[1]子SKU-父SKU'!$A:$B,2,0)</f>
        <v>TZ-IUYL240</v>
      </c>
      <c r="C40">
        <f>SUMIFS(allorders!O:O,allorders!L:L,$A40,allorders!AG:AG,"&lt;="&amp;日期!$B$5,allorders!AG:AG,"&gt;="&amp;日期!$B$6,allorders!N:N,"Shipped")</f>
        <v>0</v>
      </c>
      <c r="D40">
        <f>SUMIFS(allorders!$O:$O,allorders!$L:$L,$A40,allorders!$AG:$AG,"&lt;="&amp;日期!$B$7,allorders!$AG:$AG,"&gt;="&amp;日期!$B$8,allorders!N:N,"Shipped")</f>
        <v>0</v>
      </c>
      <c r="E40">
        <f>SUMIFS(allorders!$O:$O,allorders!$L:$L,$A40,allorders!$AG:$AG,"&lt;="&amp;日期!$B$9,allorders!$AG:$AG,"&gt;="&amp;日期!$B$10,allorders!N:N,"Shipped")</f>
        <v>2</v>
      </c>
      <c r="F40">
        <f>SUMIFS(allorders!$O:$O,allorders!$L:$L,$A40,allorders!$AG:$AG,"&lt;="&amp;日期!$B$11,allorders!$AG:$AG,"&gt;="&amp;日期!$B$12,allorders!N:N,"Shipped")</f>
        <v>1</v>
      </c>
      <c r="G40">
        <f>SUMIFS(allorders!Q:Q,allorders!L:L,A40,allorders!AG:AG,"&lt;="&amp;日期!$B$5,allorders!AG:AG,"&gt;="&amp;日期!$B$12,allorders!N:N,"Shipped")/SUM(C40:F40)</f>
        <v>12.99</v>
      </c>
      <c r="H40">
        <f>SUMIFS(allorders!Q:Q,allorders!L:L,A40,allorders!AG:AG,"&gt;="&amp;日期!$B$12,allorders!AG:AG,"&lt;="&amp;日期!$B$5,allorders!N:N,"Shipped")</f>
        <v>38.97</v>
      </c>
      <c r="I40">
        <f t="shared" si="0"/>
        <v>3</v>
      </c>
    </row>
    <row r="41" spans="1:9">
      <c r="A41" s="5" t="s">
        <v>515</v>
      </c>
      <c r="B41" t="str">
        <f>VLOOKUP(A41,'[1]子SKU-父SKU'!$A:$B,2,0)</f>
        <v>ST172</v>
      </c>
      <c r="C41">
        <f>SUMIFS(allorders!O:O,allorders!L:L,$A41,allorders!AG:AG,"&lt;="&amp;日期!$B$5,allorders!AG:AG,"&gt;="&amp;日期!$B$6,allorders!N:N,"Shipped")</f>
        <v>0</v>
      </c>
      <c r="D41">
        <f>SUMIFS(allorders!$O:$O,allorders!$L:$L,$A41,allorders!$AG:$AG,"&lt;="&amp;日期!$B$7,allorders!$AG:$AG,"&gt;="&amp;日期!$B$8,allorders!N:N,"Shipped")</f>
        <v>0</v>
      </c>
      <c r="E41">
        <f>SUMIFS(allorders!$O:$O,allorders!$L:$L,$A41,allorders!$AG:$AG,"&lt;="&amp;日期!$B$9,allorders!$AG:$AG,"&gt;="&amp;日期!$B$10,allorders!N:N,"Shipped")</f>
        <v>2</v>
      </c>
      <c r="F41">
        <f>SUMIFS(allorders!$O:$O,allorders!$L:$L,$A41,allorders!$AG:$AG,"&lt;="&amp;日期!$B$11,allorders!$AG:$AG,"&gt;="&amp;日期!$B$12,allorders!N:N,"Shipped")</f>
        <v>2</v>
      </c>
      <c r="G41">
        <f>SUMIFS(allorders!Q:Q,allorders!L:L,A41,allorders!AG:AG,"&lt;="&amp;日期!$B$5,allorders!AG:AG,"&gt;="&amp;日期!$B$12,allorders!N:N,"Shipped")/SUM(C41:F41)</f>
        <v>14.98</v>
      </c>
      <c r="H41">
        <f>SUMIFS(allorders!Q:Q,allorders!L:L,A41,allorders!AG:AG,"&gt;="&amp;日期!$B$12,allorders!AG:AG,"&lt;="&amp;日期!$B$5,allorders!N:N,"Shipped")</f>
        <v>59.92</v>
      </c>
      <c r="I41">
        <f t="shared" si="0"/>
        <v>4</v>
      </c>
    </row>
    <row r="42" spans="1:9">
      <c r="A42" s="5" t="s">
        <v>534</v>
      </c>
      <c r="B42" t="str">
        <f>VLOOKUP(A42,'[1]子SKU-父SKU'!$A:$B,2,0)</f>
        <v>TZ-IUYL240</v>
      </c>
      <c r="C42">
        <f>SUMIFS(allorders!O:O,allorders!L:L,$A42,allorders!AG:AG,"&lt;="&amp;日期!$B$5,allorders!AG:AG,"&gt;="&amp;日期!$B$6,allorders!N:N,"Shipped")</f>
        <v>0</v>
      </c>
      <c r="D42">
        <f>SUMIFS(allorders!$O:$O,allorders!$L:$L,$A42,allorders!$AG:$AG,"&lt;="&amp;日期!$B$7,allorders!$AG:$AG,"&gt;="&amp;日期!$B$8,allorders!N:N,"Shipped")</f>
        <v>0</v>
      </c>
      <c r="E42">
        <f>SUMIFS(allorders!$O:$O,allorders!$L:$L,$A42,allorders!$AG:$AG,"&lt;="&amp;日期!$B$9,allorders!$AG:$AG,"&gt;="&amp;日期!$B$10,allorders!N:N,"Shipped")</f>
        <v>0</v>
      </c>
      <c r="F42">
        <f>SUMIFS(allorders!$O:$O,allorders!$L:$L,$A42,allorders!$AG:$AG,"&lt;="&amp;日期!$B$11,allorders!$AG:$AG,"&gt;="&amp;日期!$B$12,allorders!N:N,"Shipped")</f>
        <v>5</v>
      </c>
      <c r="G42">
        <f>SUMIFS(allorders!Q:Q,allorders!L:L,A42,allorders!AG:AG,"&lt;="&amp;日期!$B$5,allorders!AG:AG,"&gt;="&amp;日期!$B$12,allorders!N:N,"Shipped")/SUM(C42:F42)</f>
        <v>24.99</v>
      </c>
      <c r="H42">
        <f>SUMIFS(allorders!Q:Q,allorders!L:L,A42,allorders!AG:AG,"&gt;="&amp;日期!$B$12,allorders!AG:AG,"&lt;="&amp;日期!$B$5,allorders!N:N,"Shipped")</f>
        <v>124.95</v>
      </c>
      <c r="I42">
        <f t="shared" si="0"/>
        <v>5</v>
      </c>
    </row>
    <row r="43" spans="1:9">
      <c r="A43" s="5" t="s">
        <v>542</v>
      </c>
      <c r="B43" t="str">
        <f>VLOOKUP(A43,'[1]子SKU-父SKU'!$A:$B,2,0)</f>
        <v>Pajamas-sb001</v>
      </c>
      <c r="C43">
        <f>SUMIFS(allorders!O:O,allorders!L:L,$A43,allorders!AG:AG,"&lt;="&amp;日期!$B$5,allorders!AG:AG,"&gt;="&amp;日期!$B$6,allorders!N:N,"Shipped")</f>
        <v>0</v>
      </c>
      <c r="D43">
        <f>SUMIFS(allorders!$O:$O,allorders!$L:$L,$A43,allorders!$AG:$AG,"&lt;="&amp;日期!$B$7,allorders!$AG:$AG,"&gt;="&amp;日期!$B$8,allorders!N:N,"Shipped")</f>
        <v>0</v>
      </c>
      <c r="E43">
        <f>SUMIFS(allorders!$O:$O,allorders!$L:$L,$A43,allorders!$AG:$AG,"&lt;="&amp;日期!$B$9,allorders!$AG:$AG,"&gt;="&amp;日期!$B$10,allorders!N:N,"Shipped")</f>
        <v>0</v>
      </c>
      <c r="F43">
        <f>SUMIFS(allorders!$O:$O,allorders!$L:$L,$A43,allorders!$AG:$AG,"&lt;="&amp;日期!$B$11,allorders!$AG:$AG,"&gt;="&amp;日期!$B$12,allorders!N:N,"Shipped")</f>
        <v>1</v>
      </c>
      <c r="G43">
        <f>SUMIFS(allorders!Q:Q,allorders!L:L,A43,allorders!AG:AG,"&lt;="&amp;日期!$B$5,allorders!AG:AG,"&gt;="&amp;日期!$B$12,allorders!N:N,"Shipped")/SUM(C43:F43)</f>
        <v>10.98</v>
      </c>
      <c r="H43">
        <f>SUMIFS(allorders!Q:Q,allorders!L:L,A43,allorders!AG:AG,"&gt;="&amp;日期!$B$12,allorders!AG:AG,"&lt;="&amp;日期!$B$5,allorders!N:N,"Shipped")</f>
        <v>10.98</v>
      </c>
      <c r="I43">
        <f t="shared" si="0"/>
        <v>1</v>
      </c>
    </row>
    <row r="44" spans="1:9">
      <c r="A44" s="5" t="s">
        <v>549</v>
      </c>
      <c r="B44" t="str">
        <f>VLOOKUP(A44,'[1]子SKU-父SKU'!$A:$B,2,0)</f>
        <v>ST173</v>
      </c>
      <c r="C44">
        <f>SUMIFS(allorders!O:O,allorders!L:L,$A44,allorders!AG:AG,"&lt;="&amp;日期!$B$5,allorders!AG:AG,"&gt;="&amp;日期!$B$6,allorders!N:N,"Shipped")</f>
        <v>0</v>
      </c>
      <c r="D44">
        <f>SUMIFS(allorders!$O:$O,allorders!$L:$L,$A44,allorders!$AG:$AG,"&lt;="&amp;日期!$B$7,allorders!$AG:$AG,"&gt;="&amp;日期!$B$8,allorders!N:N,"Shipped")</f>
        <v>0</v>
      </c>
      <c r="E44">
        <f>SUMIFS(allorders!$O:$O,allorders!$L:$L,$A44,allorders!$AG:$AG,"&lt;="&amp;日期!$B$9,allorders!$AG:$AG,"&gt;="&amp;日期!$B$10,allorders!N:N,"Shipped")</f>
        <v>0</v>
      </c>
      <c r="F44">
        <f>SUMIFS(allorders!$O:$O,allorders!$L:$L,$A44,allorders!$AG:$AG,"&lt;="&amp;日期!$B$11,allorders!$AG:$AG,"&gt;="&amp;日期!$B$12,allorders!N:N,"Shipped")</f>
        <v>1</v>
      </c>
      <c r="G44">
        <f>SUMIFS(allorders!Q:Q,allorders!L:L,A44,allorders!AG:AG,"&lt;="&amp;日期!$B$5,allorders!AG:AG,"&gt;="&amp;日期!$B$12,allorders!N:N,"Shipped")/SUM(C44:F44)</f>
        <v>19.98</v>
      </c>
      <c r="H44">
        <f>SUMIFS(allorders!Q:Q,allorders!L:L,A44,allorders!AG:AG,"&gt;="&amp;日期!$B$12,allorders!AG:AG,"&lt;="&amp;日期!$B$5,allorders!N:N,"Shipped")</f>
        <v>19.98</v>
      </c>
      <c r="I44">
        <f t="shared" si="0"/>
        <v>1</v>
      </c>
    </row>
    <row r="45" spans="1:9">
      <c r="A45" s="5" t="s">
        <v>555</v>
      </c>
      <c r="B45" t="str">
        <f>VLOOKUP(A45,'[1]子SKU-父SKU'!$A:$B,2,0)</f>
        <v>ST173</v>
      </c>
      <c r="C45">
        <f>SUMIFS(allorders!O:O,allorders!L:L,$A45,allorders!AG:AG,"&lt;="&amp;日期!$B$5,allorders!AG:AG,"&gt;="&amp;日期!$B$6,allorders!N:N,"Shipped")</f>
        <v>1</v>
      </c>
      <c r="D45">
        <f>SUMIFS(allorders!$O:$O,allorders!$L:$L,$A45,allorders!$AG:$AG,"&lt;="&amp;日期!$B$7,allorders!$AG:$AG,"&gt;="&amp;日期!$B$8,allorders!N:N,"Shipped")</f>
        <v>1</v>
      </c>
      <c r="E45">
        <f>SUMIFS(allorders!$O:$O,allorders!$L:$L,$A45,allorders!$AG:$AG,"&lt;="&amp;日期!$B$9,allorders!$AG:$AG,"&gt;="&amp;日期!$B$10,allorders!N:N,"Shipped")</f>
        <v>0</v>
      </c>
      <c r="F45">
        <f>SUMIFS(allorders!$O:$O,allorders!$L:$L,$A45,allorders!$AG:$AG,"&lt;="&amp;日期!$B$11,allorders!$AG:$AG,"&gt;="&amp;日期!$B$12,allorders!N:N,"Shipped")</f>
        <v>2</v>
      </c>
      <c r="G45">
        <f>SUMIFS(allorders!Q:Q,allorders!L:L,A45,allorders!AG:AG,"&lt;="&amp;日期!$B$5,allorders!AG:AG,"&gt;="&amp;日期!$B$12,allorders!N:N,"Shipped")/SUM(C45:F45)</f>
        <v>10</v>
      </c>
      <c r="H45">
        <f>SUMIFS(allorders!Q:Q,allorders!L:L,A45,allorders!AG:AG,"&gt;="&amp;日期!$B$12,allorders!AG:AG,"&lt;="&amp;日期!$B$5,allorders!N:N,"Shipped")</f>
        <v>40</v>
      </c>
      <c r="I45">
        <f t="shared" si="0"/>
        <v>4</v>
      </c>
    </row>
    <row r="46" spans="1:9">
      <c r="A46" s="5" t="s">
        <v>571</v>
      </c>
      <c r="B46" t="str">
        <f>VLOOKUP(A46,'[1]子SKU-父SKU'!$A:$B,2,0)</f>
        <v>TZ-IUYL240</v>
      </c>
      <c r="C46">
        <f>SUMIFS(allorders!O:O,allorders!L:L,$A46,allorders!AG:AG,"&lt;="&amp;日期!$B$5,allorders!AG:AG,"&gt;="&amp;日期!$B$6,allorders!N:N,"Shipped")</f>
        <v>1</v>
      </c>
      <c r="D46">
        <f>SUMIFS(allorders!$O:$O,allorders!$L:$L,$A46,allorders!$AG:$AG,"&lt;="&amp;日期!$B$7,allorders!$AG:$AG,"&gt;="&amp;日期!$B$8,allorders!N:N,"Shipped")</f>
        <v>1</v>
      </c>
      <c r="E46">
        <f>SUMIFS(allorders!$O:$O,allorders!$L:$L,$A46,allorders!$AG:$AG,"&lt;="&amp;日期!$B$9,allorders!$AG:$AG,"&gt;="&amp;日期!$B$10,allorders!N:N,"Shipped")</f>
        <v>0</v>
      </c>
      <c r="F46">
        <f>SUMIFS(allorders!$O:$O,allorders!$L:$L,$A46,allorders!$AG:$AG,"&lt;="&amp;日期!$B$11,allorders!$AG:$AG,"&gt;="&amp;日期!$B$12,allorders!N:N,"Shipped")</f>
        <v>1</v>
      </c>
      <c r="G46">
        <f>SUMIFS(allorders!Q:Q,allorders!L:L,A46,allorders!AG:AG,"&lt;="&amp;日期!$B$5,allorders!AG:AG,"&gt;="&amp;日期!$B$12,allorders!N:N,"Shipped")/SUM(C46:F46)</f>
        <v>24.9933333333333</v>
      </c>
      <c r="H46">
        <f>SUMIFS(allorders!Q:Q,allorders!L:L,A46,allorders!AG:AG,"&gt;="&amp;日期!$B$12,allorders!AG:AG,"&lt;="&amp;日期!$B$5,allorders!N:N,"Shipped")</f>
        <v>74.98</v>
      </c>
      <c r="I46">
        <f t="shared" si="0"/>
        <v>3</v>
      </c>
    </row>
    <row r="47" spans="1:9">
      <c r="A47" s="5" t="s">
        <v>578</v>
      </c>
      <c r="B47" t="str">
        <f>VLOOKUP(A47,'[1]子SKU-父SKU'!$A:$B,2,0)</f>
        <v>TZ-IUYL240</v>
      </c>
      <c r="C47">
        <f>SUMIFS(allorders!O:O,allorders!L:L,$A47,allorders!AG:AG,"&lt;="&amp;日期!$B$5,allorders!AG:AG,"&gt;="&amp;日期!$B$6,allorders!N:N,"Shipped")</f>
        <v>11</v>
      </c>
      <c r="D47">
        <f>SUMIFS(allorders!$O:$O,allorders!$L:$L,$A47,allorders!$AG:$AG,"&lt;="&amp;日期!$B$7,allorders!$AG:$AG,"&gt;="&amp;日期!$B$8,allorders!N:N,"Shipped")</f>
        <v>13</v>
      </c>
      <c r="E47">
        <f>SUMIFS(allorders!$O:$O,allorders!$L:$L,$A47,allorders!$AG:$AG,"&lt;="&amp;日期!$B$9,allorders!$AG:$AG,"&gt;="&amp;日期!$B$10,allorders!N:N,"Shipped")</f>
        <v>6</v>
      </c>
      <c r="F47">
        <f>SUMIFS(allorders!$O:$O,allorders!$L:$L,$A47,allorders!$AG:$AG,"&lt;="&amp;日期!$B$11,allorders!$AG:$AG,"&gt;="&amp;日期!$B$12,allorders!N:N,"Shipped")</f>
        <v>11</v>
      </c>
      <c r="G47">
        <f>SUMIFS(allorders!Q:Q,allorders!L:L,A47,allorders!AG:AG,"&lt;="&amp;日期!$B$5,allorders!AG:AG,"&gt;="&amp;日期!$B$12,allorders!N:N,"Shipped")/SUM(C47:F47)</f>
        <v>24.3804878048781</v>
      </c>
      <c r="H47">
        <f>SUMIFS(allorders!Q:Q,allorders!L:L,A47,allorders!AG:AG,"&gt;="&amp;日期!$B$12,allorders!AG:AG,"&lt;="&amp;日期!$B$5,allorders!N:N,"Shipped")</f>
        <v>999.6</v>
      </c>
      <c r="I47">
        <f t="shared" si="0"/>
        <v>41</v>
      </c>
    </row>
    <row r="48" spans="1:9">
      <c r="A48" s="5" t="s">
        <v>588</v>
      </c>
      <c r="B48" t="str">
        <f>VLOOKUP(A48,'[1]子SKU-父SKU'!$A:$B,2,0)</f>
        <v>TZ-IUYL240</v>
      </c>
      <c r="C48">
        <f>SUMIFS(allorders!O:O,allorders!L:L,$A48,allorders!AG:AG,"&lt;="&amp;日期!$B$5,allorders!AG:AG,"&gt;="&amp;日期!$B$6,allorders!N:N,"Shipped")</f>
        <v>4</v>
      </c>
      <c r="D48">
        <f>SUMIFS(allorders!$O:$O,allorders!$L:$L,$A48,allorders!$AG:$AG,"&lt;="&amp;日期!$B$7,allorders!$AG:$AG,"&gt;="&amp;日期!$B$8,allorders!N:N,"Shipped")</f>
        <v>11</v>
      </c>
      <c r="E48">
        <f>SUMIFS(allorders!$O:$O,allorders!$L:$L,$A48,allorders!$AG:$AG,"&lt;="&amp;日期!$B$9,allorders!$AG:$AG,"&gt;="&amp;日期!$B$10,allorders!N:N,"Shipped")</f>
        <v>5</v>
      </c>
      <c r="F48">
        <f>SUMIFS(allorders!$O:$O,allorders!$L:$L,$A48,allorders!$AG:$AG,"&lt;="&amp;日期!$B$11,allorders!$AG:$AG,"&gt;="&amp;日期!$B$12,allorders!N:N,"Shipped")</f>
        <v>1</v>
      </c>
      <c r="G48">
        <f>SUMIFS(allorders!Q:Q,allorders!L:L,A48,allorders!AG:AG,"&lt;="&amp;日期!$B$5,allorders!AG:AG,"&gt;="&amp;日期!$B$12,allorders!N:N,"Shipped")/SUM(C48:F48)</f>
        <v>18.8957142857143</v>
      </c>
      <c r="H48">
        <f>SUMIFS(allorders!Q:Q,allorders!L:L,A48,allorders!AG:AG,"&gt;="&amp;日期!$B$12,allorders!AG:AG,"&lt;="&amp;日期!$B$5,allorders!N:N,"Shipped")</f>
        <v>396.81</v>
      </c>
      <c r="I48">
        <f t="shared" si="0"/>
        <v>21</v>
      </c>
    </row>
    <row r="49" spans="1:9">
      <c r="A49" s="5" t="s">
        <v>623</v>
      </c>
      <c r="B49" t="str">
        <f>VLOOKUP(A49,'[1]子SKU-父SKU'!$A:$B,2,0)</f>
        <v>WF7125</v>
      </c>
      <c r="C49">
        <f>SUMIFS(allorders!O:O,allorders!L:L,$A49,allorders!AG:AG,"&lt;="&amp;日期!$B$5,allorders!AG:AG,"&gt;="&amp;日期!$B$6,allorders!N:N,"Shipped")</f>
        <v>0</v>
      </c>
      <c r="D49">
        <f>SUMIFS(allorders!$O:$O,allorders!$L:$L,$A49,allorders!$AG:$AG,"&lt;="&amp;日期!$B$7,allorders!$AG:$AG,"&gt;="&amp;日期!$B$8,allorders!N:N,"Shipped")</f>
        <v>0</v>
      </c>
      <c r="E49">
        <f>SUMIFS(allorders!$O:$O,allorders!$L:$L,$A49,allorders!$AG:$AG,"&lt;="&amp;日期!$B$9,allorders!$AG:$AG,"&gt;="&amp;日期!$B$10,allorders!N:N,"Shipped")</f>
        <v>0</v>
      </c>
      <c r="F49">
        <f>SUMIFS(allorders!$O:$O,allorders!$L:$L,$A49,allorders!$AG:$AG,"&lt;="&amp;日期!$B$11,allorders!$AG:$AG,"&gt;="&amp;日期!$B$12,allorders!N:N,"Shipped")</f>
        <v>1</v>
      </c>
      <c r="G49">
        <f>SUMIFS(allorders!Q:Q,allorders!L:L,A49,allorders!AG:AG,"&lt;="&amp;日期!$B$5,allorders!AG:AG,"&gt;="&amp;日期!$B$12,allorders!N:N,"Shipped")/SUM(C49:F49)</f>
        <v>12</v>
      </c>
      <c r="H49">
        <f>SUMIFS(allorders!Q:Q,allorders!L:L,A49,allorders!AG:AG,"&gt;="&amp;日期!$B$12,allorders!AG:AG,"&lt;="&amp;日期!$B$5,allorders!N:N,"Shipped")</f>
        <v>12</v>
      </c>
      <c r="I49">
        <f t="shared" si="0"/>
        <v>1</v>
      </c>
    </row>
    <row r="50" spans="1:9">
      <c r="A50" s="5" t="s">
        <v>642</v>
      </c>
      <c r="B50" t="str">
        <f>VLOOKUP(A50,'[1]子SKU-父SKU'!$A:$B,2,0)</f>
        <v>SCF-B01</v>
      </c>
      <c r="C50">
        <f>SUMIFS(allorders!O:O,allorders!L:L,$A50,allorders!AG:AG,"&lt;="&amp;日期!$B$5,allorders!AG:AG,"&gt;="&amp;日期!$B$6,allorders!N:N,"Shipped")</f>
        <v>0</v>
      </c>
      <c r="D50">
        <f>SUMIFS(allorders!$O:$O,allorders!$L:$L,$A50,allorders!$AG:$AG,"&lt;="&amp;日期!$B$7,allorders!$AG:$AG,"&gt;="&amp;日期!$B$8,allorders!N:N,"Shipped")</f>
        <v>0</v>
      </c>
      <c r="E50">
        <f>SUMIFS(allorders!$O:$O,allorders!$L:$L,$A50,allorders!$AG:$AG,"&lt;="&amp;日期!$B$9,allorders!$AG:$AG,"&gt;="&amp;日期!$B$10,allorders!N:N,"Shipped")</f>
        <v>0</v>
      </c>
      <c r="F50">
        <f>SUMIFS(allorders!$O:$O,allorders!$L:$L,$A50,allorders!$AG:$AG,"&lt;="&amp;日期!$B$11,allorders!$AG:$AG,"&gt;="&amp;日期!$B$12,allorders!N:N,"Shipped")</f>
        <v>1</v>
      </c>
      <c r="G50">
        <f>SUMIFS(allorders!Q:Q,allorders!L:L,A50,allorders!AG:AG,"&lt;="&amp;日期!$B$5,allorders!AG:AG,"&gt;="&amp;日期!$B$12,allorders!N:N,"Shipped")/SUM(C50:F50)</f>
        <v>20</v>
      </c>
      <c r="H50">
        <f>SUMIFS(allorders!Q:Q,allorders!L:L,A50,allorders!AG:AG,"&gt;="&amp;日期!$B$12,allorders!AG:AG,"&lt;="&amp;日期!$B$5,allorders!N:N,"Shipped")</f>
        <v>20</v>
      </c>
      <c r="I50">
        <f t="shared" si="0"/>
        <v>1</v>
      </c>
    </row>
    <row r="51" spans="1:9">
      <c r="A51" s="5" t="s">
        <v>712</v>
      </c>
      <c r="B51" t="str">
        <f>VLOOKUP(A51,'[1]子SKU-父SKU'!$A:$B,2,0)</f>
        <v>ST173</v>
      </c>
      <c r="C51">
        <f>SUMIFS(allorders!O:O,allorders!L:L,$A51,allorders!AG:AG,"&lt;="&amp;日期!$B$5,allorders!AG:AG,"&gt;="&amp;日期!$B$6,allorders!N:N,"Shipped")</f>
        <v>1</v>
      </c>
      <c r="D51">
        <f>SUMIFS(allorders!$O:$O,allorders!$L:$L,$A51,allorders!$AG:$AG,"&lt;="&amp;日期!$B$7,allorders!$AG:$AG,"&gt;="&amp;日期!$B$8,allorders!N:N,"Shipped")</f>
        <v>1</v>
      </c>
      <c r="E51">
        <f>SUMIFS(allorders!$O:$O,allorders!$L:$L,$A51,allorders!$AG:$AG,"&lt;="&amp;日期!$B$9,allorders!$AG:$AG,"&gt;="&amp;日期!$B$10,allorders!N:N,"Shipped")</f>
        <v>2</v>
      </c>
      <c r="F51">
        <f>SUMIFS(allorders!$O:$O,allorders!$L:$L,$A51,allorders!$AG:$AG,"&lt;="&amp;日期!$B$11,allorders!$AG:$AG,"&gt;="&amp;日期!$B$12,allorders!N:N,"Shipped")</f>
        <v>1</v>
      </c>
      <c r="G51">
        <f>SUMIFS(allorders!Q:Q,allorders!L:L,A51,allorders!AG:AG,"&lt;="&amp;日期!$B$5,allorders!AG:AG,"&gt;="&amp;日期!$B$12,allorders!N:N,"Shipped")/SUM(C51:F51)</f>
        <v>15.38</v>
      </c>
      <c r="H51">
        <f>SUMIFS(allorders!Q:Q,allorders!L:L,A51,allorders!AG:AG,"&gt;="&amp;日期!$B$12,allorders!AG:AG,"&lt;="&amp;日期!$B$5,allorders!N:N,"Shipped")</f>
        <v>76.9</v>
      </c>
      <c r="I51">
        <f t="shared" si="0"/>
        <v>5</v>
      </c>
    </row>
    <row r="52" spans="1:9">
      <c r="A52" s="5" t="s">
        <v>724</v>
      </c>
      <c r="B52" t="str">
        <f>VLOOKUP(A52,'[1]子SKU-父SKU'!$A:$B,2,0)</f>
        <v>XQ-IUYL260</v>
      </c>
      <c r="C52">
        <f>SUMIFS(allorders!O:O,allorders!L:L,$A52,allorders!AG:AG,"&lt;="&amp;日期!$B$5,allorders!AG:AG,"&gt;="&amp;日期!$B$6,allorders!N:N,"Shipped")</f>
        <v>0</v>
      </c>
      <c r="D52">
        <f>SUMIFS(allorders!$O:$O,allorders!$L:$L,$A52,allorders!$AG:$AG,"&lt;="&amp;日期!$B$7,allorders!$AG:$AG,"&gt;="&amp;日期!$B$8,allorders!N:N,"Shipped")</f>
        <v>1</v>
      </c>
      <c r="E52">
        <f>SUMIFS(allorders!$O:$O,allorders!$L:$L,$A52,allorders!$AG:$AG,"&lt;="&amp;日期!$B$9,allorders!$AG:$AG,"&gt;="&amp;日期!$B$10,allorders!N:N,"Shipped")</f>
        <v>0</v>
      </c>
      <c r="F52">
        <f>SUMIFS(allorders!$O:$O,allorders!$L:$L,$A52,allorders!$AG:$AG,"&lt;="&amp;日期!$B$11,allorders!$AG:$AG,"&gt;="&amp;日期!$B$12,allorders!N:N,"Shipped")</f>
        <v>1</v>
      </c>
      <c r="G52">
        <f>SUMIFS(allorders!Q:Q,allorders!L:L,A52,allorders!AG:AG,"&lt;="&amp;日期!$B$5,allorders!AG:AG,"&gt;="&amp;日期!$B$12,allorders!N:N,"Shipped")/SUM(C52:F52)</f>
        <v>9.9</v>
      </c>
      <c r="H52">
        <f>SUMIFS(allorders!Q:Q,allorders!L:L,A52,allorders!AG:AG,"&gt;="&amp;日期!$B$12,allorders!AG:AG,"&lt;="&amp;日期!$B$5,allorders!N:N,"Shipped")</f>
        <v>19.8</v>
      </c>
      <c r="I52">
        <f t="shared" si="0"/>
        <v>2</v>
      </c>
    </row>
    <row r="53" spans="1:9">
      <c r="A53" s="5" t="s">
        <v>761</v>
      </c>
      <c r="B53" t="str">
        <f>VLOOKUP(A53,'[1]子SKU-父SKU'!$A:$B,2,0)</f>
        <v>ST173</v>
      </c>
      <c r="C53">
        <f>SUMIFS(allorders!O:O,allorders!L:L,$A53,allorders!AG:AG,"&lt;="&amp;日期!$B$5,allorders!AG:AG,"&gt;="&amp;日期!$B$6,allorders!N:N,"Shipped")</f>
        <v>1</v>
      </c>
      <c r="D53">
        <f>SUMIFS(allorders!$O:$O,allorders!$L:$L,$A53,allorders!$AG:$AG,"&lt;="&amp;日期!$B$7,allorders!$AG:$AG,"&gt;="&amp;日期!$B$8,allorders!N:N,"Shipped")</f>
        <v>1</v>
      </c>
      <c r="E53">
        <f>SUMIFS(allorders!$O:$O,allorders!$L:$L,$A53,allorders!$AG:$AG,"&lt;="&amp;日期!$B$9,allorders!$AG:$AG,"&gt;="&amp;日期!$B$10,allorders!N:N,"Shipped")</f>
        <v>2</v>
      </c>
      <c r="F53">
        <f>SUMIFS(allorders!$O:$O,allorders!$L:$L,$A53,allorders!$AG:$AG,"&lt;="&amp;日期!$B$11,allorders!$AG:$AG,"&gt;="&amp;日期!$B$12,allorders!N:N,"Shipped")</f>
        <v>1</v>
      </c>
      <c r="G53">
        <f>SUMIFS(allorders!Q:Q,allorders!L:L,A53,allorders!AG:AG,"&lt;="&amp;日期!$B$5,allorders!AG:AG,"&gt;="&amp;日期!$B$12,allorders!N:N,"Shipped")/SUM(C53:F53)</f>
        <v>10</v>
      </c>
      <c r="H53">
        <f>SUMIFS(allorders!Q:Q,allorders!L:L,A53,allorders!AG:AG,"&gt;="&amp;日期!$B$12,allorders!AG:AG,"&lt;="&amp;日期!$B$5,allorders!N:N,"Shipped")</f>
        <v>50</v>
      </c>
      <c r="I53">
        <f t="shared" si="0"/>
        <v>5</v>
      </c>
    </row>
    <row r="54" spans="1:9">
      <c r="A54" s="5" t="s">
        <v>867</v>
      </c>
      <c r="B54" t="str">
        <f>VLOOKUP(A54,'[1]子SKU-父SKU'!$A:$B,2,0)</f>
        <v>ST170</v>
      </c>
      <c r="C54">
        <f>SUMIFS(allorders!O:O,allorders!L:L,$A54,allorders!AG:AG,"&lt;="&amp;日期!$B$5,allorders!AG:AG,"&gt;="&amp;日期!$B$6,allorders!N:N,"Shipped")</f>
        <v>0</v>
      </c>
      <c r="D54">
        <f>SUMIFS(allorders!$O:$O,allorders!$L:$L,$A54,allorders!$AG:$AG,"&lt;="&amp;日期!$B$7,allorders!$AG:$AG,"&gt;="&amp;日期!$B$8,allorders!N:N,"Shipped")</f>
        <v>1</v>
      </c>
      <c r="E54">
        <f>SUMIFS(allorders!$O:$O,allorders!$L:$L,$A54,allorders!$AG:$AG,"&lt;="&amp;日期!$B$9,allorders!$AG:$AG,"&gt;="&amp;日期!$B$10,allorders!N:N,"Shipped")</f>
        <v>1</v>
      </c>
      <c r="F54">
        <f>SUMIFS(allorders!$O:$O,allorders!$L:$L,$A54,allorders!$AG:$AG,"&lt;="&amp;日期!$B$11,allorders!$AG:$AG,"&gt;="&amp;日期!$B$12,allorders!N:N,"Shipped")</f>
        <v>1</v>
      </c>
      <c r="G54">
        <f>SUMIFS(allorders!Q:Q,allorders!L:L,A54,allorders!AG:AG,"&lt;="&amp;日期!$B$5,allorders!AG:AG,"&gt;="&amp;日期!$B$12,allorders!N:N,"Shipped")/SUM(C54:F54)</f>
        <v>18.98</v>
      </c>
      <c r="H54">
        <f>SUMIFS(allorders!Q:Q,allorders!L:L,A54,allorders!AG:AG,"&gt;="&amp;日期!$B$12,allorders!AG:AG,"&lt;="&amp;日期!$B$5,allorders!N:N,"Shipped")</f>
        <v>56.94</v>
      </c>
      <c r="I54">
        <f t="shared" si="0"/>
        <v>3</v>
      </c>
    </row>
    <row r="55" spans="1:9">
      <c r="A55" s="5" t="s">
        <v>878</v>
      </c>
      <c r="B55" t="str">
        <f>VLOOKUP(A55,'[1]子SKU-父SKU'!$A:$B,2,0)</f>
        <v>XQ-IUYL260</v>
      </c>
      <c r="C55">
        <f>SUMIFS(allorders!O:O,allorders!L:L,$A55,allorders!AG:AG,"&lt;="&amp;日期!$B$5,allorders!AG:AG,"&gt;="&amp;日期!$B$6,allorders!N:N,"Shipped")</f>
        <v>0</v>
      </c>
      <c r="D55">
        <f>SUMIFS(allorders!$O:$O,allorders!$L:$L,$A55,allorders!$AG:$AG,"&lt;="&amp;日期!$B$7,allorders!$AG:$AG,"&gt;="&amp;日期!$B$8,allorders!N:N,"Shipped")</f>
        <v>0</v>
      </c>
      <c r="E55">
        <f>SUMIFS(allorders!$O:$O,allorders!$L:$L,$A55,allorders!$AG:$AG,"&lt;="&amp;日期!$B$9,allorders!$AG:$AG,"&gt;="&amp;日期!$B$10,allorders!N:N,"Shipped")</f>
        <v>0</v>
      </c>
      <c r="F55">
        <f>SUMIFS(allorders!$O:$O,allorders!$L:$L,$A55,allorders!$AG:$AG,"&lt;="&amp;日期!$B$11,allorders!$AG:$AG,"&gt;="&amp;日期!$B$12,allorders!N:N,"Shipped")</f>
        <v>1</v>
      </c>
      <c r="G55">
        <f>SUMIFS(allorders!Q:Q,allorders!L:L,A55,allorders!AG:AG,"&lt;="&amp;日期!$B$5,allorders!AG:AG,"&gt;="&amp;日期!$B$12,allorders!N:N,"Shipped")/SUM(C55:F55)</f>
        <v>9.9</v>
      </c>
      <c r="H55">
        <f>SUMIFS(allorders!Q:Q,allorders!L:L,A55,allorders!AG:AG,"&gt;="&amp;日期!$B$12,allorders!AG:AG,"&lt;="&amp;日期!$B$5,allorders!N:N,"Shipped")</f>
        <v>9.9</v>
      </c>
      <c r="I55">
        <f t="shared" si="0"/>
        <v>1</v>
      </c>
    </row>
    <row r="56" spans="1:9">
      <c r="A56" s="5" t="s">
        <v>885</v>
      </c>
      <c r="B56" t="str">
        <f>VLOOKUP(A56,'[1]子SKU-父SKU'!$A:$B,2,0)</f>
        <v>XQ-IUYL260</v>
      </c>
      <c r="C56">
        <f>SUMIFS(allorders!O:O,allorders!L:L,$A56,allorders!AG:AG,"&lt;="&amp;日期!$B$5,allorders!AG:AG,"&gt;="&amp;日期!$B$6,allorders!N:N,"Shipped")</f>
        <v>0</v>
      </c>
      <c r="D56">
        <f>SUMIFS(allorders!$O:$O,allorders!$L:$L,$A56,allorders!$AG:$AG,"&lt;="&amp;日期!$B$7,allorders!$AG:$AG,"&gt;="&amp;日期!$B$8,allorders!N:N,"Shipped")</f>
        <v>0</v>
      </c>
      <c r="E56">
        <f>SUMIFS(allorders!$O:$O,allorders!$L:$L,$A56,allorders!$AG:$AG,"&lt;="&amp;日期!$B$9,allorders!$AG:$AG,"&gt;="&amp;日期!$B$10,allorders!N:N,"Shipped")</f>
        <v>0</v>
      </c>
      <c r="F56">
        <f>SUMIFS(allorders!$O:$O,allorders!$L:$L,$A56,allorders!$AG:$AG,"&lt;="&amp;日期!$B$11,allorders!$AG:$AG,"&gt;="&amp;日期!$B$12,allorders!N:N,"Shipped")</f>
        <v>1</v>
      </c>
      <c r="G56">
        <f>SUMIFS(allorders!Q:Q,allorders!L:L,A56,allorders!AG:AG,"&lt;="&amp;日期!$B$5,allorders!AG:AG,"&gt;="&amp;日期!$B$12,allorders!N:N,"Shipped")/SUM(C56:F56)</f>
        <v>9.9</v>
      </c>
      <c r="H56">
        <f>SUMIFS(allorders!Q:Q,allorders!L:L,A56,allorders!AG:AG,"&gt;="&amp;日期!$B$12,allorders!AG:AG,"&lt;="&amp;日期!$B$5,allorders!N:N,"Shipped")</f>
        <v>9.9</v>
      </c>
      <c r="I56">
        <f t="shared" si="0"/>
        <v>1</v>
      </c>
    </row>
    <row r="57" spans="1:9">
      <c r="A57" s="5" t="s">
        <v>905</v>
      </c>
      <c r="B57" t="str">
        <f>VLOOKUP(A57,'[1]子SKU-父SKU'!$A:$B,2,0)</f>
        <v>WF7125</v>
      </c>
      <c r="C57">
        <f>SUMIFS(allorders!O:O,allorders!L:L,$A57,allorders!AG:AG,"&lt;="&amp;日期!$B$5,allorders!AG:AG,"&gt;="&amp;日期!$B$6,allorders!N:N,"Shipped")</f>
        <v>0</v>
      </c>
      <c r="D57">
        <f>SUMIFS(allorders!$O:$O,allorders!$L:$L,$A57,allorders!$AG:$AG,"&lt;="&amp;日期!$B$7,allorders!$AG:$AG,"&gt;="&amp;日期!$B$8,allorders!N:N,"Shipped")</f>
        <v>0</v>
      </c>
      <c r="E57">
        <f>SUMIFS(allorders!$O:$O,allorders!$L:$L,$A57,allorders!$AG:$AG,"&lt;="&amp;日期!$B$9,allorders!$AG:$AG,"&gt;="&amp;日期!$B$10,allorders!N:N,"Shipped")</f>
        <v>0</v>
      </c>
      <c r="F57">
        <f>SUMIFS(allorders!$O:$O,allorders!$L:$L,$A57,allorders!$AG:$AG,"&lt;="&amp;日期!$B$11,allorders!$AG:$AG,"&gt;="&amp;日期!$B$12,allorders!N:N,"Shipped")</f>
        <v>1</v>
      </c>
      <c r="G57">
        <f>SUMIFS(allorders!Q:Q,allorders!L:L,A57,allorders!AG:AG,"&lt;="&amp;日期!$B$5,allorders!AG:AG,"&gt;="&amp;日期!$B$12,allorders!N:N,"Shipped")/SUM(C57:F57)</f>
        <v>12</v>
      </c>
      <c r="H57">
        <f>SUMIFS(allorders!Q:Q,allorders!L:L,A57,allorders!AG:AG,"&gt;="&amp;日期!$B$12,allorders!AG:AG,"&lt;="&amp;日期!$B$5,allorders!N:N,"Shipped")</f>
        <v>12</v>
      </c>
      <c r="I57">
        <f t="shared" si="0"/>
        <v>1</v>
      </c>
    </row>
    <row r="58" spans="1:9">
      <c r="A58" s="5" t="s">
        <v>1005</v>
      </c>
      <c r="B58" t="str">
        <f>VLOOKUP(A58,'[1]子SKU-父SKU'!$A:$B,2,0)</f>
        <v>ST172</v>
      </c>
      <c r="C58">
        <f>SUMIFS(allorders!O:O,allorders!L:L,$A58,allorders!AG:AG,"&lt;="&amp;日期!$B$5,allorders!AG:AG,"&gt;="&amp;日期!$B$6,allorders!N:N,"Shipped")</f>
        <v>0</v>
      </c>
      <c r="D58">
        <f>SUMIFS(allorders!$O:$O,allorders!$L:$L,$A58,allorders!$AG:$AG,"&lt;="&amp;日期!$B$7,allorders!$AG:$AG,"&gt;="&amp;日期!$B$8,allorders!N:N,"Shipped")</f>
        <v>0</v>
      </c>
      <c r="E58">
        <f>SUMIFS(allorders!$O:$O,allorders!$L:$L,$A58,allorders!$AG:$AG,"&lt;="&amp;日期!$B$9,allorders!$AG:$AG,"&gt;="&amp;日期!$B$10,allorders!N:N,"Shipped")</f>
        <v>1</v>
      </c>
      <c r="F58">
        <f>SUMIFS(allorders!$O:$O,allorders!$L:$L,$A58,allorders!$AG:$AG,"&lt;="&amp;日期!$B$11,allorders!$AG:$AG,"&gt;="&amp;日期!$B$12,allorders!N:N,"Shipped")</f>
        <v>2</v>
      </c>
      <c r="G58">
        <f>SUMIFS(allorders!Q:Q,allorders!L:L,A58,allorders!AG:AG,"&lt;="&amp;日期!$B$5,allorders!AG:AG,"&gt;="&amp;日期!$B$12,allorders!N:N,"Shipped")/SUM(C58:F58)</f>
        <v>14.98</v>
      </c>
      <c r="H58">
        <f>SUMIFS(allorders!Q:Q,allorders!L:L,A58,allorders!AG:AG,"&gt;="&amp;日期!$B$12,allorders!AG:AG,"&lt;="&amp;日期!$B$5,allorders!N:N,"Shipped")</f>
        <v>44.94</v>
      </c>
      <c r="I58">
        <f t="shared" si="0"/>
        <v>3</v>
      </c>
    </row>
    <row r="59" spans="1:9">
      <c r="A59" s="5" t="s">
        <v>1048</v>
      </c>
      <c r="B59" t="str">
        <f>VLOOKUP(A59,'[1]子SKU-父SKU'!$A:$B,2,0)</f>
        <v>TZ-IUYL240</v>
      </c>
      <c r="C59">
        <f>SUMIFS(allorders!O:O,allorders!L:L,$A59,allorders!AG:AG,"&lt;="&amp;日期!$B$5,allorders!AG:AG,"&gt;="&amp;日期!$B$6,allorders!N:N,"Shipped")</f>
        <v>10</v>
      </c>
      <c r="D59">
        <f>SUMIFS(allorders!$O:$O,allorders!$L:$L,$A59,allorders!$AG:$AG,"&lt;="&amp;日期!$B$7,allorders!$AG:$AG,"&gt;="&amp;日期!$B$8,allorders!N:N,"Shipped")</f>
        <v>12</v>
      </c>
      <c r="E59">
        <f>SUMIFS(allorders!$O:$O,allorders!$L:$L,$A59,allorders!$AG:$AG,"&lt;="&amp;日期!$B$9,allorders!$AG:$AG,"&gt;="&amp;日期!$B$10,allorders!N:N,"Shipped")</f>
        <v>10</v>
      </c>
      <c r="F59">
        <f>SUMIFS(allorders!$O:$O,allorders!$L:$L,$A59,allorders!$AG:$AG,"&lt;="&amp;日期!$B$11,allorders!$AG:$AG,"&gt;="&amp;日期!$B$12,allorders!N:N,"Shipped")</f>
        <v>3</v>
      </c>
      <c r="G59">
        <f>SUMIFS(allorders!Q:Q,allorders!L:L,A59,allorders!AG:AG,"&lt;="&amp;日期!$B$5,allorders!AG:AG,"&gt;="&amp;日期!$B$12,allorders!N:N,"Shipped")/SUM(C59:F59)</f>
        <v>25.1328571428571</v>
      </c>
      <c r="H59">
        <f>SUMIFS(allorders!Q:Q,allorders!L:L,A59,allorders!AG:AG,"&gt;="&amp;日期!$B$12,allorders!AG:AG,"&lt;="&amp;日期!$B$5,allorders!N:N,"Shipped")</f>
        <v>879.65</v>
      </c>
      <c r="I59">
        <f t="shared" si="0"/>
        <v>35</v>
      </c>
    </row>
    <row r="60" spans="1:9">
      <c r="A60" s="5" t="s">
        <v>1080</v>
      </c>
      <c r="B60" t="str">
        <f>VLOOKUP(A60,'[1]子SKU-父SKU'!$A:$B,2,0)</f>
        <v>TZ-IUYL240</v>
      </c>
      <c r="C60">
        <f>SUMIFS(allorders!O:O,allorders!L:L,$A60,allorders!AG:AG,"&lt;="&amp;日期!$B$5,allorders!AG:AG,"&gt;="&amp;日期!$B$6,allorders!N:N,"Shipped")</f>
        <v>0</v>
      </c>
      <c r="D60">
        <f>SUMIFS(allorders!$O:$O,allorders!$L:$L,$A60,allorders!$AG:$AG,"&lt;="&amp;日期!$B$7,allorders!$AG:$AG,"&gt;="&amp;日期!$B$8,allorders!N:N,"Shipped")</f>
        <v>1</v>
      </c>
      <c r="E60">
        <f>SUMIFS(allorders!$O:$O,allorders!$L:$L,$A60,allorders!$AG:$AG,"&lt;="&amp;日期!$B$9,allorders!$AG:$AG,"&gt;="&amp;日期!$B$10,allorders!N:N,"Shipped")</f>
        <v>4</v>
      </c>
      <c r="F60">
        <f>SUMIFS(allorders!$O:$O,allorders!$L:$L,$A60,allorders!$AG:$AG,"&lt;="&amp;日期!$B$11,allorders!$AG:$AG,"&gt;="&amp;日期!$B$12,allorders!N:N,"Shipped")</f>
        <v>2</v>
      </c>
      <c r="G60">
        <f>SUMIFS(allorders!Q:Q,allorders!L:L,A60,allorders!AG:AG,"&lt;="&amp;日期!$B$5,allorders!AG:AG,"&gt;="&amp;日期!$B$12,allorders!N:N,"Shipped")/SUM(C60:F60)</f>
        <v>12.99</v>
      </c>
      <c r="H60">
        <f>SUMIFS(allorders!Q:Q,allorders!L:L,A60,allorders!AG:AG,"&gt;="&amp;日期!$B$12,allorders!AG:AG,"&lt;="&amp;日期!$B$5,allorders!N:N,"Shipped")</f>
        <v>90.93</v>
      </c>
      <c r="I60">
        <f t="shared" si="0"/>
        <v>7</v>
      </c>
    </row>
    <row r="61" spans="1:9">
      <c r="A61" s="5" t="s">
        <v>1106</v>
      </c>
      <c r="B61" t="str">
        <f>VLOOKUP(A61,'[1]子SKU-父SKU'!$A:$B,2,0)</f>
        <v>Pajamas-sb001</v>
      </c>
      <c r="C61">
        <f>SUMIFS(allorders!O:O,allorders!L:L,$A61,allorders!AG:AG,"&lt;="&amp;日期!$B$5,allorders!AG:AG,"&gt;="&amp;日期!$B$6,allorders!N:N,"Shipped")</f>
        <v>1</v>
      </c>
      <c r="D61">
        <f>SUMIFS(allorders!$O:$O,allorders!$L:$L,$A61,allorders!$AG:$AG,"&lt;="&amp;日期!$B$7,allorders!$AG:$AG,"&gt;="&amp;日期!$B$8,allorders!N:N,"Shipped")</f>
        <v>2</v>
      </c>
      <c r="E61">
        <f>SUMIFS(allorders!$O:$O,allorders!$L:$L,$A61,allorders!$AG:$AG,"&lt;="&amp;日期!$B$9,allorders!$AG:$AG,"&gt;="&amp;日期!$B$10,allorders!N:N,"Shipped")</f>
        <v>1</v>
      </c>
      <c r="F61">
        <f>SUMIFS(allorders!$O:$O,allorders!$L:$L,$A61,allorders!$AG:$AG,"&lt;="&amp;日期!$B$11,allorders!$AG:$AG,"&gt;="&amp;日期!$B$12,allorders!N:N,"Shipped")</f>
        <v>4</v>
      </c>
      <c r="G61">
        <f>SUMIFS(allorders!Q:Q,allorders!L:L,A61,allorders!AG:AG,"&lt;="&amp;日期!$B$5,allorders!AG:AG,"&gt;="&amp;日期!$B$12,allorders!N:N,"Shipped")/SUM(C61:F61)</f>
        <v>10.98</v>
      </c>
      <c r="H61">
        <f>SUMIFS(allorders!Q:Q,allorders!L:L,A61,allorders!AG:AG,"&gt;="&amp;日期!$B$12,allorders!AG:AG,"&lt;="&amp;日期!$B$5,allorders!N:N,"Shipped")</f>
        <v>87.84</v>
      </c>
      <c r="I61">
        <f t="shared" si="0"/>
        <v>8</v>
      </c>
    </row>
    <row r="62" spans="1:9">
      <c r="A62" s="5" t="s">
        <v>1114</v>
      </c>
      <c r="B62" t="str">
        <f>VLOOKUP(A62,'[1]子SKU-父SKU'!$A:$B,2,0)</f>
        <v>ST006</v>
      </c>
      <c r="C62">
        <f>SUMIFS(allorders!O:O,allorders!L:L,$A62,allorders!AG:AG,"&lt;="&amp;日期!$B$5,allorders!AG:AG,"&gt;="&amp;日期!$B$6,allorders!N:N,"Shipped")</f>
        <v>0</v>
      </c>
      <c r="D62">
        <f>SUMIFS(allorders!$O:$O,allorders!$L:$L,$A62,allorders!$AG:$AG,"&lt;="&amp;日期!$B$7,allorders!$AG:$AG,"&gt;="&amp;日期!$B$8,allorders!N:N,"Shipped")</f>
        <v>0</v>
      </c>
      <c r="E62">
        <f>SUMIFS(allorders!$O:$O,allorders!$L:$L,$A62,allorders!$AG:$AG,"&lt;="&amp;日期!$B$9,allorders!$AG:$AG,"&gt;="&amp;日期!$B$10,allorders!N:N,"Shipped")</f>
        <v>0</v>
      </c>
      <c r="F62">
        <f>SUMIFS(allorders!$O:$O,allorders!$L:$L,$A62,allorders!$AG:$AG,"&lt;="&amp;日期!$B$11,allorders!$AG:$AG,"&gt;="&amp;日期!$B$12,allorders!N:N,"Shipped")</f>
        <v>1</v>
      </c>
      <c r="G62">
        <f>SUMIFS(allorders!Q:Q,allorders!L:L,A62,allorders!AG:AG,"&lt;="&amp;日期!$B$5,allorders!AG:AG,"&gt;="&amp;日期!$B$12,allorders!N:N,"Shipped")/SUM(C62:F62)</f>
        <v>22.98</v>
      </c>
      <c r="H62">
        <f>SUMIFS(allorders!Q:Q,allorders!L:L,A62,allorders!AG:AG,"&gt;="&amp;日期!$B$12,allorders!AG:AG,"&lt;="&amp;日期!$B$5,allorders!N:N,"Shipped")</f>
        <v>22.98</v>
      </c>
      <c r="I62">
        <f t="shared" si="0"/>
        <v>1</v>
      </c>
    </row>
    <row r="63" spans="1:9">
      <c r="A63" s="5" t="s">
        <v>1122</v>
      </c>
      <c r="B63" t="str">
        <f>VLOOKUP(A63,'[1]子SKU-父SKU'!$A:$B,2,0)</f>
        <v>XQ-IUYL260</v>
      </c>
      <c r="C63">
        <f>SUMIFS(allorders!O:O,allorders!L:L,$A63,allorders!AG:AG,"&lt;="&amp;日期!$B$5,allorders!AG:AG,"&gt;="&amp;日期!$B$6,allorders!N:N,"Shipped")</f>
        <v>0</v>
      </c>
      <c r="D63">
        <f>SUMIFS(allorders!$O:$O,allorders!$L:$L,$A63,allorders!$AG:$AG,"&lt;="&amp;日期!$B$7,allorders!$AG:$AG,"&gt;="&amp;日期!$B$8,allorders!N:N,"Shipped")</f>
        <v>1</v>
      </c>
      <c r="E63">
        <f>SUMIFS(allorders!$O:$O,allorders!$L:$L,$A63,allorders!$AG:$AG,"&lt;="&amp;日期!$B$9,allorders!$AG:$AG,"&gt;="&amp;日期!$B$10,allorders!N:N,"Shipped")</f>
        <v>0</v>
      </c>
      <c r="F63">
        <f>SUMIFS(allorders!$O:$O,allorders!$L:$L,$A63,allorders!$AG:$AG,"&lt;="&amp;日期!$B$11,allorders!$AG:$AG,"&gt;="&amp;日期!$B$12,allorders!N:N,"Shipped")</f>
        <v>0</v>
      </c>
      <c r="G63">
        <f>SUMIFS(allorders!Q:Q,allorders!L:L,A63,allorders!AG:AG,"&lt;="&amp;日期!$B$5,allorders!AG:AG,"&gt;="&amp;日期!$B$12,allorders!N:N,"Shipped")/SUM(C63:F63)</f>
        <v>9.9</v>
      </c>
      <c r="H63">
        <f>SUMIFS(allorders!Q:Q,allorders!L:L,A63,allorders!AG:AG,"&gt;="&amp;日期!$B$12,allorders!AG:AG,"&lt;="&amp;日期!$B$5,allorders!N:N,"Shipped")</f>
        <v>9.9</v>
      </c>
      <c r="I63">
        <f t="shared" si="0"/>
        <v>1</v>
      </c>
    </row>
    <row r="64" spans="1:9">
      <c r="A64" s="5" t="s">
        <v>1158</v>
      </c>
      <c r="B64" t="str">
        <f>VLOOKUP(A64,'[1]子SKU-父SKU'!$A:$B,2,0)</f>
        <v>SCF-B01</v>
      </c>
      <c r="C64">
        <f>SUMIFS(allorders!O:O,allorders!L:L,$A64,allorders!AG:AG,"&lt;="&amp;日期!$B$5,allorders!AG:AG,"&gt;="&amp;日期!$B$6,allorders!N:N,"Shipped")</f>
        <v>0</v>
      </c>
      <c r="D64">
        <f>SUMIFS(allorders!$O:$O,allorders!$L:$L,$A64,allorders!$AG:$AG,"&lt;="&amp;日期!$B$7,allorders!$AG:$AG,"&gt;="&amp;日期!$B$8,allorders!N:N,"Shipped")</f>
        <v>0</v>
      </c>
      <c r="E64">
        <f>SUMIFS(allorders!$O:$O,allorders!$L:$L,$A64,allorders!$AG:$AG,"&lt;="&amp;日期!$B$9,allorders!$AG:$AG,"&gt;="&amp;日期!$B$10,allorders!N:N,"Shipped")</f>
        <v>0</v>
      </c>
      <c r="F64">
        <f>SUMIFS(allorders!$O:$O,allorders!$L:$L,$A64,allorders!$AG:$AG,"&lt;="&amp;日期!$B$11,allorders!$AG:$AG,"&gt;="&amp;日期!$B$12,allorders!N:N,"Shipped")</f>
        <v>1</v>
      </c>
      <c r="G64">
        <f>SUMIFS(allorders!Q:Q,allorders!L:L,A64,allorders!AG:AG,"&lt;="&amp;日期!$B$5,allorders!AG:AG,"&gt;="&amp;日期!$B$12,allorders!N:N,"Shipped")/SUM(C64:F64)</f>
        <v>20</v>
      </c>
      <c r="H64">
        <f>SUMIFS(allorders!Q:Q,allorders!L:L,A64,allorders!AG:AG,"&gt;="&amp;日期!$B$12,allorders!AG:AG,"&lt;="&amp;日期!$B$5,allorders!N:N,"Shipped")</f>
        <v>20</v>
      </c>
      <c r="I64">
        <f t="shared" si="0"/>
        <v>1</v>
      </c>
    </row>
    <row r="65" spans="1:9">
      <c r="A65" s="5" t="s">
        <v>1227</v>
      </c>
      <c r="B65" t="str">
        <f>VLOOKUP(A65,'[1]子SKU-父SKU'!$A:$B,2,0)</f>
        <v>TZ-IUYL240</v>
      </c>
      <c r="C65">
        <f>SUMIFS(allorders!O:O,allorders!L:L,$A65,allorders!AG:AG,"&lt;="&amp;日期!$B$5,allorders!AG:AG,"&gt;="&amp;日期!$B$6,allorders!N:N,"Shipped")</f>
        <v>2</v>
      </c>
      <c r="D65">
        <f>SUMIFS(allorders!$O:$O,allorders!$L:$L,$A65,allorders!$AG:$AG,"&lt;="&amp;日期!$B$7,allorders!$AG:$AG,"&gt;="&amp;日期!$B$8,allorders!N:N,"Shipped")</f>
        <v>3</v>
      </c>
      <c r="E65">
        <f>SUMIFS(allorders!$O:$O,allorders!$L:$L,$A65,allorders!$AG:$AG,"&lt;="&amp;日期!$B$9,allorders!$AG:$AG,"&gt;="&amp;日期!$B$10,allorders!N:N,"Shipped")</f>
        <v>0</v>
      </c>
      <c r="F65">
        <f>SUMIFS(allorders!$O:$O,allorders!$L:$L,$A65,allorders!$AG:$AG,"&lt;="&amp;日期!$B$11,allorders!$AG:$AG,"&gt;="&amp;日期!$B$12,allorders!N:N,"Shipped")</f>
        <v>3</v>
      </c>
      <c r="G65">
        <f>SUMIFS(allorders!Q:Q,allorders!L:L,A65,allorders!AG:AG,"&lt;="&amp;日期!$B$5,allorders!AG:AG,"&gt;="&amp;日期!$B$12,allorders!N:N,"Shipped")/SUM(C65:F65)</f>
        <v>18.99</v>
      </c>
      <c r="H65">
        <f>SUMIFS(allorders!Q:Q,allorders!L:L,A65,allorders!AG:AG,"&gt;="&amp;日期!$B$12,allorders!AG:AG,"&lt;="&amp;日期!$B$5,allorders!N:N,"Shipped")</f>
        <v>151.92</v>
      </c>
      <c r="I65">
        <f t="shared" si="0"/>
        <v>8</v>
      </c>
    </row>
    <row r="66" spans="1:9">
      <c r="A66" s="5" t="s">
        <v>1242</v>
      </c>
      <c r="B66" t="str">
        <f>VLOOKUP(A66,'[1]子SKU-父SKU'!$A:$B,2,0)</f>
        <v>XQ-IUYL260</v>
      </c>
      <c r="C66">
        <f>SUMIFS(allorders!O:O,allorders!L:L,$A66,allorders!AG:AG,"&lt;="&amp;日期!$B$5,allorders!AG:AG,"&gt;="&amp;日期!$B$6,allorders!N:N,"Shipped")</f>
        <v>0</v>
      </c>
      <c r="D66">
        <f>SUMIFS(allorders!$O:$O,allorders!$L:$L,$A66,allorders!$AG:$AG,"&lt;="&amp;日期!$B$7,allorders!$AG:$AG,"&gt;="&amp;日期!$B$8,allorders!N:N,"Shipped")</f>
        <v>1</v>
      </c>
      <c r="E66">
        <f>SUMIFS(allorders!$O:$O,allorders!$L:$L,$A66,allorders!$AG:$AG,"&lt;="&amp;日期!$B$9,allorders!$AG:$AG,"&gt;="&amp;日期!$B$10,allorders!N:N,"Shipped")</f>
        <v>0</v>
      </c>
      <c r="F66">
        <f>SUMIFS(allorders!$O:$O,allorders!$L:$L,$A66,allorders!$AG:$AG,"&lt;="&amp;日期!$B$11,allorders!$AG:$AG,"&gt;="&amp;日期!$B$12,allorders!N:N,"Shipped")</f>
        <v>2</v>
      </c>
      <c r="G66">
        <f>SUMIFS(allorders!Q:Q,allorders!L:L,A66,allorders!AG:AG,"&lt;="&amp;日期!$B$5,allorders!AG:AG,"&gt;="&amp;日期!$B$12,allorders!N:N,"Shipped")/SUM(C66:F66)</f>
        <v>9.9</v>
      </c>
      <c r="H66">
        <f>SUMIFS(allorders!Q:Q,allorders!L:L,A66,allorders!AG:AG,"&gt;="&amp;日期!$B$12,allorders!AG:AG,"&lt;="&amp;日期!$B$5,allorders!N:N,"Shipped")</f>
        <v>29.7</v>
      </c>
      <c r="I66">
        <f t="shared" si="0"/>
        <v>3</v>
      </c>
    </row>
    <row r="67" spans="1:9">
      <c r="A67" s="5" t="s">
        <v>1283</v>
      </c>
      <c r="B67" t="str">
        <f>VLOOKUP(A67,'[1]子SKU-父SKU'!$A:$B,2,0)</f>
        <v>SCF-B01</v>
      </c>
      <c r="C67">
        <f>SUMIFS(allorders!O:O,allorders!L:L,$A67,allorders!AG:AG,"&lt;="&amp;日期!$B$5,allorders!AG:AG,"&gt;="&amp;日期!$B$6,allorders!N:N,"Shipped")</f>
        <v>0</v>
      </c>
      <c r="D67">
        <f>SUMIFS(allorders!$O:$O,allorders!$L:$L,$A67,allorders!$AG:$AG,"&lt;="&amp;日期!$B$7,allorders!$AG:$AG,"&gt;="&amp;日期!$B$8,allorders!N:N,"Shipped")</f>
        <v>0</v>
      </c>
      <c r="E67">
        <f>SUMIFS(allorders!$O:$O,allorders!$L:$L,$A67,allorders!$AG:$AG,"&lt;="&amp;日期!$B$9,allorders!$AG:$AG,"&gt;="&amp;日期!$B$10,allorders!N:N,"Shipped")</f>
        <v>0</v>
      </c>
      <c r="F67">
        <f>SUMIFS(allorders!$O:$O,allorders!$L:$L,$A67,allorders!$AG:$AG,"&lt;="&amp;日期!$B$11,allorders!$AG:$AG,"&gt;="&amp;日期!$B$12,allorders!N:N,"Shipped")</f>
        <v>1</v>
      </c>
      <c r="G67">
        <f>SUMIFS(allorders!Q:Q,allorders!L:L,A67,allorders!AG:AG,"&lt;="&amp;日期!$B$5,allorders!AG:AG,"&gt;="&amp;日期!$B$12,allorders!N:N,"Shipped")/SUM(C67:F67)</f>
        <v>20</v>
      </c>
      <c r="H67">
        <f>SUMIFS(allorders!Q:Q,allorders!L:L,A67,allorders!AG:AG,"&gt;="&amp;日期!$B$12,allorders!AG:AG,"&lt;="&amp;日期!$B$5,allorders!N:N,"Shipped")</f>
        <v>20</v>
      </c>
      <c r="I67">
        <f t="shared" ref="I67:I130" si="1">SUM(C67:F67)</f>
        <v>1</v>
      </c>
    </row>
    <row r="68" spans="1:9">
      <c r="A68" s="5" t="s">
        <v>1286</v>
      </c>
      <c r="B68" t="str">
        <f>VLOOKUP(A68,'[1]子SKU-父SKU'!$A:$B,2,0)</f>
        <v>SCF-B01</v>
      </c>
      <c r="C68">
        <f>SUMIFS(allorders!O:O,allorders!L:L,$A68,allorders!AG:AG,"&lt;="&amp;日期!$B$5,allorders!AG:AG,"&gt;="&amp;日期!$B$6,allorders!N:N,"Shipped")</f>
        <v>0</v>
      </c>
      <c r="D68">
        <f>SUMIFS(allorders!$O:$O,allorders!$L:$L,$A68,allorders!$AG:$AG,"&lt;="&amp;日期!$B$7,allorders!$AG:$AG,"&gt;="&amp;日期!$B$8,allorders!N:N,"Shipped")</f>
        <v>0</v>
      </c>
      <c r="E68">
        <f>SUMIFS(allorders!$O:$O,allorders!$L:$L,$A68,allorders!$AG:$AG,"&lt;="&amp;日期!$B$9,allorders!$AG:$AG,"&gt;="&amp;日期!$B$10,allorders!N:N,"Shipped")</f>
        <v>2</v>
      </c>
      <c r="F68">
        <f>SUMIFS(allorders!$O:$O,allorders!$L:$L,$A68,allorders!$AG:$AG,"&lt;="&amp;日期!$B$11,allorders!$AG:$AG,"&gt;="&amp;日期!$B$12,allorders!N:N,"Shipped")</f>
        <v>1</v>
      </c>
      <c r="G68">
        <f>SUMIFS(allorders!Q:Q,allorders!L:L,A68,allorders!AG:AG,"&lt;="&amp;日期!$B$5,allorders!AG:AG,"&gt;="&amp;日期!$B$12,allorders!N:N,"Shipped")/SUM(C68:F68)</f>
        <v>20</v>
      </c>
      <c r="H68">
        <f>SUMIFS(allorders!Q:Q,allorders!L:L,A68,allorders!AG:AG,"&gt;="&amp;日期!$B$12,allorders!AG:AG,"&lt;="&amp;日期!$B$5,allorders!N:N,"Shipped")</f>
        <v>60</v>
      </c>
      <c r="I68">
        <f t="shared" si="1"/>
        <v>3</v>
      </c>
    </row>
    <row r="69" spans="1:9">
      <c r="A69" s="5" t="s">
        <v>1292</v>
      </c>
      <c r="B69" t="str">
        <f>VLOOKUP(A69,'[1]子SKU-父SKU'!$A:$B,2,0)</f>
        <v>TZ-IUYL240</v>
      </c>
      <c r="C69">
        <f>SUMIFS(allorders!O:O,allorders!L:L,$A69,allorders!AG:AG,"&lt;="&amp;日期!$B$5,allorders!AG:AG,"&gt;="&amp;日期!$B$6,allorders!N:N,"Shipped")</f>
        <v>0</v>
      </c>
      <c r="D69">
        <f>SUMIFS(allorders!$O:$O,allorders!$L:$L,$A69,allorders!$AG:$AG,"&lt;="&amp;日期!$B$7,allorders!$AG:$AG,"&gt;="&amp;日期!$B$8,allorders!N:N,"Shipped")</f>
        <v>7</v>
      </c>
      <c r="E69">
        <f>SUMIFS(allorders!$O:$O,allorders!$L:$L,$A69,allorders!$AG:$AG,"&lt;="&amp;日期!$B$9,allorders!$AG:$AG,"&gt;="&amp;日期!$B$10,allorders!N:N,"Shipped")</f>
        <v>11</v>
      </c>
      <c r="F69">
        <f>SUMIFS(allorders!$O:$O,allorders!$L:$L,$A69,allorders!$AG:$AG,"&lt;="&amp;日期!$B$11,allorders!$AG:$AG,"&gt;="&amp;日期!$B$12,allorders!N:N,"Shipped")</f>
        <v>7</v>
      </c>
      <c r="G69">
        <f>SUMIFS(allorders!Q:Q,allorders!L:L,A69,allorders!AG:AG,"&lt;="&amp;日期!$B$5,allorders!AG:AG,"&gt;="&amp;日期!$B$12,allorders!N:N,"Shipped")/SUM(C69:F69)</f>
        <v>12.99</v>
      </c>
      <c r="H69">
        <f>SUMIFS(allorders!Q:Q,allorders!L:L,A69,allorders!AG:AG,"&gt;="&amp;日期!$B$12,allorders!AG:AG,"&lt;="&amp;日期!$B$5,allorders!N:N,"Shipped")</f>
        <v>324.75</v>
      </c>
      <c r="I69">
        <f t="shared" si="1"/>
        <v>25</v>
      </c>
    </row>
    <row r="70" spans="1:9">
      <c r="A70" s="5" t="s">
        <v>1408</v>
      </c>
      <c r="B70" t="str">
        <f>VLOOKUP(A70,'[1]子SKU-父SKU'!$A:$B,2,0)</f>
        <v>BBBD-BUSB1605</v>
      </c>
      <c r="C70">
        <f>SUMIFS(allorders!O:O,allorders!L:L,$A70,allorders!AG:AG,"&lt;="&amp;日期!$B$5,allorders!AG:AG,"&gt;="&amp;日期!$B$6,allorders!N:N,"Shipped")</f>
        <v>3</v>
      </c>
      <c r="D70">
        <f>SUMIFS(allorders!$O:$O,allorders!$L:$L,$A70,allorders!$AG:$AG,"&lt;="&amp;日期!$B$7,allorders!$AG:$AG,"&gt;="&amp;日期!$B$8,allorders!N:N,"Shipped")</f>
        <v>1</v>
      </c>
      <c r="E70">
        <f>SUMIFS(allorders!$O:$O,allorders!$L:$L,$A70,allorders!$AG:$AG,"&lt;="&amp;日期!$B$9,allorders!$AG:$AG,"&gt;="&amp;日期!$B$10,allorders!N:N,"Shipped")</f>
        <v>0</v>
      </c>
      <c r="F70">
        <f>SUMIFS(allorders!$O:$O,allorders!$L:$L,$A70,allorders!$AG:$AG,"&lt;="&amp;日期!$B$11,allorders!$AG:$AG,"&gt;="&amp;日期!$B$12,allorders!N:N,"Shipped")</f>
        <v>1</v>
      </c>
      <c r="G70">
        <f>SUMIFS(allorders!Q:Q,allorders!L:L,A70,allorders!AG:AG,"&lt;="&amp;日期!$B$5,allorders!AG:AG,"&gt;="&amp;日期!$B$12,allorders!N:N,"Shipped")/SUM(C70:F70)</f>
        <v>29.99</v>
      </c>
      <c r="H70">
        <f>SUMIFS(allorders!Q:Q,allorders!L:L,A70,allorders!AG:AG,"&gt;="&amp;日期!$B$12,allorders!AG:AG,"&lt;="&amp;日期!$B$5,allorders!N:N,"Shipped")</f>
        <v>149.95</v>
      </c>
      <c r="I70">
        <f t="shared" si="1"/>
        <v>5</v>
      </c>
    </row>
    <row r="71" spans="1:9">
      <c r="A71" s="5" t="s">
        <v>1423</v>
      </c>
      <c r="B71" t="str">
        <f>VLOOKUP(A71,'[1]子SKU-父SKU'!$A:$B,2,0)</f>
        <v>SCF-B01</v>
      </c>
      <c r="C71">
        <f>SUMIFS(allorders!O:O,allorders!L:L,$A71,allorders!AG:AG,"&lt;="&amp;日期!$B$5,allorders!AG:AG,"&gt;="&amp;日期!$B$6,allorders!N:N,"Shipped")</f>
        <v>0</v>
      </c>
      <c r="D71">
        <f>SUMIFS(allorders!$O:$O,allorders!$L:$L,$A71,allorders!$AG:$AG,"&lt;="&amp;日期!$B$7,allorders!$AG:$AG,"&gt;="&amp;日期!$B$8,allorders!N:N,"Shipped")</f>
        <v>0</v>
      </c>
      <c r="E71">
        <f>SUMIFS(allorders!$O:$O,allorders!$L:$L,$A71,allorders!$AG:$AG,"&lt;="&amp;日期!$B$9,allorders!$AG:$AG,"&gt;="&amp;日期!$B$10,allorders!N:N,"Shipped")</f>
        <v>0</v>
      </c>
      <c r="F71">
        <f>SUMIFS(allorders!$O:$O,allorders!$L:$L,$A71,allorders!$AG:$AG,"&lt;="&amp;日期!$B$11,allorders!$AG:$AG,"&gt;="&amp;日期!$B$12,allorders!N:N,"Shipped")</f>
        <v>1</v>
      </c>
      <c r="G71">
        <f>SUMIFS(allorders!Q:Q,allorders!L:L,A71,allorders!AG:AG,"&lt;="&amp;日期!$B$5,allorders!AG:AG,"&gt;="&amp;日期!$B$12,allorders!N:N,"Shipped")/SUM(C71:F71)</f>
        <v>20</v>
      </c>
      <c r="H71">
        <f>SUMIFS(allorders!Q:Q,allorders!L:L,A71,allorders!AG:AG,"&gt;="&amp;日期!$B$12,allorders!AG:AG,"&lt;="&amp;日期!$B$5,allorders!N:N,"Shipped")</f>
        <v>20</v>
      </c>
      <c r="I71">
        <f t="shared" si="1"/>
        <v>1</v>
      </c>
    </row>
    <row r="72" spans="1:9">
      <c r="A72" s="5" t="s">
        <v>1543</v>
      </c>
      <c r="B72" t="str">
        <f>VLOOKUP(A72,'[1]子SKU-父SKU'!$A:$B,2,0)</f>
        <v>WF7125</v>
      </c>
      <c r="C72">
        <f>SUMIFS(allorders!O:O,allorders!L:L,$A72,allorders!AG:AG,"&lt;="&amp;日期!$B$5,allorders!AG:AG,"&gt;="&amp;日期!$B$6,allorders!N:N,"Shipped")</f>
        <v>1</v>
      </c>
      <c r="D72">
        <f>SUMIFS(allorders!$O:$O,allorders!$L:$L,$A72,allorders!$AG:$AG,"&lt;="&amp;日期!$B$7,allorders!$AG:$AG,"&gt;="&amp;日期!$B$8,allorders!N:N,"Shipped")</f>
        <v>0</v>
      </c>
      <c r="E72">
        <f>SUMIFS(allorders!$O:$O,allorders!$L:$L,$A72,allorders!$AG:$AG,"&lt;="&amp;日期!$B$9,allorders!$AG:$AG,"&gt;="&amp;日期!$B$10,allorders!N:N,"Shipped")</f>
        <v>0</v>
      </c>
      <c r="F72">
        <f>SUMIFS(allorders!$O:$O,allorders!$L:$L,$A72,allorders!$AG:$AG,"&lt;="&amp;日期!$B$11,allorders!$AG:$AG,"&gt;="&amp;日期!$B$12,allorders!N:N,"Shipped")</f>
        <v>1</v>
      </c>
      <c r="G72">
        <f>SUMIFS(allorders!Q:Q,allorders!L:L,A72,allorders!AG:AG,"&lt;="&amp;日期!$B$5,allorders!AG:AG,"&gt;="&amp;日期!$B$12,allorders!N:N,"Shipped")/SUM(C72:F72)</f>
        <v>12</v>
      </c>
      <c r="H72">
        <f>SUMIFS(allorders!Q:Q,allorders!L:L,A72,allorders!AG:AG,"&gt;="&amp;日期!$B$12,allorders!AG:AG,"&lt;="&amp;日期!$B$5,allorders!N:N,"Shipped")</f>
        <v>24</v>
      </c>
      <c r="I72">
        <f t="shared" si="1"/>
        <v>2</v>
      </c>
    </row>
    <row r="73" spans="1:9">
      <c r="A73" s="5" t="s">
        <v>1551</v>
      </c>
      <c r="B73" t="str">
        <f>VLOOKUP(A73,'[1]子SKU-父SKU'!$A:$B,2,0)</f>
        <v>DZ-IUYL210</v>
      </c>
      <c r="C73">
        <f>SUMIFS(allorders!O:O,allorders!L:L,$A73,allorders!AG:AG,"&lt;="&amp;日期!$B$5,allorders!AG:AG,"&gt;="&amp;日期!$B$6,allorders!N:N,"Shipped")</f>
        <v>1</v>
      </c>
      <c r="D73">
        <f>SUMIFS(allorders!$O:$O,allorders!$L:$L,$A73,allorders!$AG:$AG,"&lt;="&amp;日期!$B$7,allorders!$AG:$AG,"&gt;="&amp;日期!$B$8,allorders!N:N,"Shipped")</f>
        <v>0</v>
      </c>
      <c r="E73">
        <f>SUMIFS(allorders!$O:$O,allorders!$L:$L,$A73,allorders!$AG:$AG,"&lt;="&amp;日期!$B$9,allorders!$AG:$AG,"&gt;="&amp;日期!$B$10,allorders!N:N,"Shipped")</f>
        <v>1</v>
      </c>
      <c r="F73">
        <f>SUMIFS(allorders!$O:$O,allorders!$L:$L,$A73,allorders!$AG:$AG,"&lt;="&amp;日期!$B$11,allorders!$AG:$AG,"&gt;="&amp;日期!$B$12,allorders!N:N,"Shipped")</f>
        <v>0</v>
      </c>
      <c r="G73">
        <f>SUMIFS(allorders!Q:Q,allorders!L:L,A73,allorders!AG:AG,"&lt;="&amp;日期!$B$5,allorders!AG:AG,"&gt;="&amp;日期!$B$12,allorders!N:N,"Shipped")/SUM(C73:F73)</f>
        <v>25.99</v>
      </c>
      <c r="H73">
        <f>SUMIFS(allorders!Q:Q,allorders!L:L,A73,allorders!AG:AG,"&gt;="&amp;日期!$B$12,allorders!AG:AG,"&lt;="&amp;日期!$B$5,allorders!N:N,"Shipped")</f>
        <v>51.98</v>
      </c>
      <c r="I73">
        <f t="shared" si="1"/>
        <v>2</v>
      </c>
    </row>
    <row r="74" spans="1:9">
      <c r="A74" s="5" t="s">
        <v>1614</v>
      </c>
      <c r="B74" t="str">
        <f>VLOOKUP(A74,'[1]子SKU-父SKU'!$A:$B,2,0)</f>
        <v>ST173</v>
      </c>
      <c r="C74">
        <f>SUMIFS(allorders!O:O,allorders!L:L,$A74,allorders!AG:AG,"&lt;="&amp;日期!$B$5,allorders!AG:AG,"&gt;="&amp;日期!$B$6,allorders!N:N,"Shipped")</f>
        <v>2</v>
      </c>
      <c r="D74">
        <f>SUMIFS(allorders!$O:$O,allorders!$L:$L,$A74,allorders!$AG:$AG,"&lt;="&amp;日期!$B$7,allorders!$AG:$AG,"&gt;="&amp;日期!$B$8,allorders!N:N,"Shipped")</f>
        <v>1</v>
      </c>
      <c r="E74">
        <f>SUMIFS(allorders!$O:$O,allorders!$L:$L,$A74,allorders!$AG:$AG,"&lt;="&amp;日期!$B$9,allorders!$AG:$AG,"&gt;="&amp;日期!$B$10,allorders!N:N,"Shipped")</f>
        <v>0</v>
      </c>
      <c r="F74">
        <f>SUMIFS(allorders!$O:$O,allorders!$L:$L,$A74,allorders!$AG:$AG,"&lt;="&amp;日期!$B$11,allorders!$AG:$AG,"&gt;="&amp;日期!$B$12,allorders!N:N,"Shipped")</f>
        <v>1</v>
      </c>
      <c r="G74">
        <f>SUMIFS(allorders!Q:Q,allorders!L:L,A74,allorders!AG:AG,"&lt;="&amp;日期!$B$5,allorders!AG:AG,"&gt;="&amp;日期!$B$12,allorders!N:N,"Shipped")/SUM(C74:F74)</f>
        <v>11.745</v>
      </c>
      <c r="H74">
        <f>SUMIFS(allorders!Q:Q,allorders!L:L,A74,allorders!AG:AG,"&gt;="&amp;日期!$B$12,allorders!AG:AG,"&lt;="&amp;日期!$B$5,allorders!N:N,"Shipped")</f>
        <v>46.98</v>
      </c>
      <c r="I74">
        <f t="shared" si="1"/>
        <v>4</v>
      </c>
    </row>
    <row r="75" spans="1:9">
      <c r="A75" s="5" t="s">
        <v>1626</v>
      </c>
      <c r="B75" t="str">
        <f>VLOOKUP(A75,'[1]子SKU-父SKU'!$A:$B,2,0)</f>
        <v>LGQ-IUYL100</v>
      </c>
      <c r="C75">
        <f>SUMIFS(allorders!O:O,allorders!L:L,$A75,allorders!AG:AG,"&lt;="&amp;日期!$B$5,allorders!AG:AG,"&gt;="&amp;日期!$B$6,allorders!N:N,"Shipped")</f>
        <v>0</v>
      </c>
      <c r="D75">
        <f>SUMIFS(allorders!$O:$O,allorders!$L:$L,$A75,allorders!$AG:$AG,"&lt;="&amp;日期!$B$7,allorders!$AG:$AG,"&gt;="&amp;日期!$B$8,allorders!N:N,"Shipped")</f>
        <v>0</v>
      </c>
      <c r="E75">
        <f>SUMIFS(allorders!$O:$O,allorders!$L:$L,$A75,allorders!$AG:$AG,"&lt;="&amp;日期!$B$9,allorders!$AG:$AG,"&gt;="&amp;日期!$B$10,allorders!N:N,"Shipped")</f>
        <v>1</v>
      </c>
      <c r="F75">
        <f>SUMIFS(allorders!$O:$O,allorders!$L:$L,$A75,allorders!$AG:$AG,"&lt;="&amp;日期!$B$11,allorders!$AG:$AG,"&gt;="&amp;日期!$B$12,allorders!N:N,"Shipped")</f>
        <v>1</v>
      </c>
      <c r="G75">
        <f>SUMIFS(allorders!Q:Q,allorders!L:L,A75,allorders!AG:AG,"&lt;="&amp;日期!$B$5,allorders!AG:AG,"&gt;="&amp;日期!$B$12,allorders!N:N,"Shipped")/SUM(C75:F75)</f>
        <v>17.9</v>
      </c>
      <c r="H75">
        <f>SUMIFS(allorders!Q:Q,allorders!L:L,A75,allorders!AG:AG,"&gt;="&amp;日期!$B$12,allorders!AG:AG,"&lt;="&amp;日期!$B$5,allorders!N:N,"Shipped")</f>
        <v>35.8</v>
      </c>
      <c r="I75">
        <f t="shared" si="1"/>
        <v>2</v>
      </c>
    </row>
    <row r="76" spans="1:9">
      <c r="A76" s="5" t="s">
        <v>1662</v>
      </c>
      <c r="B76" t="str">
        <f>VLOOKUP(A76,'[1]子SKU-父SKU'!$A:$B,2,0)</f>
        <v>GW-LULHY</v>
      </c>
      <c r="C76">
        <f>SUMIFS(allorders!O:O,allorders!L:L,$A76,allorders!AG:AG,"&lt;="&amp;日期!$B$5,allorders!AG:AG,"&gt;="&amp;日期!$B$6,allorders!N:N,"Shipped")</f>
        <v>1</v>
      </c>
      <c r="D76">
        <f>SUMIFS(allorders!$O:$O,allorders!$L:$L,$A76,allorders!$AG:$AG,"&lt;="&amp;日期!$B$7,allorders!$AG:$AG,"&gt;="&amp;日期!$B$8,allorders!N:N,"Shipped")</f>
        <v>0</v>
      </c>
      <c r="E76">
        <f>SUMIFS(allorders!$O:$O,allorders!$L:$L,$A76,allorders!$AG:$AG,"&lt;="&amp;日期!$B$9,allorders!$AG:$AG,"&gt;="&amp;日期!$B$10,allorders!N:N,"Shipped")</f>
        <v>0</v>
      </c>
      <c r="F76">
        <f>SUMIFS(allorders!$O:$O,allorders!$L:$L,$A76,allorders!$AG:$AG,"&lt;="&amp;日期!$B$11,allorders!$AG:$AG,"&gt;="&amp;日期!$B$12,allorders!N:N,"Shipped")</f>
        <v>1</v>
      </c>
      <c r="G76">
        <f>SUMIFS(allorders!Q:Q,allorders!L:L,A76,allorders!AG:AG,"&lt;="&amp;日期!$B$5,allorders!AG:AG,"&gt;="&amp;日期!$B$12,allorders!N:N,"Shipped")/SUM(C76:F76)</f>
        <v>10.99</v>
      </c>
      <c r="H76">
        <f>SUMIFS(allorders!Q:Q,allorders!L:L,A76,allorders!AG:AG,"&gt;="&amp;日期!$B$12,allorders!AG:AG,"&lt;="&amp;日期!$B$5,allorders!N:N,"Shipped")</f>
        <v>21.98</v>
      </c>
      <c r="I76">
        <f t="shared" si="1"/>
        <v>2</v>
      </c>
    </row>
    <row r="77" spans="1:9">
      <c r="A77" s="5" t="s">
        <v>1757</v>
      </c>
      <c r="B77" t="str">
        <f>VLOOKUP(A77,'[1]子SKU-父SKU'!$A:$B,2,0)</f>
        <v>BBBD-BUSB1605</v>
      </c>
      <c r="C77">
        <f>SUMIFS(allorders!O:O,allorders!L:L,$A77,allorders!AG:AG,"&lt;="&amp;日期!$B$5,allorders!AG:AG,"&gt;="&amp;日期!$B$6,allorders!N:N,"Shipped")</f>
        <v>0</v>
      </c>
      <c r="D77">
        <f>SUMIFS(allorders!$O:$O,allorders!$L:$L,$A77,allorders!$AG:$AG,"&lt;="&amp;日期!$B$7,allorders!$AG:$AG,"&gt;="&amp;日期!$B$8,allorders!N:N,"Shipped")</f>
        <v>2</v>
      </c>
      <c r="E77">
        <f>SUMIFS(allorders!$O:$O,allorders!$L:$L,$A77,allorders!$AG:$AG,"&lt;="&amp;日期!$B$9,allorders!$AG:$AG,"&gt;="&amp;日期!$B$10,allorders!N:N,"Shipped")</f>
        <v>0</v>
      </c>
      <c r="F77">
        <f>SUMIFS(allorders!$O:$O,allorders!$L:$L,$A77,allorders!$AG:$AG,"&lt;="&amp;日期!$B$11,allorders!$AG:$AG,"&gt;="&amp;日期!$B$12,allorders!N:N,"Shipped")</f>
        <v>1</v>
      </c>
      <c r="G77">
        <f>SUMIFS(allorders!Q:Q,allorders!L:L,A77,allorders!AG:AG,"&lt;="&amp;日期!$B$5,allorders!AG:AG,"&gt;="&amp;日期!$B$12,allorders!N:N,"Shipped")/SUM(C77:F77)</f>
        <v>29.99</v>
      </c>
      <c r="H77">
        <f>SUMIFS(allorders!Q:Q,allorders!L:L,A77,allorders!AG:AG,"&gt;="&amp;日期!$B$12,allorders!AG:AG,"&lt;="&amp;日期!$B$5,allorders!N:N,"Shipped")</f>
        <v>89.97</v>
      </c>
      <c r="I77">
        <f t="shared" si="1"/>
        <v>3</v>
      </c>
    </row>
    <row r="78" spans="1:9">
      <c r="A78" s="5" t="s">
        <v>1764</v>
      </c>
      <c r="B78" t="str">
        <f>VLOOKUP(A78,'[1]子SKU-父SKU'!$A:$B,2,0)</f>
        <v>BBBD-BUSB1605</v>
      </c>
      <c r="C78">
        <f>SUMIFS(allorders!O:O,allorders!L:L,$A78,allorders!AG:AG,"&lt;="&amp;日期!$B$5,allorders!AG:AG,"&gt;="&amp;日期!$B$6,allorders!N:N,"Shipped")</f>
        <v>1</v>
      </c>
      <c r="D78">
        <f>SUMIFS(allorders!$O:$O,allorders!$L:$L,$A78,allorders!$AG:$AG,"&lt;="&amp;日期!$B$7,allorders!$AG:$AG,"&gt;="&amp;日期!$B$8,allorders!N:N,"Shipped")</f>
        <v>4</v>
      </c>
      <c r="E78">
        <f>SUMIFS(allorders!$O:$O,allorders!$L:$L,$A78,allorders!$AG:$AG,"&lt;="&amp;日期!$B$9,allorders!$AG:$AG,"&gt;="&amp;日期!$B$10,allorders!N:N,"Shipped")</f>
        <v>0</v>
      </c>
      <c r="F78">
        <f>SUMIFS(allorders!$O:$O,allorders!$L:$L,$A78,allorders!$AG:$AG,"&lt;="&amp;日期!$B$11,allorders!$AG:$AG,"&gt;="&amp;日期!$B$12,allorders!N:N,"Shipped")</f>
        <v>0</v>
      </c>
      <c r="G78">
        <f>SUMIFS(allorders!Q:Q,allorders!L:L,A78,allorders!AG:AG,"&lt;="&amp;日期!$B$5,allorders!AG:AG,"&gt;="&amp;日期!$B$12,allorders!N:N,"Shipped")/SUM(C78:F78)</f>
        <v>29.99</v>
      </c>
      <c r="H78">
        <f>SUMIFS(allorders!Q:Q,allorders!L:L,A78,allorders!AG:AG,"&gt;="&amp;日期!$B$12,allorders!AG:AG,"&lt;="&amp;日期!$B$5,allorders!N:N,"Shipped")</f>
        <v>149.95</v>
      </c>
      <c r="I78">
        <f t="shared" si="1"/>
        <v>5</v>
      </c>
    </row>
    <row r="79" spans="1:9">
      <c r="A79" s="5" t="s">
        <v>1897</v>
      </c>
      <c r="B79" t="str">
        <f>VLOOKUP(A79,'[1]子SKU-父SKU'!$A:$B,2,0)</f>
        <v>ST172</v>
      </c>
      <c r="C79">
        <f>SUMIFS(allorders!O:O,allorders!L:L,$A79,allorders!AG:AG,"&lt;="&amp;日期!$B$5,allorders!AG:AG,"&gt;="&amp;日期!$B$6,allorders!N:N,"Shipped")</f>
        <v>0</v>
      </c>
      <c r="D79">
        <f>SUMIFS(allorders!$O:$O,allorders!$L:$L,$A79,allorders!$AG:$AG,"&lt;="&amp;日期!$B$7,allorders!$AG:$AG,"&gt;="&amp;日期!$B$8,allorders!N:N,"Shipped")</f>
        <v>1</v>
      </c>
      <c r="E79">
        <f>SUMIFS(allorders!$O:$O,allorders!$L:$L,$A79,allorders!$AG:$AG,"&lt;="&amp;日期!$B$9,allorders!$AG:$AG,"&gt;="&amp;日期!$B$10,allorders!N:N,"Shipped")</f>
        <v>1</v>
      </c>
      <c r="F79">
        <f>SUMIFS(allorders!$O:$O,allorders!$L:$L,$A79,allorders!$AG:$AG,"&lt;="&amp;日期!$B$11,allorders!$AG:$AG,"&gt;="&amp;日期!$B$12,allorders!N:N,"Shipped")</f>
        <v>0</v>
      </c>
      <c r="G79">
        <f>SUMIFS(allorders!Q:Q,allorders!L:L,A79,allorders!AG:AG,"&lt;="&amp;日期!$B$5,allorders!AG:AG,"&gt;="&amp;日期!$B$12,allorders!N:N,"Shipped")/SUM(C79:F79)</f>
        <v>14.98</v>
      </c>
      <c r="H79">
        <f>SUMIFS(allorders!Q:Q,allorders!L:L,A79,allorders!AG:AG,"&gt;="&amp;日期!$B$12,allorders!AG:AG,"&lt;="&amp;日期!$B$5,allorders!N:N,"Shipped")</f>
        <v>29.96</v>
      </c>
      <c r="I79">
        <f t="shared" si="1"/>
        <v>2</v>
      </c>
    </row>
    <row r="80" spans="1:9">
      <c r="A80" s="5" t="s">
        <v>1919</v>
      </c>
      <c r="B80" t="str">
        <f>VLOOKUP(A80,'[1]子SKU-父SKU'!$A:$B,2,0)</f>
        <v>ST172</v>
      </c>
      <c r="C80">
        <f>SUMIFS(allorders!O:O,allorders!L:L,$A80,allorders!AG:AG,"&lt;="&amp;日期!$B$5,allorders!AG:AG,"&gt;="&amp;日期!$B$6,allorders!N:N,"Shipped")</f>
        <v>0</v>
      </c>
      <c r="D80">
        <f>SUMIFS(allorders!$O:$O,allorders!$L:$L,$A80,allorders!$AG:$AG,"&lt;="&amp;日期!$B$7,allorders!$AG:$AG,"&gt;="&amp;日期!$B$8,allorders!N:N,"Shipped")</f>
        <v>0</v>
      </c>
      <c r="E80">
        <f>SUMIFS(allorders!$O:$O,allorders!$L:$L,$A80,allorders!$AG:$AG,"&lt;="&amp;日期!$B$9,allorders!$AG:$AG,"&gt;="&amp;日期!$B$10,allorders!N:N,"Shipped")</f>
        <v>3</v>
      </c>
      <c r="F80">
        <f>SUMIFS(allorders!$O:$O,allorders!$L:$L,$A80,allorders!$AG:$AG,"&lt;="&amp;日期!$B$11,allorders!$AG:$AG,"&gt;="&amp;日期!$B$12,allorders!N:N,"Shipped")</f>
        <v>0</v>
      </c>
      <c r="G80">
        <f>SUMIFS(allorders!Q:Q,allorders!L:L,A80,allorders!AG:AG,"&lt;="&amp;日期!$B$5,allorders!AG:AG,"&gt;="&amp;日期!$B$12,allorders!N:N,"Shipped")/SUM(C80:F80)</f>
        <v>14.98</v>
      </c>
      <c r="H80">
        <f>SUMIFS(allorders!Q:Q,allorders!L:L,A80,allorders!AG:AG,"&gt;="&amp;日期!$B$12,allorders!AG:AG,"&lt;="&amp;日期!$B$5,allorders!N:N,"Shipped")</f>
        <v>44.94</v>
      </c>
      <c r="I80">
        <f t="shared" si="1"/>
        <v>3</v>
      </c>
    </row>
    <row r="81" spans="1:9">
      <c r="A81" s="5" t="s">
        <v>1958</v>
      </c>
      <c r="B81" t="str">
        <f>VLOOKUP(A81,'[1]子SKU-父SKU'!$A:$B,2,0)</f>
        <v>TZ-IUYL240</v>
      </c>
      <c r="C81">
        <f>SUMIFS(allorders!O:O,allorders!L:L,$A81,allorders!AG:AG,"&lt;="&amp;日期!$B$5,allorders!AG:AG,"&gt;="&amp;日期!$B$6,allorders!N:N,"Shipped")</f>
        <v>9</v>
      </c>
      <c r="D81">
        <f>SUMIFS(allorders!$O:$O,allorders!$L:$L,$A81,allorders!$AG:$AG,"&lt;="&amp;日期!$B$7,allorders!$AG:$AG,"&gt;="&amp;日期!$B$8,allorders!N:N,"Shipped")</f>
        <v>5</v>
      </c>
      <c r="E81">
        <f>SUMIFS(allorders!$O:$O,allorders!$L:$L,$A81,allorders!$AG:$AG,"&lt;="&amp;日期!$B$9,allorders!$AG:$AG,"&gt;="&amp;日期!$B$10,allorders!N:N,"Shipped")</f>
        <v>5</v>
      </c>
      <c r="F81">
        <f>SUMIFS(allorders!$O:$O,allorders!$L:$L,$A81,allorders!$AG:$AG,"&lt;="&amp;日期!$B$11,allorders!$AG:$AG,"&gt;="&amp;日期!$B$12,allorders!N:N,"Shipped")</f>
        <v>0</v>
      </c>
      <c r="G81">
        <f>SUMIFS(allorders!Q:Q,allorders!L:L,A81,allorders!AG:AG,"&lt;="&amp;日期!$B$5,allorders!AG:AG,"&gt;="&amp;日期!$B$12,allorders!N:N,"Shipped")/SUM(C81:F81)</f>
        <v>25.0952631578947</v>
      </c>
      <c r="H81">
        <f>SUMIFS(allorders!Q:Q,allorders!L:L,A81,allorders!AG:AG,"&gt;="&amp;日期!$B$12,allorders!AG:AG,"&lt;="&amp;日期!$B$5,allorders!N:N,"Shipped")</f>
        <v>476.81</v>
      </c>
      <c r="I81">
        <f t="shared" si="1"/>
        <v>19</v>
      </c>
    </row>
    <row r="82" spans="1:9">
      <c r="A82" s="5" t="s">
        <v>2000</v>
      </c>
      <c r="B82" t="str">
        <f>VLOOKUP(A82,'[1]子SKU-父SKU'!$A:$B,2,0)</f>
        <v>TZ-IUYL240</v>
      </c>
      <c r="C82">
        <f>SUMIFS(allorders!O:O,allorders!L:L,$A82,allorders!AG:AG,"&lt;="&amp;日期!$B$5,allorders!AG:AG,"&gt;="&amp;日期!$B$6,allorders!N:N,"Shipped")</f>
        <v>3</v>
      </c>
      <c r="D82">
        <f>SUMIFS(allorders!$O:$O,allorders!$L:$L,$A82,allorders!$AG:$AG,"&lt;="&amp;日期!$B$7,allorders!$AG:$AG,"&gt;="&amp;日期!$B$8,allorders!N:N,"Shipped")</f>
        <v>6</v>
      </c>
      <c r="E82">
        <f>SUMIFS(allorders!$O:$O,allorders!$L:$L,$A82,allorders!$AG:$AG,"&lt;="&amp;日期!$B$9,allorders!$AG:$AG,"&gt;="&amp;日期!$B$10,allorders!N:N,"Shipped")</f>
        <v>5</v>
      </c>
      <c r="F82">
        <f>SUMIFS(allorders!$O:$O,allorders!$L:$L,$A82,allorders!$AG:$AG,"&lt;="&amp;日期!$B$11,allorders!$AG:$AG,"&gt;="&amp;日期!$B$12,allorders!N:N,"Shipped")</f>
        <v>0</v>
      </c>
      <c r="G82">
        <f>SUMIFS(allorders!Q:Q,allorders!L:L,A82,allorders!AG:AG,"&lt;="&amp;日期!$B$5,allorders!AG:AG,"&gt;="&amp;日期!$B$12,allorders!N:N,"Shipped")/SUM(C82:F82)</f>
        <v>18.99</v>
      </c>
      <c r="H82">
        <f>SUMIFS(allorders!Q:Q,allorders!L:L,A82,allorders!AG:AG,"&gt;="&amp;日期!$B$12,allorders!AG:AG,"&lt;="&amp;日期!$B$5,allorders!N:N,"Shipped")</f>
        <v>265.86</v>
      </c>
      <c r="I82">
        <f t="shared" si="1"/>
        <v>14</v>
      </c>
    </row>
    <row r="83" spans="1:9">
      <c r="A83" s="5" t="s">
        <v>2067</v>
      </c>
      <c r="B83" t="str">
        <f>VLOOKUP(A83,'[1]子SKU-父SKU'!$A:$B,2,0)</f>
        <v>SCF-B01</v>
      </c>
      <c r="C83">
        <f>SUMIFS(allorders!O:O,allorders!L:L,$A83,allorders!AG:AG,"&lt;="&amp;日期!$B$5,allorders!AG:AG,"&gt;="&amp;日期!$B$6,allorders!N:N,"Shipped")</f>
        <v>0</v>
      </c>
      <c r="D83">
        <f>SUMIFS(allorders!$O:$O,allorders!$L:$L,$A83,allorders!$AG:$AG,"&lt;="&amp;日期!$B$7,allorders!$AG:$AG,"&gt;="&amp;日期!$B$8,allorders!N:N,"Shipped")</f>
        <v>0</v>
      </c>
      <c r="E83">
        <f>SUMIFS(allorders!$O:$O,allorders!$L:$L,$A83,allorders!$AG:$AG,"&lt;="&amp;日期!$B$9,allorders!$AG:$AG,"&gt;="&amp;日期!$B$10,allorders!N:N,"Shipped")</f>
        <v>2</v>
      </c>
      <c r="F83">
        <f>SUMIFS(allorders!$O:$O,allorders!$L:$L,$A83,allorders!$AG:$AG,"&lt;="&amp;日期!$B$11,allorders!$AG:$AG,"&gt;="&amp;日期!$B$12,allorders!N:N,"Shipped")</f>
        <v>0</v>
      </c>
      <c r="G83">
        <f>SUMIFS(allorders!Q:Q,allorders!L:L,A83,allorders!AG:AG,"&lt;="&amp;日期!$B$5,allorders!AG:AG,"&gt;="&amp;日期!$B$12,allorders!N:N,"Shipped")/SUM(C83:F83)</f>
        <v>20</v>
      </c>
      <c r="H83">
        <f>SUMIFS(allorders!Q:Q,allorders!L:L,A83,allorders!AG:AG,"&gt;="&amp;日期!$B$12,allorders!AG:AG,"&lt;="&amp;日期!$B$5,allorders!N:N,"Shipped")</f>
        <v>40</v>
      </c>
      <c r="I83">
        <f t="shared" si="1"/>
        <v>2</v>
      </c>
    </row>
    <row r="84" spans="1:9">
      <c r="A84" s="5" t="s">
        <v>2099</v>
      </c>
      <c r="B84" t="str">
        <f>VLOOKUP(A84,'[1]子SKU-父SKU'!$A:$B,2,0)</f>
        <v>TZ-IUYL240</v>
      </c>
      <c r="C84">
        <f>SUMIFS(allorders!O:O,allorders!L:L,$A84,allorders!AG:AG,"&lt;="&amp;日期!$B$5,allorders!AG:AG,"&gt;="&amp;日期!$B$6,allorders!N:N,"Shipped")</f>
        <v>9</v>
      </c>
      <c r="D84">
        <f>SUMIFS(allorders!$O:$O,allorders!$L:$L,$A84,allorders!$AG:$AG,"&lt;="&amp;日期!$B$7,allorders!$AG:$AG,"&gt;="&amp;日期!$B$8,allorders!N:N,"Shipped")</f>
        <v>4</v>
      </c>
      <c r="E84">
        <f>SUMIFS(allorders!$O:$O,allorders!$L:$L,$A84,allorders!$AG:$AG,"&lt;="&amp;日期!$B$9,allorders!$AG:$AG,"&gt;="&amp;日期!$B$10,allorders!N:N,"Shipped")</f>
        <v>11</v>
      </c>
      <c r="F84">
        <f>SUMIFS(allorders!$O:$O,allorders!$L:$L,$A84,allorders!$AG:$AG,"&lt;="&amp;日期!$B$11,allorders!$AG:$AG,"&gt;="&amp;日期!$B$12,allorders!N:N,"Shipped")</f>
        <v>0</v>
      </c>
      <c r="G84">
        <f>SUMIFS(allorders!Q:Q,allorders!L:L,A84,allorders!AG:AG,"&lt;="&amp;日期!$B$5,allorders!AG:AG,"&gt;="&amp;日期!$B$12,allorders!N:N,"Shipped")/SUM(C84:F84)</f>
        <v>25.0733333333333</v>
      </c>
      <c r="H84">
        <f>SUMIFS(allorders!Q:Q,allorders!L:L,A84,allorders!AG:AG,"&gt;="&amp;日期!$B$12,allorders!AG:AG,"&lt;="&amp;日期!$B$5,allorders!N:N,"Shipped")</f>
        <v>601.76</v>
      </c>
      <c r="I84">
        <f t="shared" si="1"/>
        <v>24</v>
      </c>
    </row>
    <row r="85" spans="1:9">
      <c r="A85" s="5" t="s">
        <v>2115</v>
      </c>
      <c r="B85" t="str">
        <f>VLOOKUP(A85,'[1]子SKU-父SKU'!$A:$B,2,0)</f>
        <v>SCF-B01</v>
      </c>
      <c r="C85">
        <f>SUMIFS(allorders!O:O,allorders!L:L,$A85,allorders!AG:AG,"&lt;="&amp;日期!$B$5,allorders!AG:AG,"&gt;="&amp;日期!$B$6,allorders!N:N,"Shipped")</f>
        <v>0</v>
      </c>
      <c r="D85">
        <f>SUMIFS(allorders!$O:$O,allorders!$L:$L,$A85,allorders!$AG:$AG,"&lt;="&amp;日期!$B$7,allorders!$AG:$AG,"&gt;="&amp;日期!$B$8,allorders!N:N,"Shipped")</f>
        <v>0</v>
      </c>
      <c r="E85">
        <f>SUMIFS(allorders!$O:$O,allorders!$L:$L,$A85,allorders!$AG:$AG,"&lt;="&amp;日期!$B$9,allorders!$AG:$AG,"&gt;="&amp;日期!$B$10,allorders!N:N,"Shipped")</f>
        <v>1</v>
      </c>
      <c r="F85">
        <f>SUMIFS(allorders!$O:$O,allorders!$L:$L,$A85,allorders!$AG:$AG,"&lt;="&amp;日期!$B$11,allorders!$AG:$AG,"&gt;="&amp;日期!$B$12,allorders!N:N,"Shipped")</f>
        <v>0</v>
      </c>
      <c r="G85">
        <f>SUMIFS(allorders!Q:Q,allorders!L:L,A85,allorders!AG:AG,"&lt;="&amp;日期!$B$5,allorders!AG:AG,"&gt;="&amp;日期!$B$12,allorders!N:N,"Shipped")/SUM(C85:F85)</f>
        <v>20</v>
      </c>
      <c r="H85">
        <f>SUMIFS(allorders!Q:Q,allorders!L:L,A85,allorders!AG:AG,"&gt;="&amp;日期!$B$12,allorders!AG:AG,"&lt;="&amp;日期!$B$5,allorders!N:N,"Shipped")</f>
        <v>20</v>
      </c>
      <c r="I85">
        <f t="shared" si="1"/>
        <v>1</v>
      </c>
    </row>
    <row r="86" spans="1:9">
      <c r="A86" s="5" t="s">
        <v>2117</v>
      </c>
      <c r="B86" t="str">
        <f>VLOOKUP(A86,'[1]子SKU-父SKU'!$A:$B,2,0)</f>
        <v>SCF-B01</v>
      </c>
      <c r="C86">
        <f>SUMIFS(allorders!O:O,allorders!L:L,$A86,allorders!AG:AG,"&lt;="&amp;日期!$B$5,allorders!AG:AG,"&gt;="&amp;日期!$B$6,allorders!N:N,"Shipped")</f>
        <v>0</v>
      </c>
      <c r="D86">
        <f>SUMIFS(allorders!$O:$O,allorders!$L:$L,$A86,allorders!$AG:$AG,"&lt;="&amp;日期!$B$7,allorders!$AG:$AG,"&gt;="&amp;日期!$B$8,allorders!N:N,"Shipped")</f>
        <v>0</v>
      </c>
      <c r="E86">
        <f>SUMIFS(allorders!$O:$O,allorders!$L:$L,$A86,allorders!$AG:$AG,"&lt;="&amp;日期!$B$9,allorders!$AG:$AG,"&gt;="&amp;日期!$B$10,allorders!N:N,"Shipped")</f>
        <v>1</v>
      </c>
      <c r="F86">
        <f>SUMIFS(allorders!$O:$O,allorders!$L:$L,$A86,allorders!$AG:$AG,"&lt;="&amp;日期!$B$11,allorders!$AG:$AG,"&gt;="&amp;日期!$B$12,allorders!N:N,"Shipped")</f>
        <v>0</v>
      </c>
      <c r="G86">
        <f>SUMIFS(allorders!Q:Q,allorders!L:L,A86,allorders!AG:AG,"&lt;="&amp;日期!$B$5,allorders!AG:AG,"&gt;="&amp;日期!$B$12,allorders!N:N,"Shipped")/SUM(C86:F86)</f>
        <v>20</v>
      </c>
      <c r="H86">
        <f>SUMIFS(allorders!Q:Q,allorders!L:L,A86,allorders!AG:AG,"&gt;="&amp;日期!$B$12,allorders!AG:AG,"&lt;="&amp;日期!$B$5,allorders!N:N,"Shipped")</f>
        <v>20</v>
      </c>
      <c r="I86">
        <f t="shared" si="1"/>
        <v>1</v>
      </c>
    </row>
    <row r="87" spans="1:9">
      <c r="A87" s="5" t="s">
        <v>2153</v>
      </c>
      <c r="B87" t="str">
        <f>VLOOKUP(A87,'[1]子SKU-父SKU'!$A:$B,2,0)</f>
        <v>WF7125</v>
      </c>
      <c r="C87">
        <f>SUMIFS(allorders!O:O,allorders!L:L,$A87,allorders!AG:AG,"&lt;="&amp;日期!$B$5,allorders!AG:AG,"&gt;="&amp;日期!$B$6,allorders!N:N,"Shipped")</f>
        <v>0</v>
      </c>
      <c r="D87">
        <f>SUMIFS(allorders!$O:$O,allorders!$L:$L,$A87,allorders!$AG:$AG,"&lt;="&amp;日期!$B$7,allorders!$AG:$AG,"&gt;="&amp;日期!$B$8,allorders!N:N,"Shipped")</f>
        <v>0</v>
      </c>
      <c r="E87">
        <f>SUMIFS(allorders!$O:$O,allorders!$L:$L,$A87,allorders!$AG:$AG,"&lt;="&amp;日期!$B$9,allorders!$AG:$AG,"&gt;="&amp;日期!$B$10,allorders!N:N,"Shipped")</f>
        <v>1</v>
      </c>
      <c r="F87">
        <f>SUMIFS(allorders!$O:$O,allorders!$L:$L,$A87,allorders!$AG:$AG,"&lt;="&amp;日期!$B$11,allorders!$AG:$AG,"&gt;="&amp;日期!$B$12,allorders!N:N,"Shipped")</f>
        <v>0</v>
      </c>
      <c r="G87">
        <f>SUMIFS(allorders!Q:Q,allorders!L:L,A87,allorders!AG:AG,"&lt;="&amp;日期!$B$5,allorders!AG:AG,"&gt;="&amp;日期!$B$12,allorders!N:N,"Shipped")/SUM(C87:F87)</f>
        <v>12</v>
      </c>
      <c r="H87">
        <f>SUMIFS(allorders!Q:Q,allorders!L:L,A87,allorders!AG:AG,"&gt;="&amp;日期!$B$12,allorders!AG:AG,"&lt;="&amp;日期!$B$5,allorders!N:N,"Shipped")</f>
        <v>12</v>
      </c>
      <c r="I87">
        <f t="shared" si="1"/>
        <v>1</v>
      </c>
    </row>
    <row r="88" spans="1:9">
      <c r="A88" s="5" t="s">
        <v>2198</v>
      </c>
      <c r="B88" t="str">
        <f>VLOOKUP(A88,'[1]子SKU-父SKU'!$A:$B,2,0)</f>
        <v>TZ-IUYL240</v>
      </c>
      <c r="C88">
        <f>SUMIFS(allorders!O:O,allorders!L:L,$A88,allorders!AG:AG,"&lt;="&amp;日期!$B$5,allorders!AG:AG,"&gt;="&amp;日期!$B$6,allorders!N:N,"Shipped")</f>
        <v>4</v>
      </c>
      <c r="D88">
        <f>SUMIFS(allorders!$O:$O,allorders!$L:$L,$A88,allorders!$AG:$AG,"&lt;="&amp;日期!$B$7,allorders!$AG:$AG,"&gt;="&amp;日期!$B$8,allorders!N:N,"Shipped")</f>
        <v>3</v>
      </c>
      <c r="E88">
        <f>SUMIFS(allorders!$O:$O,allorders!$L:$L,$A88,allorders!$AG:$AG,"&lt;="&amp;日期!$B$9,allorders!$AG:$AG,"&gt;="&amp;日期!$B$10,allorders!N:N,"Shipped")</f>
        <v>4</v>
      </c>
      <c r="F88">
        <f>SUMIFS(allorders!$O:$O,allorders!$L:$L,$A88,allorders!$AG:$AG,"&lt;="&amp;日期!$B$11,allorders!$AG:$AG,"&gt;="&amp;日期!$B$12,allorders!N:N,"Shipped")</f>
        <v>0</v>
      </c>
      <c r="G88">
        <f>SUMIFS(allorders!Q:Q,allorders!L:L,A88,allorders!AG:AG,"&lt;="&amp;日期!$B$5,allorders!AG:AG,"&gt;="&amp;日期!$B$12,allorders!N:N,"Shipped")/SUM(C88:F88)</f>
        <v>25.0809090909091</v>
      </c>
      <c r="H88">
        <f>SUMIFS(allorders!Q:Q,allorders!L:L,A88,allorders!AG:AG,"&gt;="&amp;日期!$B$12,allorders!AG:AG,"&lt;="&amp;日期!$B$5,allorders!N:N,"Shipped")</f>
        <v>275.89</v>
      </c>
      <c r="I88">
        <f t="shared" si="1"/>
        <v>11</v>
      </c>
    </row>
    <row r="89" spans="1:9">
      <c r="A89" s="5" t="s">
        <v>2223</v>
      </c>
      <c r="B89" t="str">
        <f>VLOOKUP(A89,'[1]子SKU-父SKU'!$A:$B,2,0)</f>
        <v>BBBD-1605A</v>
      </c>
      <c r="C89">
        <f>SUMIFS(allorders!O:O,allorders!L:L,$A89,allorders!AG:AG,"&lt;="&amp;日期!$B$5,allorders!AG:AG,"&gt;="&amp;日期!$B$6,allorders!N:N,"Shipped")</f>
        <v>1</v>
      </c>
      <c r="D89">
        <f>SUMIFS(allorders!$O:$O,allorders!$L:$L,$A89,allorders!$AG:$AG,"&lt;="&amp;日期!$B$7,allorders!$AG:$AG,"&gt;="&amp;日期!$B$8,allorders!N:N,"Shipped")</f>
        <v>0</v>
      </c>
      <c r="E89">
        <f>SUMIFS(allorders!$O:$O,allorders!$L:$L,$A89,allorders!$AG:$AG,"&lt;="&amp;日期!$B$9,allorders!$AG:$AG,"&gt;="&amp;日期!$B$10,allorders!N:N,"Shipped")</f>
        <v>2</v>
      </c>
      <c r="F89">
        <f>SUMIFS(allorders!$O:$O,allorders!$L:$L,$A89,allorders!$AG:$AG,"&lt;="&amp;日期!$B$11,allorders!$AG:$AG,"&gt;="&amp;日期!$B$12,allorders!N:N,"Shipped")</f>
        <v>0</v>
      </c>
      <c r="G89">
        <f>SUMIFS(allorders!Q:Q,allorders!L:L,A89,allorders!AG:AG,"&lt;="&amp;日期!$B$5,allorders!AG:AG,"&gt;="&amp;日期!$B$12,allorders!N:N,"Shipped")/SUM(C89:F89)</f>
        <v>29.99</v>
      </c>
      <c r="H89">
        <f>SUMIFS(allorders!Q:Q,allorders!L:L,A89,allorders!AG:AG,"&gt;="&amp;日期!$B$12,allorders!AG:AG,"&lt;="&amp;日期!$B$5,allorders!N:N,"Shipped")</f>
        <v>89.97</v>
      </c>
      <c r="I89">
        <f t="shared" si="1"/>
        <v>3</v>
      </c>
    </row>
    <row r="90" spans="1:9">
      <c r="A90" s="5" t="s">
        <v>2248</v>
      </c>
      <c r="B90" t="str">
        <f>VLOOKUP(A90,'[1]子SKU-父SKU'!$A:$B,2,0)</f>
        <v>XQ-IUYL260</v>
      </c>
      <c r="C90">
        <f>SUMIFS(allorders!O:O,allorders!L:L,$A90,allorders!AG:AG,"&lt;="&amp;日期!$B$5,allorders!AG:AG,"&gt;="&amp;日期!$B$6,allorders!N:N,"Shipped")</f>
        <v>0</v>
      </c>
      <c r="D90">
        <f>SUMIFS(allorders!$O:$O,allorders!$L:$L,$A90,allorders!$AG:$AG,"&lt;="&amp;日期!$B$7,allorders!$AG:$AG,"&gt;="&amp;日期!$B$8,allorders!N:N,"Shipped")</f>
        <v>0</v>
      </c>
      <c r="E90">
        <f>SUMIFS(allorders!$O:$O,allorders!$L:$L,$A90,allorders!$AG:$AG,"&lt;="&amp;日期!$B$9,allorders!$AG:$AG,"&gt;="&amp;日期!$B$10,allorders!N:N,"Shipped")</f>
        <v>1</v>
      </c>
      <c r="F90">
        <f>SUMIFS(allorders!$O:$O,allorders!$L:$L,$A90,allorders!$AG:$AG,"&lt;="&amp;日期!$B$11,allorders!$AG:$AG,"&gt;="&amp;日期!$B$12,allorders!N:N,"Shipped")</f>
        <v>0</v>
      </c>
      <c r="G90">
        <f>SUMIFS(allorders!Q:Q,allorders!L:L,A90,allorders!AG:AG,"&lt;="&amp;日期!$B$5,allorders!AG:AG,"&gt;="&amp;日期!$B$12,allorders!N:N,"Shipped")/SUM(C90:F90)</f>
        <v>9.9</v>
      </c>
      <c r="H90">
        <f>SUMIFS(allorders!Q:Q,allorders!L:L,A90,allorders!AG:AG,"&gt;="&amp;日期!$B$12,allorders!AG:AG,"&lt;="&amp;日期!$B$5,allorders!N:N,"Shipped")</f>
        <v>9.9</v>
      </c>
      <c r="I90">
        <f t="shared" si="1"/>
        <v>1</v>
      </c>
    </row>
    <row r="91" spans="1:9">
      <c r="A91" s="5" t="s">
        <v>2278</v>
      </c>
      <c r="B91" t="str">
        <f>VLOOKUP(A91,'[1]子SKU-父SKU'!$A:$B,2,0)</f>
        <v>LGQ-IUYL100</v>
      </c>
      <c r="C91">
        <f>SUMIFS(allorders!O:O,allorders!L:L,$A91,allorders!AG:AG,"&lt;="&amp;日期!$B$5,allorders!AG:AG,"&gt;="&amp;日期!$B$6,allorders!N:N,"Shipped")</f>
        <v>0</v>
      </c>
      <c r="D91">
        <f>SUMIFS(allorders!$O:$O,allorders!$L:$L,$A91,allorders!$AG:$AG,"&lt;="&amp;日期!$B$7,allorders!$AG:$AG,"&gt;="&amp;日期!$B$8,allorders!N:N,"Shipped")</f>
        <v>0</v>
      </c>
      <c r="E91">
        <f>SUMIFS(allorders!$O:$O,allorders!$L:$L,$A91,allorders!$AG:$AG,"&lt;="&amp;日期!$B$9,allorders!$AG:$AG,"&gt;="&amp;日期!$B$10,allorders!N:N,"Shipped")</f>
        <v>1</v>
      </c>
      <c r="F91">
        <f>SUMIFS(allorders!$O:$O,allorders!$L:$L,$A91,allorders!$AG:$AG,"&lt;="&amp;日期!$B$11,allorders!$AG:$AG,"&gt;="&amp;日期!$B$12,allorders!N:N,"Shipped")</f>
        <v>0</v>
      </c>
      <c r="G91">
        <f>SUMIFS(allorders!Q:Q,allorders!L:L,A91,allorders!AG:AG,"&lt;="&amp;日期!$B$5,allorders!AG:AG,"&gt;="&amp;日期!$B$12,allorders!N:N,"Shipped")/SUM(C91:F91)</f>
        <v>17.9</v>
      </c>
      <c r="H91">
        <f>SUMIFS(allorders!Q:Q,allorders!L:L,A91,allorders!AG:AG,"&gt;="&amp;日期!$B$12,allorders!AG:AG,"&lt;="&amp;日期!$B$5,allorders!N:N,"Shipped")</f>
        <v>17.9</v>
      </c>
      <c r="I91">
        <f t="shared" si="1"/>
        <v>1</v>
      </c>
    </row>
    <row r="92" spans="1:9">
      <c r="A92" s="5" t="s">
        <v>2316</v>
      </c>
      <c r="B92" t="str">
        <f>VLOOKUP(A92,'[1]子SKU-父SKU'!$A:$B,2,0)</f>
        <v>GW-LULHY</v>
      </c>
      <c r="C92">
        <f>SUMIFS(allorders!O:O,allorders!L:L,$A92,allorders!AG:AG,"&lt;="&amp;日期!$B$5,allorders!AG:AG,"&gt;="&amp;日期!$B$6,allorders!N:N,"Shipped")</f>
        <v>1</v>
      </c>
      <c r="D92">
        <f>SUMIFS(allorders!$O:$O,allorders!$L:$L,$A92,allorders!$AG:$AG,"&lt;="&amp;日期!$B$7,allorders!$AG:$AG,"&gt;="&amp;日期!$B$8,allorders!N:N,"Shipped")</f>
        <v>0</v>
      </c>
      <c r="E92">
        <f>SUMIFS(allorders!$O:$O,allorders!$L:$L,$A92,allorders!$AG:$AG,"&lt;="&amp;日期!$B$9,allorders!$AG:$AG,"&gt;="&amp;日期!$B$10,allorders!N:N,"Shipped")</f>
        <v>1</v>
      </c>
      <c r="F92">
        <f>SUMIFS(allorders!$O:$O,allorders!$L:$L,$A92,allorders!$AG:$AG,"&lt;="&amp;日期!$B$11,allorders!$AG:$AG,"&gt;="&amp;日期!$B$12,allorders!N:N,"Shipped")</f>
        <v>0</v>
      </c>
      <c r="G92">
        <f>SUMIFS(allorders!Q:Q,allorders!L:L,A92,allorders!AG:AG,"&lt;="&amp;日期!$B$5,allorders!AG:AG,"&gt;="&amp;日期!$B$12,allorders!N:N,"Shipped")/SUM(C92:F92)</f>
        <v>10.99</v>
      </c>
      <c r="H92">
        <f>SUMIFS(allorders!Q:Q,allorders!L:L,A92,allorders!AG:AG,"&gt;="&amp;日期!$B$12,allorders!AG:AG,"&lt;="&amp;日期!$B$5,allorders!N:N,"Shipped")</f>
        <v>21.98</v>
      </c>
      <c r="I92">
        <f t="shared" si="1"/>
        <v>2</v>
      </c>
    </row>
    <row r="93" spans="1:9">
      <c r="A93" s="5" t="s">
        <v>2345</v>
      </c>
      <c r="B93" t="str">
        <f>VLOOKUP(A93,'[1]子SKU-父SKU'!$A:$B,2,0)</f>
        <v>TZ-IUYL240</v>
      </c>
      <c r="C93">
        <f>SUMIFS(allorders!O:O,allorders!L:L,$A93,allorders!AG:AG,"&lt;="&amp;日期!$B$5,allorders!AG:AG,"&gt;="&amp;日期!$B$6,allorders!N:N,"Shipped")</f>
        <v>3</v>
      </c>
      <c r="D93">
        <f>SUMIFS(allorders!$O:$O,allorders!$L:$L,$A93,allorders!$AG:$AG,"&lt;="&amp;日期!$B$7,allorders!$AG:$AG,"&gt;="&amp;日期!$B$8,allorders!N:N,"Shipped")</f>
        <v>1</v>
      </c>
      <c r="E93">
        <f>SUMIFS(allorders!$O:$O,allorders!$L:$L,$A93,allorders!$AG:$AG,"&lt;="&amp;日期!$B$9,allorders!$AG:$AG,"&gt;="&amp;日期!$B$10,allorders!N:N,"Shipped")</f>
        <v>2</v>
      </c>
      <c r="F93">
        <f>SUMIFS(allorders!$O:$O,allorders!$L:$L,$A93,allorders!$AG:$AG,"&lt;="&amp;日期!$B$11,allorders!$AG:$AG,"&gt;="&amp;日期!$B$12,allorders!N:N,"Shipped")</f>
        <v>0</v>
      </c>
      <c r="G93">
        <f>SUMIFS(allorders!Q:Q,allorders!L:L,A93,allorders!AG:AG,"&lt;="&amp;日期!$B$5,allorders!AG:AG,"&gt;="&amp;日期!$B$12,allorders!N:N,"Shipped")/SUM(C93:F93)</f>
        <v>13.99</v>
      </c>
      <c r="H93">
        <f>SUMIFS(allorders!Q:Q,allorders!L:L,A93,allorders!AG:AG,"&gt;="&amp;日期!$B$12,allorders!AG:AG,"&lt;="&amp;日期!$B$5,allorders!N:N,"Shipped")</f>
        <v>83.94</v>
      </c>
      <c r="I93">
        <f t="shared" si="1"/>
        <v>6</v>
      </c>
    </row>
    <row r="94" spans="1:9">
      <c r="A94" s="5" t="s">
        <v>2565</v>
      </c>
      <c r="B94" t="str">
        <f>VLOOKUP(A94,'[1]子SKU-父SKU'!$A:$B,2,0)</f>
        <v>ST172</v>
      </c>
      <c r="C94">
        <f>SUMIFS(allorders!O:O,allorders!L:L,$A94,allorders!AG:AG,"&lt;="&amp;日期!$B$5,allorders!AG:AG,"&gt;="&amp;日期!$B$6,allorders!N:N,"Shipped")</f>
        <v>0</v>
      </c>
      <c r="D94">
        <f>SUMIFS(allorders!$O:$O,allorders!$L:$L,$A94,allorders!$AG:$AG,"&lt;="&amp;日期!$B$7,allorders!$AG:$AG,"&gt;="&amp;日期!$B$8,allorders!N:N,"Shipped")</f>
        <v>0</v>
      </c>
      <c r="E94">
        <f>SUMIFS(allorders!$O:$O,allorders!$L:$L,$A94,allorders!$AG:$AG,"&lt;="&amp;日期!$B$9,allorders!$AG:$AG,"&gt;="&amp;日期!$B$10,allorders!N:N,"Shipped")</f>
        <v>1</v>
      </c>
      <c r="F94">
        <f>SUMIFS(allorders!$O:$O,allorders!$L:$L,$A94,allorders!$AG:$AG,"&lt;="&amp;日期!$B$11,allorders!$AG:$AG,"&gt;="&amp;日期!$B$12,allorders!N:N,"Shipped")</f>
        <v>0</v>
      </c>
      <c r="G94">
        <f>SUMIFS(allorders!Q:Q,allorders!L:L,A94,allorders!AG:AG,"&lt;="&amp;日期!$B$5,allorders!AG:AG,"&gt;="&amp;日期!$B$12,allorders!N:N,"Shipped")/SUM(C94:F94)</f>
        <v>14.98</v>
      </c>
      <c r="H94">
        <f>SUMIFS(allorders!Q:Q,allorders!L:L,A94,allorders!AG:AG,"&gt;="&amp;日期!$B$12,allorders!AG:AG,"&lt;="&amp;日期!$B$5,allorders!N:N,"Shipped")</f>
        <v>14.98</v>
      </c>
      <c r="I94">
        <f t="shared" si="1"/>
        <v>1</v>
      </c>
    </row>
    <row r="95" spans="1:9">
      <c r="A95" s="5" t="s">
        <v>2569</v>
      </c>
      <c r="B95" t="str">
        <f>VLOOKUP(A95,'[1]子SKU-父SKU'!$A:$B,2,0)</f>
        <v>ST172</v>
      </c>
      <c r="C95">
        <f>SUMIFS(allorders!O:O,allorders!L:L,$A95,allorders!AG:AG,"&lt;="&amp;日期!$B$5,allorders!AG:AG,"&gt;="&amp;日期!$B$6,allorders!N:N,"Shipped")</f>
        <v>0</v>
      </c>
      <c r="D95">
        <f>SUMIFS(allorders!$O:$O,allorders!$L:$L,$A95,allorders!$AG:$AG,"&lt;="&amp;日期!$B$7,allorders!$AG:$AG,"&gt;="&amp;日期!$B$8,allorders!N:N,"Shipped")</f>
        <v>0</v>
      </c>
      <c r="E95">
        <f>SUMIFS(allorders!$O:$O,allorders!$L:$L,$A95,allorders!$AG:$AG,"&lt;="&amp;日期!$B$9,allorders!$AG:$AG,"&gt;="&amp;日期!$B$10,allorders!N:N,"Shipped")</f>
        <v>1</v>
      </c>
      <c r="F95">
        <f>SUMIFS(allorders!$O:$O,allorders!$L:$L,$A95,allorders!$AG:$AG,"&lt;="&amp;日期!$B$11,allorders!$AG:$AG,"&gt;="&amp;日期!$B$12,allorders!N:N,"Shipped")</f>
        <v>0</v>
      </c>
      <c r="G95">
        <f>SUMIFS(allorders!Q:Q,allorders!L:L,A95,allorders!AG:AG,"&lt;="&amp;日期!$B$5,allorders!AG:AG,"&gt;="&amp;日期!$B$12,allorders!N:N,"Shipped")/SUM(C95:F95)</f>
        <v>10</v>
      </c>
      <c r="H95">
        <f>SUMIFS(allorders!Q:Q,allorders!L:L,A95,allorders!AG:AG,"&gt;="&amp;日期!$B$12,allorders!AG:AG,"&lt;="&amp;日期!$B$5,allorders!N:N,"Shipped")</f>
        <v>10</v>
      </c>
      <c r="I95">
        <f t="shared" si="1"/>
        <v>1</v>
      </c>
    </row>
    <row r="96" spans="1:9">
      <c r="A96" s="5" t="s">
        <v>2578</v>
      </c>
      <c r="B96" t="str">
        <f>VLOOKUP(A96,'[1]子SKU-父SKU'!$A:$B,2,0)</f>
        <v>TZ-IUYL240</v>
      </c>
      <c r="C96">
        <f>SUMIFS(allorders!O:O,allorders!L:L,$A96,allorders!AG:AG,"&lt;="&amp;日期!$B$5,allorders!AG:AG,"&gt;="&amp;日期!$B$6,allorders!N:N,"Shipped")</f>
        <v>3</v>
      </c>
      <c r="D96">
        <f>SUMIFS(allorders!$O:$O,allorders!$L:$L,$A96,allorders!$AG:$AG,"&lt;="&amp;日期!$B$7,allorders!$AG:$AG,"&gt;="&amp;日期!$B$8,allorders!N:N,"Shipped")</f>
        <v>6</v>
      </c>
      <c r="E96">
        <f>SUMIFS(allorders!$O:$O,allorders!$L:$L,$A96,allorders!$AG:$AG,"&lt;="&amp;日期!$B$9,allorders!$AG:$AG,"&gt;="&amp;日期!$B$10,allorders!N:N,"Shipped")</f>
        <v>2</v>
      </c>
      <c r="F96">
        <f>SUMIFS(allorders!$O:$O,allorders!$L:$L,$A96,allorders!$AG:$AG,"&lt;="&amp;日期!$B$11,allorders!$AG:$AG,"&gt;="&amp;日期!$B$12,allorders!N:N,"Shipped")</f>
        <v>0</v>
      </c>
      <c r="G96">
        <f>SUMIFS(allorders!Q:Q,allorders!L:L,A96,allorders!AG:AG,"&lt;="&amp;日期!$B$5,allorders!AG:AG,"&gt;="&amp;日期!$B$12,allorders!N:N,"Shipped")/SUM(C96:F96)</f>
        <v>23.99</v>
      </c>
      <c r="H96">
        <f>SUMIFS(allorders!Q:Q,allorders!L:L,A96,allorders!AG:AG,"&gt;="&amp;日期!$B$12,allorders!AG:AG,"&lt;="&amp;日期!$B$5,allorders!N:N,"Shipped")</f>
        <v>263.89</v>
      </c>
      <c r="I96">
        <f t="shared" si="1"/>
        <v>11</v>
      </c>
    </row>
    <row r="97" spans="1:9">
      <c r="A97" s="5" t="s">
        <v>2589</v>
      </c>
      <c r="B97" t="str">
        <f>VLOOKUP(A97,'[1]子SKU-父SKU'!$A:$B,2,0)</f>
        <v>GW-LULHY</v>
      </c>
      <c r="C97">
        <f>SUMIFS(allorders!O:O,allorders!L:L,$A97,allorders!AG:AG,"&lt;="&amp;日期!$B$5,allorders!AG:AG,"&gt;="&amp;日期!$B$6,allorders!N:N,"Shipped")</f>
        <v>0</v>
      </c>
      <c r="D97">
        <f>SUMIFS(allorders!$O:$O,allorders!$L:$L,$A97,allorders!$AG:$AG,"&lt;="&amp;日期!$B$7,allorders!$AG:$AG,"&gt;="&amp;日期!$B$8,allorders!N:N,"Shipped")</f>
        <v>0</v>
      </c>
      <c r="E97">
        <f>SUMIFS(allorders!$O:$O,allorders!$L:$L,$A97,allorders!$AG:$AG,"&lt;="&amp;日期!$B$9,allorders!$AG:$AG,"&gt;="&amp;日期!$B$10,allorders!N:N,"Shipped")</f>
        <v>1</v>
      </c>
      <c r="F97">
        <f>SUMIFS(allorders!$O:$O,allorders!$L:$L,$A97,allorders!$AG:$AG,"&lt;="&amp;日期!$B$11,allorders!$AG:$AG,"&gt;="&amp;日期!$B$12,allorders!N:N,"Shipped")</f>
        <v>0</v>
      </c>
      <c r="G97">
        <f>SUMIFS(allorders!Q:Q,allorders!L:L,A97,allorders!AG:AG,"&lt;="&amp;日期!$B$5,allorders!AG:AG,"&gt;="&amp;日期!$B$12,allorders!N:N,"Shipped")/SUM(C97:F97)</f>
        <v>10.99</v>
      </c>
      <c r="H97">
        <f>SUMIFS(allorders!Q:Q,allorders!L:L,A97,allorders!AG:AG,"&gt;="&amp;日期!$B$12,allorders!AG:AG,"&lt;="&amp;日期!$B$5,allorders!N:N,"Shipped")</f>
        <v>10.99</v>
      </c>
      <c r="I97">
        <f t="shared" si="1"/>
        <v>1</v>
      </c>
    </row>
    <row r="98" spans="1:9">
      <c r="A98" s="5" t="s">
        <v>2622</v>
      </c>
      <c r="B98" t="str">
        <f>VLOOKUP(A98,'[1]子SKU-父SKU'!$A:$B,2,0)</f>
        <v>DZ-IUYL220</v>
      </c>
      <c r="C98">
        <f>SUMIFS(allorders!O:O,allorders!L:L,$A98,allorders!AG:AG,"&lt;="&amp;日期!$B$5,allorders!AG:AG,"&gt;="&amp;日期!$B$6,allorders!N:N,"Shipped")</f>
        <v>0</v>
      </c>
      <c r="D98">
        <f>SUMIFS(allorders!$O:$O,allorders!$L:$L,$A98,allorders!$AG:$AG,"&lt;="&amp;日期!$B$7,allorders!$AG:$AG,"&gt;="&amp;日期!$B$8,allorders!N:N,"Shipped")</f>
        <v>0</v>
      </c>
      <c r="E98">
        <f>SUMIFS(allorders!$O:$O,allorders!$L:$L,$A98,allorders!$AG:$AG,"&lt;="&amp;日期!$B$9,allorders!$AG:$AG,"&gt;="&amp;日期!$B$10,allorders!N:N,"Shipped")</f>
        <v>1</v>
      </c>
      <c r="F98">
        <f>SUMIFS(allorders!$O:$O,allorders!$L:$L,$A98,allorders!$AG:$AG,"&lt;="&amp;日期!$B$11,allorders!$AG:$AG,"&gt;="&amp;日期!$B$12,allorders!N:N,"Shipped")</f>
        <v>0</v>
      </c>
      <c r="G98">
        <f>SUMIFS(allorders!Q:Q,allorders!L:L,A98,allorders!AG:AG,"&lt;="&amp;日期!$B$5,allorders!AG:AG,"&gt;="&amp;日期!$B$12,allorders!N:N,"Shipped")/SUM(C98:F98)</f>
        <v>25.99</v>
      </c>
      <c r="H98">
        <f>SUMIFS(allorders!Q:Q,allorders!L:L,A98,allorders!AG:AG,"&gt;="&amp;日期!$B$12,allorders!AG:AG,"&lt;="&amp;日期!$B$5,allorders!N:N,"Shipped")</f>
        <v>25.99</v>
      </c>
      <c r="I98">
        <f t="shared" si="1"/>
        <v>1</v>
      </c>
    </row>
    <row r="99" spans="1:9">
      <c r="A99" s="5" t="s">
        <v>2634</v>
      </c>
      <c r="B99" t="str">
        <f>VLOOKUP(A99,'[1]子SKU-父SKU'!$A:$B,2,0)</f>
        <v>SCF-D01</v>
      </c>
      <c r="C99">
        <f>SUMIFS(allorders!O:O,allorders!L:L,$A99,allorders!AG:AG,"&lt;="&amp;日期!$B$5,allorders!AG:AG,"&gt;="&amp;日期!$B$6,allorders!N:N,"Shipped")</f>
        <v>0</v>
      </c>
      <c r="D99">
        <f>SUMIFS(allorders!$O:$O,allorders!$L:$L,$A99,allorders!$AG:$AG,"&lt;="&amp;日期!$B$7,allorders!$AG:$AG,"&gt;="&amp;日期!$B$8,allorders!N:N,"Shipped")</f>
        <v>0</v>
      </c>
      <c r="E99">
        <f>SUMIFS(allorders!$O:$O,allorders!$L:$L,$A99,allorders!$AG:$AG,"&lt;="&amp;日期!$B$9,allorders!$AG:$AG,"&gt;="&amp;日期!$B$10,allorders!N:N,"Shipped")</f>
        <v>2</v>
      </c>
      <c r="F99">
        <f>SUMIFS(allorders!$O:$O,allorders!$L:$L,$A99,allorders!$AG:$AG,"&lt;="&amp;日期!$B$11,allorders!$AG:$AG,"&gt;="&amp;日期!$B$12,allorders!N:N,"Shipped")</f>
        <v>0</v>
      </c>
      <c r="G99">
        <f>SUMIFS(allorders!Q:Q,allorders!L:L,A99,allorders!AG:AG,"&lt;="&amp;日期!$B$5,allorders!AG:AG,"&gt;="&amp;日期!$B$12,allorders!N:N,"Shipped")/SUM(C99:F99)</f>
        <v>15</v>
      </c>
      <c r="H99">
        <f>SUMIFS(allorders!Q:Q,allorders!L:L,A99,allorders!AG:AG,"&gt;="&amp;日期!$B$12,allorders!AG:AG,"&lt;="&amp;日期!$B$5,allorders!N:N,"Shipped")</f>
        <v>30</v>
      </c>
      <c r="I99">
        <f t="shared" si="1"/>
        <v>2</v>
      </c>
    </row>
    <row r="100" spans="1:9">
      <c r="A100" s="5" t="s">
        <v>2863</v>
      </c>
      <c r="B100" t="str">
        <f>VLOOKUP(A100,'[1]子SKU-父SKU'!$A:$B,2,0)</f>
        <v>WF7125</v>
      </c>
      <c r="C100">
        <f>SUMIFS(allorders!O:O,allorders!L:L,$A100,allorders!AG:AG,"&lt;="&amp;日期!$B$5,allorders!AG:AG,"&gt;="&amp;日期!$B$6,allorders!N:N,"Shipped")</f>
        <v>1</v>
      </c>
      <c r="D100">
        <f>SUMIFS(allorders!$O:$O,allorders!$L:$L,$A100,allorders!$AG:$AG,"&lt;="&amp;日期!$B$7,allorders!$AG:$AG,"&gt;="&amp;日期!$B$8,allorders!N:N,"Shipped")</f>
        <v>1</v>
      </c>
      <c r="E100">
        <f>SUMIFS(allorders!$O:$O,allorders!$L:$L,$A100,allorders!$AG:$AG,"&lt;="&amp;日期!$B$9,allorders!$AG:$AG,"&gt;="&amp;日期!$B$10,allorders!N:N,"Shipped")</f>
        <v>2</v>
      </c>
      <c r="F100">
        <f>SUMIFS(allorders!$O:$O,allorders!$L:$L,$A100,allorders!$AG:$AG,"&lt;="&amp;日期!$B$11,allorders!$AG:$AG,"&gt;="&amp;日期!$B$12,allorders!N:N,"Shipped")</f>
        <v>0</v>
      </c>
      <c r="G100">
        <f>SUMIFS(allorders!Q:Q,allorders!L:L,A100,allorders!AG:AG,"&lt;="&amp;日期!$B$5,allorders!AG:AG,"&gt;="&amp;日期!$B$12,allorders!N:N,"Shipped")/SUM(C100:F100)</f>
        <v>12</v>
      </c>
      <c r="H100">
        <f>SUMIFS(allorders!Q:Q,allorders!L:L,A100,allorders!AG:AG,"&gt;="&amp;日期!$B$12,allorders!AG:AG,"&lt;="&amp;日期!$B$5,allorders!N:N,"Shipped")</f>
        <v>48</v>
      </c>
      <c r="I100">
        <f t="shared" si="1"/>
        <v>4</v>
      </c>
    </row>
    <row r="101" spans="1:9">
      <c r="A101" s="5" t="s">
        <v>2974</v>
      </c>
      <c r="B101" t="str">
        <f>VLOOKUP(A101,'[1]子SKU-父SKU'!$A:$B,2,0)</f>
        <v>TZ-IUYL240</v>
      </c>
      <c r="C101">
        <f>SUMIFS(allorders!O:O,allorders!L:L,$A101,allorders!AG:AG,"&lt;="&amp;日期!$B$5,allorders!AG:AG,"&gt;="&amp;日期!$B$6,allorders!N:N,"Shipped")</f>
        <v>3</v>
      </c>
      <c r="D101">
        <f>SUMIFS(allorders!$O:$O,allorders!$L:$L,$A101,allorders!$AG:$AG,"&lt;="&amp;日期!$B$7,allorders!$AG:$AG,"&gt;="&amp;日期!$B$8,allorders!N:N,"Shipped")</f>
        <v>3</v>
      </c>
      <c r="E101">
        <f>SUMIFS(allorders!$O:$O,allorders!$L:$L,$A101,allorders!$AG:$AG,"&lt;="&amp;日期!$B$9,allorders!$AG:$AG,"&gt;="&amp;日期!$B$10,allorders!N:N,"Shipped")</f>
        <v>1</v>
      </c>
      <c r="F101">
        <f>SUMIFS(allorders!$O:$O,allorders!$L:$L,$A101,allorders!$AG:$AG,"&lt;="&amp;日期!$B$11,allorders!$AG:$AG,"&gt;="&amp;日期!$B$12,allorders!N:N,"Shipped")</f>
        <v>0</v>
      </c>
      <c r="G101">
        <f>SUMIFS(allorders!Q:Q,allorders!L:L,A101,allorders!AG:AG,"&lt;="&amp;日期!$B$5,allorders!AG:AG,"&gt;="&amp;日期!$B$12,allorders!N:N,"Shipped")/SUM(C101:F101)</f>
        <v>18.99</v>
      </c>
      <c r="H101">
        <f>SUMIFS(allorders!Q:Q,allorders!L:L,A101,allorders!AG:AG,"&gt;="&amp;日期!$B$12,allorders!AG:AG,"&lt;="&amp;日期!$B$5,allorders!N:N,"Shipped")</f>
        <v>132.93</v>
      </c>
      <c r="I101">
        <f t="shared" si="1"/>
        <v>7</v>
      </c>
    </row>
    <row r="102" spans="1:9">
      <c r="A102" s="5" t="s">
        <v>3096</v>
      </c>
      <c r="B102" t="str">
        <f>VLOOKUP(A102,'[1]子SKU-父SKU'!$A:$B,2,0)</f>
        <v>SCF-B01</v>
      </c>
      <c r="C102">
        <f>SUMIFS(allorders!O:O,allorders!L:L,$A102,allorders!AG:AG,"&lt;="&amp;日期!$B$5,allorders!AG:AG,"&gt;="&amp;日期!$B$6,allorders!N:N,"Shipped")</f>
        <v>0</v>
      </c>
      <c r="D102">
        <f>SUMIFS(allorders!$O:$O,allorders!$L:$L,$A102,allorders!$AG:$AG,"&lt;="&amp;日期!$B$7,allorders!$AG:$AG,"&gt;="&amp;日期!$B$8,allorders!N:N,"Shipped")</f>
        <v>0</v>
      </c>
      <c r="E102">
        <f>SUMIFS(allorders!$O:$O,allorders!$L:$L,$A102,allorders!$AG:$AG,"&lt;="&amp;日期!$B$9,allorders!$AG:$AG,"&gt;="&amp;日期!$B$10,allorders!N:N,"Shipped")</f>
        <v>1</v>
      </c>
      <c r="F102">
        <f>SUMIFS(allorders!$O:$O,allorders!$L:$L,$A102,allorders!$AG:$AG,"&lt;="&amp;日期!$B$11,allorders!$AG:$AG,"&gt;="&amp;日期!$B$12,allorders!N:N,"Shipped")</f>
        <v>0</v>
      </c>
      <c r="G102">
        <f>SUMIFS(allorders!Q:Q,allorders!L:L,A102,allorders!AG:AG,"&lt;="&amp;日期!$B$5,allorders!AG:AG,"&gt;="&amp;日期!$B$12,allorders!N:N,"Shipped")/SUM(C102:F102)</f>
        <v>20</v>
      </c>
      <c r="H102">
        <f>SUMIFS(allorders!Q:Q,allorders!L:L,A102,allorders!AG:AG,"&gt;="&amp;日期!$B$12,allorders!AG:AG,"&lt;="&amp;日期!$B$5,allorders!N:N,"Shipped")</f>
        <v>20</v>
      </c>
      <c r="I102">
        <f t="shared" si="1"/>
        <v>1</v>
      </c>
    </row>
    <row r="103" spans="1:9">
      <c r="A103" s="5" t="s">
        <v>3108</v>
      </c>
      <c r="B103" t="str">
        <f>VLOOKUP(A103,'[1]子SKU-父SKU'!$A:$B,2,0)</f>
        <v>ST-K157</v>
      </c>
      <c r="C103">
        <f>SUMIFS(allorders!O:O,allorders!L:L,$A103,allorders!AG:AG,"&lt;="&amp;日期!$B$5,allorders!AG:AG,"&gt;="&amp;日期!$B$6,allorders!N:N,"Shipped")</f>
        <v>0</v>
      </c>
      <c r="D103">
        <f>SUMIFS(allorders!$O:$O,allorders!$L:$L,$A103,allorders!$AG:$AG,"&lt;="&amp;日期!$B$7,allorders!$AG:$AG,"&gt;="&amp;日期!$B$8,allorders!N:N,"Shipped")</f>
        <v>0</v>
      </c>
      <c r="E103">
        <f>SUMIFS(allorders!$O:$O,allorders!$L:$L,$A103,allorders!$AG:$AG,"&lt;="&amp;日期!$B$9,allorders!$AG:$AG,"&gt;="&amp;日期!$B$10,allorders!N:N,"Shipped")</f>
        <v>1</v>
      </c>
      <c r="F103">
        <f>SUMIFS(allorders!$O:$O,allorders!$L:$L,$A103,allorders!$AG:$AG,"&lt;="&amp;日期!$B$11,allorders!$AG:$AG,"&gt;="&amp;日期!$B$12,allorders!N:N,"Shipped")</f>
        <v>0</v>
      </c>
      <c r="G103">
        <f>SUMIFS(allorders!Q:Q,allorders!L:L,A103,allorders!AG:AG,"&lt;="&amp;日期!$B$5,allorders!AG:AG,"&gt;="&amp;日期!$B$12,allorders!N:N,"Shipped")/SUM(C103:F103)</f>
        <v>18.76</v>
      </c>
      <c r="H103">
        <f>SUMIFS(allorders!Q:Q,allorders!L:L,A103,allorders!AG:AG,"&gt;="&amp;日期!$B$12,allorders!AG:AG,"&lt;="&amp;日期!$B$5,allorders!N:N,"Shipped")</f>
        <v>18.76</v>
      </c>
      <c r="I103">
        <f t="shared" si="1"/>
        <v>1</v>
      </c>
    </row>
    <row r="104" spans="1:9">
      <c r="A104" s="5" t="s">
        <v>3147</v>
      </c>
      <c r="B104" t="str">
        <f>VLOOKUP(A104,'[1]子SKU-父SKU'!$A:$B,2,0)</f>
        <v>ST006</v>
      </c>
      <c r="C104">
        <f>SUMIFS(allorders!O:O,allorders!L:L,$A104,allorders!AG:AG,"&lt;="&amp;日期!$B$5,allorders!AG:AG,"&gt;="&amp;日期!$B$6,allorders!N:N,"Shipped")</f>
        <v>0</v>
      </c>
      <c r="D104">
        <f>SUMIFS(allorders!$O:$O,allorders!$L:$L,$A104,allorders!$AG:$AG,"&lt;="&amp;日期!$B$7,allorders!$AG:$AG,"&gt;="&amp;日期!$B$8,allorders!N:N,"Shipped")</f>
        <v>0</v>
      </c>
      <c r="E104">
        <f>SUMIFS(allorders!$O:$O,allorders!$L:$L,$A104,allorders!$AG:$AG,"&lt;="&amp;日期!$B$9,allorders!$AG:$AG,"&gt;="&amp;日期!$B$10,allorders!N:N,"Shipped")</f>
        <v>1</v>
      </c>
      <c r="F104">
        <f>SUMIFS(allorders!$O:$O,allorders!$L:$L,$A104,allorders!$AG:$AG,"&lt;="&amp;日期!$B$11,allorders!$AG:$AG,"&gt;="&amp;日期!$B$12,allorders!N:N,"Shipped")</f>
        <v>0</v>
      </c>
      <c r="G104">
        <f>SUMIFS(allorders!Q:Q,allorders!L:L,A104,allorders!AG:AG,"&lt;="&amp;日期!$B$5,allorders!AG:AG,"&gt;="&amp;日期!$B$12,allorders!N:N,"Shipped")/SUM(C104:F104)</f>
        <v>10.98</v>
      </c>
      <c r="H104">
        <f>SUMIFS(allorders!Q:Q,allorders!L:L,A104,allorders!AG:AG,"&gt;="&amp;日期!$B$12,allorders!AG:AG,"&lt;="&amp;日期!$B$5,allorders!N:N,"Shipped")</f>
        <v>10.98</v>
      </c>
      <c r="I104">
        <f t="shared" si="1"/>
        <v>1</v>
      </c>
    </row>
    <row r="105" spans="1:9">
      <c r="A105" s="5" t="s">
        <v>3236</v>
      </c>
      <c r="B105" t="str">
        <f>VLOOKUP(A105,'[1]子SKU-父SKU'!$A:$B,2,0)</f>
        <v>ST172</v>
      </c>
      <c r="C105">
        <f>SUMIFS(allorders!O:O,allorders!L:L,$A105,allorders!AG:AG,"&lt;="&amp;日期!$B$5,allorders!AG:AG,"&gt;="&amp;日期!$B$6,allorders!N:N,"Shipped")</f>
        <v>0</v>
      </c>
      <c r="D105">
        <f>SUMIFS(allorders!$O:$O,allorders!$L:$L,$A105,allorders!$AG:$AG,"&lt;="&amp;日期!$B$7,allorders!$AG:$AG,"&gt;="&amp;日期!$B$8,allorders!N:N,"Shipped")</f>
        <v>0</v>
      </c>
      <c r="E105">
        <f>SUMIFS(allorders!$O:$O,allorders!$L:$L,$A105,allorders!$AG:$AG,"&lt;="&amp;日期!$B$9,allorders!$AG:$AG,"&gt;="&amp;日期!$B$10,allorders!N:N,"Shipped")</f>
        <v>1</v>
      </c>
      <c r="F105">
        <f>SUMIFS(allorders!$O:$O,allorders!$L:$L,$A105,allorders!$AG:$AG,"&lt;="&amp;日期!$B$11,allorders!$AG:$AG,"&gt;="&amp;日期!$B$12,allorders!N:N,"Shipped")</f>
        <v>0</v>
      </c>
      <c r="G105">
        <f>SUMIFS(allorders!Q:Q,allorders!L:L,A105,allorders!AG:AG,"&lt;="&amp;日期!$B$5,allorders!AG:AG,"&gt;="&amp;日期!$B$12,allorders!N:N,"Shipped")/SUM(C105:F105)</f>
        <v>14.98</v>
      </c>
      <c r="H105">
        <f>SUMIFS(allorders!Q:Q,allorders!L:L,A105,allorders!AG:AG,"&gt;="&amp;日期!$B$12,allorders!AG:AG,"&lt;="&amp;日期!$B$5,allorders!N:N,"Shipped")</f>
        <v>14.98</v>
      </c>
      <c r="I105">
        <f t="shared" si="1"/>
        <v>1</v>
      </c>
    </row>
    <row r="106" spans="1:9">
      <c r="A106" s="5" t="s">
        <v>3245</v>
      </c>
      <c r="B106" t="str">
        <f>VLOOKUP(A106,'[1]子SKU-父SKU'!$A:$B,2,0)</f>
        <v>TZ-IUYL240</v>
      </c>
      <c r="C106">
        <f>SUMIFS(allorders!O:O,allorders!L:L,$A106,allorders!AG:AG,"&lt;="&amp;日期!$B$5,allorders!AG:AG,"&gt;="&amp;日期!$B$6,allorders!N:N,"Shipped")</f>
        <v>2</v>
      </c>
      <c r="D106">
        <f>SUMIFS(allorders!$O:$O,allorders!$L:$L,$A106,allorders!$AG:$AG,"&lt;="&amp;日期!$B$7,allorders!$AG:$AG,"&gt;="&amp;日期!$B$8,allorders!N:N,"Shipped")</f>
        <v>2</v>
      </c>
      <c r="E106">
        <f>SUMIFS(allorders!$O:$O,allorders!$L:$L,$A106,allorders!$AG:$AG,"&lt;="&amp;日期!$B$9,allorders!$AG:$AG,"&gt;="&amp;日期!$B$10,allorders!N:N,"Shipped")</f>
        <v>2</v>
      </c>
      <c r="F106">
        <f>SUMIFS(allorders!$O:$O,allorders!$L:$L,$A106,allorders!$AG:$AG,"&lt;="&amp;日期!$B$11,allorders!$AG:$AG,"&gt;="&amp;日期!$B$12,allorders!N:N,"Shipped")</f>
        <v>0</v>
      </c>
      <c r="G106">
        <f>SUMIFS(allorders!Q:Q,allorders!L:L,A106,allorders!AG:AG,"&lt;="&amp;日期!$B$5,allorders!AG:AG,"&gt;="&amp;日期!$B$12,allorders!N:N,"Shipped")/SUM(C106:F106)</f>
        <v>24.99</v>
      </c>
      <c r="H106">
        <f>SUMIFS(allorders!Q:Q,allorders!L:L,A106,allorders!AG:AG,"&gt;="&amp;日期!$B$12,allorders!AG:AG,"&lt;="&amp;日期!$B$5,allorders!N:N,"Shipped")</f>
        <v>149.94</v>
      </c>
      <c r="I106">
        <f t="shared" si="1"/>
        <v>6</v>
      </c>
    </row>
    <row r="107" spans="1:9">
      <c r="A107" s="5" t="s">
        <v>3288</v>
      </c>
      <c r="B107" t="str">
        <f>VLOOKUP(A107,'[1]子SKU-父SKU'!$A:$B,2,0)</f>
        <v>ST171</v>
      </c>
      <c r="C107">
        <f>SUMIFS(allorders!O:O,allorders!L:L,$A107,allorders!AG:AG,"&lt;="&amp;日期!$B$5,allorders!AG:AG,"&gt;="&amp;日期!$B$6,allorders!N:N,"Shipped")</f>
        <v>1</v>
      </c>
      <c r="D107">
        <f>SUMIFS(allorders!$O:$O,allorders!$L:$L,$A107,allorders!$AG:$AG,"&lt;="&amp;日期!$B$7,allorders!$AG:$AG,"&gt;="&amp;日期!$B$8,allorders!N:N,"Shipped")</f>
        <v>2</v>
      </c>
      <c r="E107">
        <f>SUMIFS(allorders!$O:$O,allorders!$L:$L,$A107,allorders!$AG:$AG,"&lt;="&amp;日期!$B$9,allorders!$AG:$AG,"&gt;="&amp;日期!$B$10,allorders!N:N,"Shipped")</f>
        <v>1</v>
      </c>
      <c r="F107">
        <f>SUMIFS(allorders!$O:$O,allorders!$L:$L,$A107,allorders!$AG:$AG,"&lt;="&amp;日期!$B$11,allorders!$AG:$AG,"&gt;="&amp;日期!$B$12,allorders!N:N,"Shipped")</f>
        <v>0</v>
      </c>
      <c r="G107">
        <f>SUMIFS(allorders!Q:Q,allorders!L:L,A107,allorders!AG:AG,"&lt;="&amp;日期!$B$5,allorders!AG:AG,"&gt;="&amp;日期!$B$12,allorders!N:N,"Shipped")/SUM(C107:F107)</f>
        <v>15.98</v>
      </c>
      <c r="H107">
        <f>SUMIFS(allorders!Q:Q,allorders!L:L,A107,allorders!AG:AG,"&gt;="&amp;日期!$B$12,allorders!AG:AG,"&lt;="&amp;日期!$B$5,allorders!N:N,"Shipped")</f>
        <v>63.92</v>
      </c>
      <c r="I107">
        <f t="shared" si="1"/>
        <v>4</v>
      </c>
    </row>
    <row r="108" spans="1:9">
      <c r="A108" s="5" t="s">
        <v>3376</v>
      </c>
      <c r="B108" t="str">
        <f>VLOOKUP(A108,'[1]子SKU-父SKU'!$A:$B,2,0)</f>
        <v>DZ-IUYL220</v>
      </c>
      <c r="C108">
        <f>SUMIFS(allorders!O:O,allorders!L:L,$A108,allorders!AG:AG,"&lt;="&amp;日期!$B$5,allorders!AG:AG,"&gt;="&amp;日期!$B$6,allorders!N:N,"Shipped")</f>
        <v>0</v>
      </c>
      <c r="D108">
        <f>SUMIFS(allorders!$O:$O,allorders!$L:$L,$A108,allorders!$AG:$AG,"&lt;="&amp;日期!$B$7,allorders!$AG:$AG,"&gt;="&amp;日期!$B$8,allorders!N:N,"Shipped")</f>
        <v>0</v>
      </c>
      <c r="E108">
        <f>SUMIFS(allorders!$O:$O,allorders!$L:$L,$A108,allorders!$AG:$AG,"&lt;="&amp;日期!$B$9,allorders!$AG:$AG,"&gt;="&amp;日期!$B$10,allorders!N:N,"Shipped")</f>
        <v>1</v>
      </c>
      <c r="F108">
        <f>SUMIFS(allorders!$O:$O,allorders!$L:$L,$A108,allorders!$AG:$AG,"&lt;="&amp;日期!$B$11,allorders!$AG:$AG,"&gt;="&amp;日期!$B$12,allorders!N:N,"Shipped")</f>
        <v>0</v>
      </c>
      <c r="G108">
        <f>SUMIFS(allorders!Q:Q,allorders!L:L,A108,allorders!AG:AG,"&lt;="&amp;日期!$B$5,allorders!AG:AG,"&gt;="&amp;日期!$B$12,allorders!N:N,"Shipped")/SUM(C108:F108)</f>
        <v>25.99</v>
      </c>
      <c r="H108">
        <f>SUMIFS(allorders!Q:Q,allorders!L:L,A108,allorders!AG:AG,"&gt;="&amp;日期!$B$12,allorders!AG:AG,"&lt;="&amp;日期!$B$5,allorders!N:N,"Shipped")</f>
        <v>25.99</v>
      </c>
      <c r="I108">
        <f t="shared" si="1"/>
        <v>1</v>
      </c>
    </row>
    <row r="109" spans="1:9">
      <c r="A109" s="5" t="s">
        <v>3383</v>
      </c>
      <c r="B109" t="str">
        <f>VLOOKUP(A109,'[1]子SKU-父SKU'!$A:$B,2,0)</f>
        <v>TZ-IUYL240</v>
      </c>
      <c r="C109">
        <f>SUMIFS(allorders!O:O,allorders!L:L,$A109,allorders!AG:AG,"&lt;="&amp;日期!$B$5,allorders!AG:AG,"&gt;="&amp;日期!$B$6,allorders!N:N,"Shipped")</f>
        <v>0</v>
      </c>
      <c r="D109">
        <f>SUMIFS(allorders!$O:$O,allorders!$L:$L,$A109,allorders!$AG:$AG,"&lt;="&amp;日期!$B$7,allorders!$AG:$AG,"&gt;="&amp;日期!$B$8,allorders!N:N,"Shipped")</f>
        <v>0</v>
      </c>
      <c r="E109">
        <f>SUMIFS(allorders!$O:$O,allorders!$L:$L,$A109,allorders!$AG:$AG,"&lt;="&amp;日期!$B$9,allorders!$AG:$AG,"&gt;="&amp;日期!$B$10,allorders!N:N,"Shipped")</f>
        <v>1</v>
      </c>
      <c r="F109">
        <f>SUMIFS(allorders!$O:$O,allorders!$L:$L,$A109,allorders!$AG:$AG,"&lt;="&amp;日期!$B$11,allorders!$AG:$AG,"&gt;="&amp;日期!$B$12,allorders!N:N,"Shipped")</f>
        <v>0</v>
      </c>
      <c r="G109">
        <f>SUMIFS(allorders!Q:Q,allorders!L:L,A109,allorders!AG:AG,"&lt;="&amp;日期!$B$5,allorders!AG:AG,"&gt;="&amp;日期!$B$12,allorders!N:N,"Shipped")/SUM(C109:F109)</f>
        <v>18.99</v>
      </c>
      <c r="H109">
        <f>SUMIFS(allorders!Q:Q,allorders!L:L,A109,allorders!AG:AG,"&gt;="&amp;日期!$B$12,allorders!AG:AG,"&lt;="&amp;日期!$B$5,allorders!N:N,"Shipped")</f>
        <v>18.99</v>
      </c>
      <c r="I109">
        <f t="shared" si="1"/>
        <v>1</v>
      </c>
    </row>
    <row r="110" spans="1:9">
      <c r="A110" s="5" t="s">
        <v>3415</v>
      </c>
      <c r="B110" t="str">
        <f>VLOOKUP(A110,'[1]子SKU-父SKU'!$A:$B,2,0)</f>
        <v>DZ-IUYL200</v>
      </c>
      <c r="C110">
        <f>SUMIFS(allorders!O:O,allorders!L:L,$A110,allorders!AG:AG,"&lt;="&amp;日期!$B$5,allorders!AG:AG,"&gt;="&amp;日期!$B$6,allorders!N:N,"Shipped")</f>
        <v>0</v>
      </c>
      <c r="D110">
        <f>SUMIFS(allorders!$O:$O,allorders!$L:$L,$A110,allorders!$AG:$AG,"&lt;="&amp;日期!$B$7,allorders!$AG:$AG,"&gt;="&amp;日期!$B$8,allorders!N:N,"Shipped")</f>
        <v>0</v>
      </c>
      <c r="E110">
        <f>SUMIFS(allorders!$O:$O,allorders!$L:$L,$A110,allorders!$AG:$AG,"&lt;="&amp;日期!$B$9,allorders!$AG:$AG,"&gt;="&amp;日期!$B$10,allorders!N:N,"Shipped")</f>
        <v>1</v>
      </c>
      <c r="F110">
        <f>SUMIFS(allorders!$O:$O,allorders!$L:$L,$A110,allorders!$AG:$AG,"&lt;="&amp;日期!$B$11,allorders!$AG:$AG,"&gt;="&amp;日期!$B$12,allorders!N:N,"Shipped")</f>
        <v>0</v>
      </c>
      <c r="G110">
        <f>SUMIFS(allorders!Q:Q,allorders!L:L,A110,allorders!AG:AG,"&lt;="&amp;日期!$B$5,allorders!AG:AG,"&gt;="&amp;日期!$B$12,allorders!N:N,"Shipped")/SUM(C110:F110)</f>
        <v>20.99</v>
      </c>
      <c r="H110">
        <f>SUMIFS(allorders!Q:Q,allorders!L:L,A110,allorders!AG:AG,"&gt;="&amp;日期!$B$12,allorders!AG:AG,"&lt;="&amp;日期!$B$5,allorders!N:N,"Shipped")</f>
        <v>20.99</v>
      </c>
      <c r="I110">
        <f t="shared" si="1"/>
        <v>1</v>
      </c>
    </row>
    <row r="111" spans="1:9">
      <c r="A111" s="5" t="s">
        <v>3443</v>
      </c>
      <c r="B111" t="str">
        <f>VLOOKUP(A111,'[1]子SKU-父SKU'!$A:$B,2,0)</f>
        <v>ST172</v>
      </c>
      <c r="C111">
        <f>SUMIFS(allorders!O:O,allorders!L:L,$A111,allorders!AG:AG,"&lt;="&amp;日期!$B$5,allorders!AG:AG,"&gt;="&amp;日期!$B$6,allorders!N:N,"Shipped")</f>
        <v>0</v>
      </c>
      <c r="D111">
        <f>SUMIFS(allorders!$O:$O,allorders!$L:$L,$A111,allorders!$AG:$AG,"&lt;="&amp;日期!$B$7,allorders!$AG:$AG,"&gt;="&amp;日期!$B$8,allorders!N:N,"Shipped")</f>
        <v>0</v>
      </c>
      <c r="E111">
        <f>SUMIFS(allorders!$O:$O,allorders!$L:$L,$A111,allorders!$AG:$AG,"&lt;="&amp;日期!$B$9,allorders!$AG:$AG,"&gt;="&amp;日期!$B$10,allorders!N:N,"Shipped")</f>
        <v>1</v>
      </c>
      <c r="F111">
        <f>SUMIFS(allorders!$O:$O,allorders!$L:$L,$A111,allorders!$AG:$AG,"&lt;="&amp;日期!$B$11,allorders!$AG:$AG,"&gt;="&amp;日期!$B$12,allorders!N:N,"Shipped")</f>
        <v>0</v>
      </c>
      <c r="G111">
        <f>SUMIFS(allorders!Q:Q,allorders!L:L,A111,allorders!AG:AG,"&lt;="&amp;日期!$B$5,allorders!AG:AG,"&gt;="&amp;日期!$B$12,allorders!N:N,"Shipped")/SUM(C111:F111)</f>
        <v>14.98</v>
      </c>
      <c r="H111">
        <f>SUMIFS(allorders!Q:Q,allorders!L:L,A111,allorders!AG:AG,"&gt;="&amp;日期!$B$12,allorders!AG:AG,"&lt;="&amp;日期!$B$5,allorders!N:N,"Shipped")</f>
        <v>14.98</v>
      </c>
      <c r="I111">
        <f t="shared" si="1"/>
        <v>1</v>
      </c>
    </row>
    <row r="112" spans="1:9">
      <c r="A112" s="5" t="s">
        <v>3448</v>
      </c>
      <c r="B112" t="str">
        <f>VLOOKUP(A112,'[1]子SKU-父SKU'!$A:$B,2,0)</f>
        <v>ST172</v>
      </c>
      <c r="C112">
        <f>SUMIFS(allorders!O:O,allorders!L:L,$A112,allorders!AG:AG,"&lt;="&amp;日期!$B$5,allorders!AG:AG,"&gt;="&amp;日期!$B$6,allorders!N:N,"Shipped")</f>
        <v>0</v>
      </c>
      <c r="D112">
        <f>SUMIFS(allorders!$O:$O,allorders!$L:$L,$A112,allorders!$AG:$AG,"&lt;="&amp;日期!$B$7,allorders!$AG:$AG,"&gt;="&amp;日期!$B$8,allorders!N:N,"Shipped")</f>
        <v>0</v>
      </c>
      <c r="E112">
        <f>SUMIFS(allorders!$O:$O,allorders!$L:$L,$A112,allorders!$AG:$AG,"&lt;="&amp;日期!$B$9,allorders!$AG:$AG,"&gt;="&amp;日期!$B$10,allorders!N:N,"Shipped")</f>
        <v>1</v>
      </c>
      <c r="F112">
        <f>SUMIFS(allorders!$O:$O,allorders!$L:$L,$A112,allorders!$AG:$AG,"&lt;="&amp;日期!$B$11,allorders!$AG:$AG,"&gt;="&amp;日期!$B$12,allorders!N:N,"Shipped")</f>
        <v>0</v>
      </c>
      <c r="G112">
        <f>SUMIFS(allorders!Q:Q,allorders!L:L,A112,allorders!AG:AG,"&lt;="&amp;日期!$B$5,allorders!AG:AG,"&gt;="&amp;日期!$B$12,allorders!N:N,"Shipped")/SUM(C112:F112)</f>
        <v>14.98</v>
      </c>
      <c r="H112">
        <f>SUMIFS(allorders!Q:Q,allorders!L:L,A112,allorders!AG:AG,"&gt;="&amp;日期!$B$12,allorders!AG:AG,"&lt;="&amp;日期!$B$5,allorders!N:N,"Shipped")</f>
        <v>14.98</v>
      </c>
      <c r="I112">
        <f t="shared" si="1"/>
        <v>1</v>
      </c>
    </row>
    <row r="113" spans="1:9">
      <c r="A113" s="5" t="s">
        <v>3484</v>
      </c>
      <c r="B113" t="str">
        <f>VLOOKUP(A113,'[1]子SKU-父SKU'!$A:$B,2,0)</f>
        <v>BBBD-BUSB1605</v>
      </c>
      <c r="C113">
        <f>SUMIFS(allorders!O:O,allorders!L:L,$A113,allorders!AG:AG,"&lt;="&amp;日期!$B$5,allorders!AG:AG,"&gt;="&amp;日期!$B$6,allorders!N:N,"Shipped")</f>
        <v>1</v>
      </c>
      <c r="D113">
        <f>SUMIFS(allorders!$O:$O,allorders!$L:$L,$A113,allorders!$AG:$AG,"&lt;="&amp;日期!$B$7,allorders!$AG:$AG,"&gt;="&amp;日期!$B$8,allorders!N:N,"Shipped")</f>
        <v>1</v>
      </c>
      <c r="E113">
        <f>SUMIFS(allorders!$O:$O,allorders!$L:$L,$A113,allorders!$AG:$AG,"&lt;="&amp;日期!$B$9,allorders!$AG:$AG,"&gt;="&amp;日期!$B$10,allorders!N:N,"Shipped")</f>
        <v>1</v>
      </c>
      <c r="F113">
        <f>SUMIFS(allorders!$O:$O,allorders!$L:$L,$A113,allorders!$AG:$AG,"&lt;="&amp;日期!$B$11,allorders!$AG:$AG,"&gt;="&amp;日期!$B$12,allorders!N:N,"Shipped")</f>
        <v>0</v>
      </c>
      <c r="G113">
        <f>SUMIFS(allorders!Q:Q,allorders!L:L,A113,allorders!AG:AG,"&lt;="&amp;日期!$B$5,allorders!AG:AG,"&gt;="&amp;日期!$B$12,allorders!N:N,"Shipped")/SUM(C113:F113)</f>
        <v>29.99</v>
      </c>
      <c r="H113">
        <f>SUMIFS(allorders!Q:Q,allorders!L:L,A113,allorders!AG:AG,"&gt;="&amp;日期!$B$12,allorders!AG:AG,"&lt;="&amp;日期!$B$5,allorders!N:N,"Shipped")</f>
        <v>89.97</v>
      </c>
      <c r="I113">
        <f t="shared" si="1"/>
        <v>3</v>
      </c>
    </row>
    <row r="114" spans="1:9">
      <c r="A114" s="5" t="s">
        <v>3573</v>
      </c>
      <c r="B114" t="str">
        <f>VLOOKUP(A114,'[1]子SKU-父SKU'!$A:$B,2,0)</f>
        <v>ST173</v>
      </c>
      <c r="C114">
        <f>SUMIFS(allorders!O:O,allorders!L:L,$A114,allorders!AG:AG,"&lt;="&amp;日期!$B$5,allorders!AG:AG,"&gt;="&amp;日期!$B$6,allorders!N:N,"Shipped")</f>
        <v>0</v>
      </c>
      <c r="D114">
        <f>SUMIFS(allorders!$O:$O,allorders!$L:$L,$A114,allorders!$AG:$AG,"&lt;="&amp;日期!$B$7,allorders!$AG:$AG,"&gt;="&amp;日期!$B$8,allorders!N:N,"Shipped")</f>
        <v>2</v>
      </c>
      <c r="E114">
        <f>SUMIFS(allorders!$O:$O,allorders!$L:$L,$A114,allorders!$AG:$AG,"&lt;="&amp;日期!$B$9,allorders!$AG:$AG,"&gt;="&amp;日期!$B$10,allorders!N:N,"Shipped")</f>
        <v>0</v>
      </c>
      <c r="F114">
        <f>SUMIFS(allorders!$O:$O,allorders!$L:$L,$A114,allorders!$AG:$AG,"&lt;="&amp;日期!$B$11,allorders!$AG:$AG,"&gt;="&amp;日期!$B$12,allorders!N:N,"Shipped")</f>
        <v>0</v>
      </c>
      <c r="G114">
        <f>SUMIFS(allorders!Q:Q,allorders!L:L,A114,allorders!AG:AG,"&lt;="&amp;日期!$B$5,allorders!AG:AG,"&gt;="&amp;日期!$B$12,allorders!N:N,"Shipped")/SUM(C114:F114)</f>
        <v>10</v>
      </c>
      <c r="H114">
        <f>SUMIFS(allorders!Q:Q,allorders!L:L,A114,allorders!AG:AG,"&gt;="&amp;日期!$B$12,allorders!AG:AG,"&lt;="&amp;日期!$B$5,allorders!N:N,"Shipped")</f>
        <v>20</v>
      </c>
      <c r="I114">
        <f t="shared" si="1"/>
        <v>2</v>
      </c>
    </row>
    <row r="115" spans="1:9">
      <c r="A115" s="5" t="s">
        <v>3602</v>
      </c>
      <c r="B115" t="str">
        <f>VLOOKUP(A115,'[1]子SKU-父SKU'!$A:$B,2,0)</f>
        <v>LGQ-IUYL100</v>
      </c>
      <c r="C115">
        <f>SUMIFS(allorders!O:O,allorders!L:L,$A115,allorders!AG:AG,"&lt;="&amp;日期!$B$5,allorders!AG:AG,"&gt;="&amp;日期!$B$6,allorders!N:N,"Shipped")</f>
        <v>1</v>
      </c>
      <c r="D115">
        <f>SUMIFS(allorders!$O:$O,allorders!$L:$L,$A115,allorders!$AG:$AG,"&lt;="&amp;日期!$B$7,allorders!$AG:$AG,"&gt;="&amp;日期!$B$8,allorders!N:N,"Shipped")</f>
        <v>1</v>
      </c>
      <c r="E115">
        <f>SUMIFS(allorders!$O:$O,allorders!$L:$L,$A115,allorders!$AG:$AG,"&lt;="&amp;日期!$B$9,allorders!$AG:$AG,"&gt;="&amp;日期!$B$10,allorders!N:N,"Shipped")</f>
        <v>0</v>
      </c>
      <c r="F115">
        <f>SUMIFS(allorders!$O:$O,allorders!$L:$L,$A115,allorders!$AG:$AG,"&lt;="&amp;日期!$B$11,allorders!$AG:$AG,"&gt;="&amp;日期!$B$12,allorders!N:N,"Shipped")</f>
        <v>0</v>
      </c>
      <c r="G115">
        <f>SUMIFS(allorders!Q:Q,allorders!L:L,A115,allorders!AG:AG,"&lt;="&amp;日期!$B$5,allorders!AG:AG,"&gt;="&amp;日期!$B$12,allorders!N:N,"Shipped")/SUM(C115:F115)</f>
        <v>17.9</v>
      </c>
      <c r="H115">
        <f>SUMIFS(allorders!Q:Q,allorders!L:L,A115,allorders!AG:AG,"&gt;="&amp;日期!$B$12,allorders!AG:AG,"&lt;="&amp;日期!$B$5,allorders!N:N,"Shipped")</f>
        <v>35.8</v>
      </c>
      <c r="I115">
        <f t="shared" si="1"/>
        <v>2</v>
      </c>
    </row>
    <row r="116" spans="1:9">
      <c r="A116" s="5" t="s">
        <v>3652</v>
      </c>
      <c r="B116" t="str">
        <f>VLOOKUP(A116,'[1]子SKU-父SKU'!$A:$B,2,0)</f>
        <v>BBBD-1605A</v>
      </c>
      <c r="C116">
        <f>SUMIFS(allorders!O:O,allorders!L:L,$A116,allorders!AG:AG,"&lt;="&amp;日期!$B$5,allorders!AG:AG,"&gt;="&amp;日期!$B$6,allorders!N:N,"Shipped")</f>
        <v>2</v>
      </c>
      <c r="D116">
        <f>SUMIFS(allorders!$O:$O,allorders!$L:$L,$A116,allorders!$AG:$AG,"&lt;="&amp;日期!$B$7,allorders!$AG:$AG,"&gt;="&amp;日期!$B$8,allorders!N:N,"Shipped")</f>
        <v>2</v>
      </c>
      <c r="E116">
        <f>SUMIFS(allorders!$O:$O,allorders!$L:$L,$A116,allorders!$AG:$AG,"&lt;="&amp;日期!$B$9,allorders!$AG:$AG,"&gt;="&amp;日期!$B$10,allorders!N:N,"Shipped")</f>
        <v>0</v>
      </c>
      <c r="F116">
        <f>SUMIFS(allorders!$O:$O,allorders!$L:$L,$A116,allorders!$AG:$AG,"&lt;="&amp;日期!$B$11,allorders!$AG:$AG,"&gt;="&amp;日期!$B$12,allorders!N:N,"Shipped")</f>
        <v>0</v>
      </c>
      <c r="G116">
        <f>SUMIFS(allorders!Q:Q,allorders!L:L,A116,allorders!AG:AG,"&lt;="&amp;日期!$B$5,allorders!AG:AG,"&gt;="&amp;日期!$B$12,allorders!N:N,"Shipped")/SUM(C116:F116)</f>
        <v>35.99</v>
      </c>
      <c r="H116">
        <f>SUMIFS(allorders!Q:Q,allorders!L:L,A116,allorders!AG:AG,"&gt;="&amp;日期!$B$12,allorders!AG:AG,"&lt;="&amp;日期!$B$5,allorders!N:N,"Shipped")</f>
        <v>143.96</v>
      </c>
      <c r="I116">
        <f t="shared" si="1"/>
        <v>4</v>
      </c>
    </row>
    <row r="117" spans="1:9">
      <c r="A117" s="5" t="s">
        <v>3673</v>
      </c>
      <c r="B117" t="str">
        <f>VLOOKUP(A117,'[1]子SKU-父SKU'!$A:$B,2,0)</f>
        <v>WF7125</v>
      </c>
      <c r="C117">
        <f>SUMIFS(allorders!O:O,allorders!L:L,$A117,allorders!AG:AG,"&lt;="&amp;日期!$B$5,allorders!AG:AG,"&gt;="&amp;日期!$B$6,allorders!N:N,"Shipped")</f>
        <v>1</v>
      </c>
      <c r="D117">
        <f>SUMIFS(allorders!$O:$O,allorders!$L:$L,$A117,allorders!$AG:$AG,"&lt;="&amp;日期!$B$7,allorders!$AG:$AG,"&gt;="&amp;日期!$B$8,allorders!N:N,"Shipped")</f>
        <v>1</v>
      </c>
      <c r="E117">
        <f>SUMIFS(allorders!$O:$O,allorders!$L:$L,$A117,allorders!$AG:$AG,"&lt;="&amp;日期!$B$9,allorders!$AG:$AG,"&gt;="&amp;日期!$B$10,allorders!N:N,"Shipped")</f>
        <v>0</v>
      </c>
      <c r="F117">
        <f>SUMIFS(allorders!$O:$O,allorders!$L:$L,$A117,allorders!$AG:$AG,"&lt;="&amp;日期!$B$11,allorders!$AG:$AG,"&gt;="&amp;日期!$B$12,allorders!N:N,"Shipped")</f>
        <v>0</v>
      </c>
      <c r="G117">
        <f>SUMIFS(allorders!Q:Q,allorders!L:L,A117,allorders!AG:AG,"&lt;="&amp;日期!$B$5,allorders!AG:AG,"&gt;="&amp;日期!$B$12,allorders!N:N,"Shipped")/SUM(C117:F117)</f>
        <v>12</v>
      </c>
      <c r="H117">
        <f>SUMIFS(allorders!Q:Q,allorders!L:L,A117,allorders!AG:AG,"&gt;="&amp;日期!$B$12,allorders!AG:AG,"&lt;="&amp;日期!$B$5,allorders!N:N,"Shipped")</f>
        <v>24</v>
      </c>
      <c r="I117">
        <f t="shared" si="1"/>
        <v>2</v>
      </c>
    </row>
    <row r="118" spans="1:9">
      <c r="A118" s="5" t="s">
        <v>3770</v>
      </c>
      <c r="B118" t="str">
        <f>VLOOKUP(A118,'[1]子SKU-父SKU'!$A:$B,2,0)</f>
        <v>AQD-IUYL330</v>
      </c>
      <c r="C118">
        <f>SUMIFS(allorders!O:O,allorders!L:L,$A118,allorders!AG:AG,"&lt;="&amp;日期!$B$5,allorders!AG:AG,"&gt;="&amp;日期!$B$6,allorders!N:N,"Shipped")</f>
        <v>1</v>
      </c>
      <c r="D118">
        <f>SUMIFS(allorders!$O:$O,allorders!$L:$L,$A118,allorders!$AG:$AG,"&lt;="&amp;日期!$B$7,allorders!$AG:$AG,"&gt;="&amp;日期!$B$8,allorders!N:N,"Shipped")</f>
        <v>1</v>
      </c>
      <c r="E118">
        <f>SUMIFS(allorders!$O:$O,allorders!$L:$L,$A118,allorders!$AG:$AG,"&lt;="&amp;日期!$B$9,allorders!$AG:$AG,"&gt;="&amp;日期!$B$10,allorders!N:N,"Shipped")</f>
        <v>0</v>
      </c>
      <c r="F118">
        <f>SUMIFS(allorders!$O:$O,allorders!$L:$L,$A118,allorders!$AG:$AG,"&lt;="&amp;日期!$B$11,allorders!$AG:$AG,"&gt;="&amp;日期!$B$12,allorders!N:N,"Shipped")</f>
        <v>0</v>
      </c>
      <c r="G118">
        <f>SUMIFS(allorders!Q:Q,allorders!L:L,A118,allorders!AG:AG,"&lt;="&amp;日期!$B$5,allorders!AG:AG,"&gt;="&amp;日期!$B$12,allorders!N:N,"Shipped")/SUM(C118:F118)</f>
        <v>8.99</v>
      </c>
      <c r="H118">
        <f>SUMIFS(allorders!Q:Q,allorders!L:L,A118,allorders!AG:AG,"&gt;="&amp;日期!$B$12,allorders!AG:AG,"&lt;="&amp;日期!$B$5,allorders!N:N,"Shipped")</f>
        <v>17.98</v>
      </c>
      <c r="I118">
        <f t="shared" si="1"/>
        <v>2</v>
      </c>
    </row>
    <row r="119" spans="1:9">
      <c r="A119" s="5" t="s">
        <v>3788</v>
      </c>
      <c r="B119" t="str">
        <f>VLOOKUP(A119,'[1]子SKU-父SKU'!$A:$B,2,0)</f>
        <v>WF7125</v>
      </c>
      <c r="C119">
        <f>SUMIFS(allorders!O:O,allorders!L:L,$A119,allorders!AG:AG,"&lt;="&amp;日期!$B$5,allorders!AG:AG,"&gt;="&amp;日期!$B$6,allorders!N:N,"Shipped")</f>
        <v>0</v>
      </c>
      <c r="D119">
        <f>SUMIFS(allorders!$O:$O,allorders!$L:$L,$A119,allorders!$AG:$AG,"&lt;="&amp;日期!$B$7,allorders!$AG:$AG,"&gt;="&amp;日期!$B$8,allorders!N:N,"Shipped")</f>
        <v>1</v>
      </c>
      <c r="E119">
        <f>SUMIFS(allorders!$O:$O,allorders!$L:$L,$A119,allorders!$AG:$AG,"&lt;="&amp;日期!$B$9,allorders!$AG:$AG,"&gt;="&amp;日期!$B$10,allorders!N:N,"Shipped")</f>
        <v>0</v>
      </c>
      <c r="F119">
        <f>SUMIFS(allorders!$O:$O,allorders!$L:$L,$A119,allorders!$AG:$AG,"&lt;="&amp;日期!$B$11,allorders!$AG:$AG,"&gt;="&amp;日期!$B$12,allorders!N:N,"Shipped")</f>
        <v>0</v>
      </c>
      <c r="G119">
        <f>SUMIFS(allorders!Q:Q,allorders!L:L,A119,allorders!AG:AG,"&lt;="&amp;日期!$B$5,allorders!AG:AG,"&gt;="&amp;日期!$B$12,allorders!N:N,"Shipped")/SUM(C119:F119)</f>
        <v>12</v>
      </c>
      <c r="H119">
        <f>SUMIFS(allorders!Q:Q,allorders!L:L,A119,allorders!AG:AG,"&gt;="&amp;日期!$B$12,allorders!AG:AG,"&lt;="&amp;日期!$B$5,allorders!N:N,"Shipped")</f>
        <v>12</v>
      </c>
      <c r="I119">
        <f t="shared" si="1"/>
        <v>1</v>
      </c>
    </row>
    <row r="120" spans="1:9">
      <c r="A120" s="5" t="s">
        <v>3816</v>
      </c>
      <c r="B120" t="str">
        <f>VLOOKUP(A120,'[1]子SKU-父SKU'!$A:$B,2,0)</f>
        <v>SCF-C01</v>
      </c>
      <c r="C120">
        <f>SUMIFS(allorders!O:O,allorders!L:L,$A120,allorders!AG:AG,"&lt;="&amp;日期!$B$5,allorders!AG:AG,"&gt;="&amp;日期!$B$6,allorders!N:N,"Shipped")</f>
        <v>0</v>
      </c>
      <c r="D120">
        <f>SUMIFS(allorders!$O:$O,allorders!$L:$L,$A120,allorders!$AG:$AG,"&lt;="&amp;日期!$B$7,allorders!$AG:$AG,"&gt;="&amp;日期!$B$8,allorders!N:N,"Shipped")</f>
        <v>1</v>
      </c>
      <c r="E120">
        <f>SUMIFS(allorders!$O:$O,allorders!$L:$L,$A120,allorders!$AG:$AG,"&lt;="&amp;日期!$B$9,allorders!$AG:$AG,"&gt;="&amp;日期!$B$10,allorders!N:N,"Shipped")</f>
        <v>0</v>
      </c>
      <c r="F120">
        <f>SUMIFS(allorders!$O:$O,allorders!$L:$L,$A120,allorders!$AG:$AG,"&lt;="&amp;日期!$B$11,allorders!$AG:$AG,"&gt;="&amp;日期!$B$12,allorders!N:N,"Shipped")</f>
        <v>0</v>
      </c>
      <c r="G120">
        <f>SUMIFS(allorders!Q:Q,allorders!L:L,A120,allorders!AG:AG,"&lt;="&amp;日期!$B$5,allorders!AG:AG,"&gt;="&amp;日期!$B$12,allorders!N:N,"Shipped")/SUM(C120:F120)</f>
        <v>20</v>
      </c>
      <c r="H120">
        <f>SUMIFS(allorders!Q:Q,allorders!L:L,A120,allorders!AG:AG,"&gt;="&amp;日期!$B$12,allorders!AG:AG,"&lt;="&amp;日期!$B$5,allorders!N:N,"Shipped")</f>
        <v>20</v>
      </c>
      <c r="I120">
        <f t="shared" si="1"/>
        <v>1</v>
      </c>
    </row>
    <row r="121" spans="1:9">
      <c r="A121" s="5" t="s">
        <v>3876</v>
      </c>
      <c r="B121" t="str">
        <f>VLOOKUP(A121,'[1]子SKU-父SKU'!$A:$B,2,0)</f>
        <v>SCF-D01</v>
      </c>
      <c r="C121">
        <f>SUMIFS(allorders!O:O,allorders!L:L,$A121,allorders!AG:AG,"&lt;="&amp;日期!$B$5,allorders!AG:AG,"&gt;="&amp;日期!$B$6,allorders!N:N,"Shipped")</f>
        <v>0</v>
      </c>
      <c r="D121">
        <f>SUMIFS(allorders!$O:$O,allorders!$L:$L,$A121,allorders!$AG:$AG,"&lt;="&amp;日期!$B$7,allorders!$AG:$AG,"&gt;="&amp;日期!$B$8,allorders!N:N,"Shipped")</f>
        <v>1</v>
      </c>
      <c r="E121">
        <f>SUMIFS(allorders!$O:$O,allorders!$L:$L,$A121,allorders!$AG:$AG,"&lt;="&amp;日期!$B$9,allorders!$AG:$AG,"&gt;="&amp;日期!$B$10,allorders!N:N,"Shipped")</f>
        <v>0</v>
      </c>
      <c r="F121">
        <f>SUMIFS(allorders!$O:$O,allorders!$L:$L,$A121,allorders!$AG:$AG,"&lt;="&amp;日期!$B$11,allorders!$AG:$AG,"&gt;="&amp;日期!$B$12,allorders!N:N,"Shipped")</f>
        <v>0</v>
      </c>
      <c r="G121">
        <f>SUMIFS(allorders!Q:Q,allorders!L:L,A121,allorders!AG:AG,"&lt;="&amp;日期!$B$5,allorders!AG:AG,"&gt;="&amp;日期!$B$12,allorders!N:N,"Shipped")/SUM(C121:F121)</f>
        <v>15</v>
      </c>
      <c r="H121">
        <f>SUMIFS(allorders!Q:Q,allorders!L:L,A121,allorders!AG:AG,"&gt;="&amp;日期!$B$12,allorders!AG:AG,"&lt;="&amp;日期!$B$5,allorders!N:N,"Shipped")</f>
        <v>15</v>
      </c>
      <c r="I121">
        <f t="shared" si="1"/>
        <v>1</v>
      </c>
    </row>
    <row r="122" spans="1:9">
      <c r="A122" s="5" t="s">
        <v>3975</v>
      </c>
      <c r="B122" t="str">
        <f>VLOOKUP(A122,'[1]子SKU-父SKU'!$A:$B,2,0)</f>
        <v>TZ-IUYL240</v>
      </c>
      <c r="C122">
        <f>SUMIFS(allorders!O:O,allorders!L:L,$A122,allorders!AG:AG,"&lt;="&amp;日期!$B$5,allorders!AG:AG,"&gt;="&amp;日期!$B$6,allorders!N:N,"Shipped")</f>
        <v>0</v>
      </c>
      <c r="D122">
        <f>SUMIFS(allorders!$O:$O,allorders!$L:$L,$A122,allorders!$AG:$AG,"&lt;="&amp;日期!$B$7,allorders!$AG:$AG,"&gt;="&amp;日期!$B$8,allorders!N:N,"Shipped")</f>
        <v>1</v>
      </c>
      <c r="E122">
        <f>SUMIFS(allorders!$O:$O,allorders!$L:$L,$A122,allorders!$AG:$AG,"&lt;="&amp;日期!$B$9,allorders!$AG:$AG,"&gt;="&amp;日期!$B$10,allorders!N:N,"Shipped")</f>
        <v>0</v>
      </c>
      <c r="F122">
        <f>SUMIFS(allorders!$O:$O,allorders!$L:$L,$A122,allorders!$AG:$AG,"&lt;="&amp;日期!$B$11,allorders!$AG:$AG,"&gt;="&amp;日期!$B$12,allorders!N:N,"Shipped")</f>
        <v>0</v>
      </c>
      <c r="G122">
        <f>SUMIFS(allorders!Q:Q,allorders!L:L,A122,allorders!AG:AG,"&lt;="&amp;日期!$B$5,allorders!AG:AG,"&gt;="&amp;日期!$B$12,allorders!N:N,"Shipped")/SUM(C122:F122)</f>
        <v>12.99</v>
      </c>
      <c r="H122">
        <f>SUMIFS(allorders!Q:Q,allorders!L:L,A122,allorders!AG:AG,"&gt;="&amp;日期!$B$12,allorders!AG:AG,"&lt;="&amp;日期!$B$5,allorders!N:N,"Shipped")</f>
        <v>12.99</v>
      </c>
      <c r="I122">
        <f t="shared" si="1"/>
        <v>1</v>
      </c>
    </row>
    <row r="123" spans="1:9">
      <c r="A123" s="5" t="s">
        <v>4077</v>
      </c>
      <c r="B123" t="str">
        <f>VLOOKUP(A123,'[1]子SKU-父SKU'!$A:$B,2,0)</f>
        <v>ST173</v>
      </c>
      <c r="C123">
        <f>SUMIFS(allorders!O:O,allorders!L:L,$A123,allorders!AG:AG,"&lt;="&amp;日期!$B$5,allorders!AG:AG,"&gt;="&amp;日期!$B$6,allorders!N:N,"Shipped")</f>
        <v>0</v>
      </c>
      <c r="D123">
        <f>SUMIFS(allorders!$O:$O,allorders!$L:$L,$A123,allorders!$AG:$AG,"&lt;="&amp;日期!$B$7,allorders!$AG:$AG,"&gt;="&amp;日期!$B$8,allorders!N:N,"Shipped")</f>
        <v>2</v>
      </c>
      <c r="E123">
        <f>SUMIFS(allorders!$O:$O,allorders!$L:$L,$A123,allorders!$AG:$AG,"&lt;="&amp;日期!$B$9,allorders!$AG:$AG,"&gt;="&amp;日期!$B$10,allorders!N:N,"Shipped")</f>
        <v>0</v>
      </c>
      <c r="F123">
        <f>SUMIFS(allorders!$O:$O,allorders!$L:$L,$A123,allorders!$AG:$AG,"&lt;="&amp;日期!$B$11,allorders!$AG:$AG,"&gt;="&amp;日期!$B$12,allorders!N:N,"Shipped")</f>
        <v>0</v>
      </c>
      <c r="G123">
        <f>SUMIFS(allorders!Q:Q,allorders!L:L,A123,allorders!AG:AG,"&lt;="&amp;日期!$B$5,allorders!AG:AG,"&gt;="&amp;日期!$B$12,allorders!N:N,"Shipped")/SUM(C123:F123)</f>
        <v>10</v>
      </c>
      <c r="H123">
        <f>SUMIFS(allorders!Q:Q,allorders!L:L,A123,allorders!AG:AG,"&gt;="&amp;日期!$B$12,allorders!AG:AG,"&lt;="&amp;日期!$B$5,allorders!N:N,"Shipped")</f>
        <v>20</v>
      </c>
      <c r="I123">
        <f t="shared" si="1"/>
        <v>2</v>
      </c>
    </row>
    <row r="124" spans="1:9">
      <c r="A124" s="5" t="s">
        <v>4080</v>
      </c>
      <c r="B124" t="str">
        <f>VLOOKUP(A124,'[1]子SKU-父SKU'!$A:$B,2,0)</f>
        <v>ST173</v>
      </c>
      <c r="C124">
        <f>SUMIFS(allorders!O:O,allorders!L:L,$A124,allorders!AG:AG,"&lt;="&amp;日期!$B$5,allorders!AG:AG,"&gt;="&amp;日期!$B$6,allorders!N:N,"Shipped")</f>
        <v>0</v>
      </c>
      <c r="D124">
        <f>SUMIFS(allorders!$O:$O,allorders!$L:$L,$A124,allorders!$AG:$AG,"&lt;="&amp;日期!$B$7,allorders!$AG:$AG,"&gt;="&amp;日期!$B$8,allorders!N:N,"Shipped")</f>
        <v>1</v>
      </c>
      <c r="E124">
        <f>SUMIFS(allorders!$O:$O,allorders!$L:$L,$A124,allorders!$AG:$AG,"&lt;="&amp;日期!$B$9,allorders!$AG:$AG,"&gt;="&amp;日期!$B$10,allorders!N:N,"Shipped")</f>
        <v>0</v>
      </c>
      <c r="F124">
        <f>SUMIFS(allorders!$O:$O,allorders!$L:$L,$A124,allorders!$AG:$AG,"&lt;="&amp;日期!$B$11,allorders!$AG:$AG,"&gt;="&amp;日期!$B$12,allorders!N:N,"Shipped")</f>
        <v>0</v>
      </c>
      <c r="G124">
        <f>SUMIFS(allorders!Q:Q,allorders!L:L,A124,allorders!AG:AG,"&lt;="&amp;日期!$B$5,allorders!AG:AG,"&gt;="&amp;日期!$B$12,allorders!N:N,"Shipped")/SUM(C124:F124)</f>
        <v>10</v>
      </c>
      <c r="H124">
        <f>SUMIFS(allorders!Q:Q,allorders!L:L,A124,allorders!AG:AG,"&gt;="&amp;日期!$B$12,allorders!AG:AG,"&lt;="&amp;日期!$B$5,allorders!N:N,"Shipped")</f>
        <v>10</v>
      </c>
      <c r="I124">
        <f t="shared" si="1"/>
        <v>1</v>
      </c>
    </row>
    <row r="125" spans="1:9">
      <c r="A125" s="5" t="s">
        <v>4103</v>
      </c>
      <c r="B125" t="str">
        <f>VLOOKUP(A125,'[1]子SKU-父SKU'!$A:$B,2,0)</f>
        <v>LGQ-IUYL100</v>
      </c>
      <c r="C125">
        <f>SUMIFS(allorders!O:O,allorders!L:L,$A125,allorders!AG:AG,"&lt;="&amp;日期!$B$5,allorders!AG:AG,"&gt;="&amp;日期!$B$6,allorders!N:N,"Shipped")</f>
        <v>0</v>
      </c>
      <c r="D125">
        <f>SUMIFS(allorders!$O:$O,allorders!$L:$L,$A125,allorders!$AG:$AG,"&lt;="&amp;日期!$B$7,allorders!$AG:$AG,"&gt;="&amp;日期!$B$8,allorders!N:N,"Shipped")</f>
        <v>1</v>
      </c>
      <c r="E125">
        <f>SUMIFS(allorders!$O:$O,allorders!$L:$L,$A125,allorders!$AG:$AG,"&lt;="&amp;日期!$B$9,allorders!$AG:$AG,"&gt;="&amp;日期!$B$10,allorders!N:N,"Shipped")</f>
        <v>0</v>
      </c>
      <c r="F125">
        <f>SUMIFS(allorders!$O:$O,allorders!$L:$L,$A125,allorders!$AG:$AG,"&lt;="&amp;日期!$B$11,allorders!$AG:$AG,"&gt;="&amp;日期!$B$12,allorders!N:N,"Shipped")</f>
        <v>0</v>
      </c>
      <c r="G125">
        <f>SUMIFS(allorders!Q:Q,allorders!L:L,A125,allorders!AG:AG,"&lt;="&amp;日期!$B$5,allorders!AG:AG,"&gt;="&amp;日期!$B$12,allorders!N:N,"Shipped")/SUM(C125:F125)</f>
        <v>17.9</v>
      </c>
      <c r="H125">
        <f>SUMIFS(allorders!Q:Q,allorders!L:L,A125,allorders!AG:AG,"&gt;="&amp;日期!$B$12,allorders!AG:AG,"&lt;="&amp;日期!$B$5,allorders!N:N,"Shipped")</f>
        <v>17.9</v>
      </c>
      <c r="I125">
        <f t="shared" si="1"/>
        <v>1</v>
      </c>
    </row>
    <row r="126" spans="1:9">
      <c r="A126" s="5" t="s">
        <v>4143</v>
      </c>
      <c r="B126" t="str">
        <f>VLOOKUP(A126,'[1]子SKU-父SKU'!$A:$B,2,0)</f>
        <v>ST173</v>
      </c>
      <c r="C126">
        <f>SUMIFS(allorders!O:O,allorders!L:L,$A126,allorders!AG:AG,"&lt;="&amp;日期!$B$5,allorders!AG:AG,"&gt;="&amp;日期!$B$6,allorders!N:N,"Shipped")</f>
        <v>1</v>
      </c>
      <c r="D126">
        <f>SUMIFS(allorders!$O:$O,allorders!$L:$L,$A126,allorders!$AG:$AG,"&lt;="&amp;日期!$B$7,allorders!$AG:$AG,"&gt;="&amp;日期!$B$8,allorders!N:N,"Shipped")</f>
        <v>2</v>
      </c>
      <c r="E126">
        <f>SUMIFS(allorders!$O:$O,allorders!$L:$L,$A126,allorders!$AG:$AG,"&lt;="&amp;日期!$B$9,allorders!$AG:$AG,"&gt;="&amp;日期!$B$10,allorders!N:N,"Shipped")</f>
        <v>0</v>
      </c>
      <c r="F126">
        <f>SUMIFS(allorders!$O:$O,allorders!$L:$L,$A126,allorders!$AG:$AG,"&lt;="&amp;日期!$B$11,allorders!$AG:$AG,"&gt;="&amp;日期!$B$12,allorders!N:N,"Shipped")</f>
        <v>0</v>
      </c>
      <c r="G126">
        <f>SUMIFS(allorders!Q:Q,allorders!L:L,A126,allorders!AG:AG,"&lt;="&amp;日期!$B$5,allorders!AG:AG,"&gt;="&amp;日期!$B$12,allorders!N:N,"Shipped")/SUM(C126:F126)</f>
        <v>12.3266666666667</v>
      </c>
      <c r="H126">
        <f>SUMIFS(allorders!Q:Q,allorders!L:L,A126,allorders!AG:AG,"&gt;="&amp;日期!$B$12,allorders!AG:AG,"&lt;="&amp;日期!$B$5,allorders!N:N,"Shipped")</f>
        <v>36.98</v>
      </c>
      <c r="I126">
        <f t="shared" si="1"/>
        <v>3</v>
      </c>
    </row>
    <row r="127" spans="1:9">
      <c r="A127" s="5" t="s">
        <v>4203</v>
      </c>
      <c r="B127" t="str">
        <f>VLOOKUP(A127,'[1]子SKU-父SKU'!$A:$B,2,0)</f>
        <v>AQD-IUYL330</v>
      </c>
      <c r="C127">
        <f>SUMIFS(allorders!O:O,allorders!L:L,$A127,allorders!AG:AG,"&lt;="&amp;日期!$B$5,allorders!AG:AG,"&gt;="&amp;日期!$B$6,allorders!N:N,"Shipped")</f>
        <v>0</v>
      </c>
      <c r="D127">
        <f>SUMIFS(allorders!$O:$O,allorders!$L:$L,$A127,allorders!$AG:$AG,"&lt;="&amp;日期!$B$7,allorders!$AG:$AG,"&gt;="&amp;日期!$B$8,allorders!N:N,"Shipped")</f>
        <v>1</v>
      </c>
      <c r="E127">
        <f>SUMIFS(allorders!$O:$O,allorders!$L:$L,$A127,allorders!$AG:$AG,"&lt;="&amp;日期!$B$9,allorders!$AG:$AG,"&gt;="&amp;日期!$B$10,allorders!N:N,"Shipped")</f>
        <v>0</v>
      </c>
      <c r="F127">
        <f>SUMIFS(allorders!$O:$O,allorders!$L:$L,$A127,allorders!$AG:$AG,"&lt;="&amp;日期!$B$11,allorders!$AG:$AG,"&gt;="&amp;日期!$B$12,allorders!N:N,"Shipped")</f>
        <v>0</v>
      </c>
      <c r="G127">
        <f>SUMIFS(allorders!Q:Q,allorders!L:L,A127,allorders!AG:AG,"&lt;="&amp;日期!$B$5,allorders!AG:AG,"&gt;="&amp;日期!$B$12,allorders!N:N,"Shipped")/SUM(C127:F127)</f>
        <v>8.99</v>
      </c>
      <c r="H127">
        <f>SUMIFS(allorders!Q:Q,allorders!L:L,A127,allorders!AG:AG,"&gt;="&amp;日期!$B$12,allorders!AG:AG,"&lt;="&amp;日期!$B$5,allorders!N:N,"Shipped")</f>
        <v>8.99</v>
      </c>
      <c r="I127">
        <f t="shared" si="1"/>
        <v>1</v>
      </c>
    </row>
    <row r="128" spans="1:9">
      <c r="A128" s="5" t="s">
        <v>4251</v>
      </c>
      <c r="B128" t="str">
        <f>VLOOKUP(A128,'[1]子SKU-父SKU'!$A:$B,2,0)</f>
        <v>WF7125</v>
      </c>
      <c r="C128">
        <f>SUMIFS(allorders!O:O,allorders!L:L,$A128,allorders!AG:AG,"&lt;="&amp;日期!$B$5,allorders!AG:AG,"&gt;="&amp;日期!$B$6,allorders!N:N,"Shipped")</f>
        <v>0</v>
      </c>
      <c r="D128">
        <f>SUMIFS(allorders!$O:$O,allorders!$L:$L,$A128,allorders!$AG:$AG,"&lt;="&amp;日期!$B$7,allorders!$AG:$AG,"&gt;="&amp;日期!$B$8,allorders!N:N,"Shipped")</f>
        <v>1</v>
      </c>
      <c r="E128">
        <f>SUMIFS(allorders!$O:$O,allorders!$L:$L,$A128,allorders!$AG:$AG,"&lt;="&amp;日期!$B$9,allorders!$AG:$AG,"&gt;="&amp;日期!$B$10,allorders!N:N,"Shipped")</f>
        <v>0</v>
      </c>
      <c r="F128">
        <f>SUMIFS(allorders!$O:$O,allorders!$L:$L,$A128,allorders!$AG:$AG,"&lt;="&amp;日期!$B$11,allorders!$AG:$AG,"&gt;="&amp;日期!$B$12,allorders!N:N,"Shipped")</f>
        <v>0</v>
      </c>
      <c r="G128">
        <f>SUMIFS(allorders!Q:Q,allorders!L:L,A128,allorders!AG:AG,"&lt;="&amp;日期!$B$5,allorders!AG:AG,"&gt;="&amp;日期!$B$12,allorders!N:N,"Shipped")/SUM(C128:F128)</f>
        <v>12</v>
      </c>
      <c r="H128">
        <f>SUMIFS(allorders!Q:Q,allorders!L:L,A128,allorders!AG:AG,"&gt;="&amp;日期!$B$12,allorders!AG:AG,"&lt;="&amp;日期!$B$5,allorders!N:N,"Shipped")</f>
        <v>12</v>
      </c>
      <c r="I128">
        <f t="shared" si="1"/>
        <v>1</v>
      </c>
    </row>
    <row r="129" spans="1:9">
      <c r="A129" s="5" t="s">
        <v>4300</v>
      </c>
      <c r="B129" t="str">
        <f>VLOOKUP(A129,'[1]子SKU-父SKU'!$A:$B,2,0)</f>
        <v>XQ-IUYL260</v>
      </c>
      <c r="C129">
        <f>SUMIFS(allorders!O:O,allorders!L:L,$A129,allorders!AG:AG,"&lt;="&amp;日期!$B$5,allorders!AG:AG,"&gt;="&amp;日期!$B$6,allorders!N:N,"Shipped")</f>
        <v>1</v>
      </c>
      <c r="D129">
        <f>SUMIFS(allorders!$O:$O,allorders!$L:$L,$A129,allorders!$AG:$AG,"&lt;="&amp;日期!$B$7,allorders!$AG:$AG,"&gt;="&amp;日期!$B$8,allorders!N:N,"Shipped")</f>
        <v>2</v>
      </c>
      <c r="E129">
        <f>SUMIFS(allorders!$O:$O,allorders!$L:$L,$A129,allorders!$AG:$AG,"&lt;="&amp;日期!$B$9,allorders!$AG:$AG,"&gt;="&amp;日期!$B$10,allorders!N:N,"Shipped")</f>
        <v>0</v>
      </c>
      <c r="F129">
        <f>SUMIFS(allorders!$O:$O,allorders!$L:$L,$A129,allorders!$AG:$AG,"&lt;="&amp;日期!$B$11,allorders!$AG:$AG,"&gt;="&amp;日期!$B$12,allorders!N:N,"Shipped")</f>
        <v>0</v>
      </c>
      <c r="G129">
        <f>SUMIFS(allorders!Q:Q,allorders!L:L,A129,allorders!AG:AG,"&lt;="&amp;日期!$B$5,allorders!AG:AG,"&gt;="&amp;日期!$B$12,allorders!N:N,"Shipped")/SUM(C129:F129)</f>
        <v>9.9</v>
      </c>
      <c r="H129">
        <f>SUMIFS(allorders!Q:Q,allorders!L:L,A129,allorders!AG:AG,"&gt;="&amp;日期!$B$12,allorders!AG:AG,"&lt;="&amp;日期!$B$5,allorders!N:N,"Shipped")</f>
        <v>29.7</v>
      </c>
      <c r="I129">
        <f t="shared" si="1"/>
        <v>3</v>
      </c>
    </row>
    <row r="130" spans="1:9">
      <c r="A130" s="5" t="s">
        <v>4376</v>
      </c>
      <c r="B130" t="str">
        <f>VLOOKUP(A130,'[1]子SKU-父SKU'!$A:$B,2,0)</f>
        <v>TZ-IUYL240</v>
      </c>
      <c r="C130">
        <f>SUMIFS(allorders!O:O,allorders!L:L,$A130,allorders!AG:AG,"&lt;="&amp;日期!$B$5,allorders!AG:AG,"&gt;="&amp;日期!$B$6,allorders!N:N,"Shipped")</f>
        <v>5</v>
      </c>
      <c r="D130">
        <f>SUMIFS(allorders!$O:$O,allorders!$L:$L,$A130,allorders!$AG:$AG,"&lt;="&amp;日期!$B$7,allorders!$AG:$AG,"&gt;="&amp;日期!$B$8,allorders!N:N,"Shipped")</f>
        <v>1</v>
      </c>
      <c r="E130">
        <f>SUMIFS(allorders!$O:$O,allorders!$L:$L,$A130,allorders!$AG:$AG,"&lt;="&amp;日期!$B$9,allorders!$AG:$AG,"&gt;="&amp;日期!$B$10,allorders!N:N,"Shipped")</f>
        <v>0</v>
      </c>
      <c r="F130">
        <f>SUMIFS(allorders!$O:$O,allorders!$L:$L,$A130,allorders!$AG:$AG,"&lt;="&amp;日期!$B$11,allorders!$AG:$AG,"&gt;="&amp;日期!$B$12,allorders!N:N,"Shipped")</f>
        <v>0</v>
      </c>
      <c r="G130">
        <f>SUMIFS(allorders!Q:Q,allorders!L:L,A130,allorders!AG:AG,"&lt;="&amp;日期!$B$5,allorders!AG:AG,"&gt;="&amp;日期!$B$12,allorders!N:N,"Shipped")/SUM(C130:F130)</f>
        <v>13.8233333333333</v>
      </c>
      <c r="H130">
        <f>SUMIFS(allorders!Q:Q,allorders!L:L,A130,allorders!AG:AG,"&gt;="&amp;日期!$B$12,allorders!AG:AG,"&lt;="&amp;日期!$B$5,allorders!N:N,"Shipped")</f>
        <v>82.94</v>
      </c>
      <c r="I130">
        <f t="shared" si="1"/>
        <v>6</v>
      </c>
    </row>
    <row r="131" spans="1:9">
      <c r="A131" s="5" t="s">
        <v>4447</v>
      </c>
      <c r="B131" t="str">
        <f>VLOOKUP(A131,'[1]子SKU-父SKU'!$A:$B,2,0)</f>
        <v>TZ-IUYL240</v>
      </c>
      <c r="C131">
        <f>SUMIFS(allorders!O:O,allorders!L:L,$A131,allorders!AG:AG,"&lt;="&amp;日期!$B$5,allorders!AG:AG,"&gt;="&amp;日期!$B$6,allorders!N:N,"Shipped")</f>
        <v>0</v>
      </c>
      <c r="D131">
        <f>SUMIFS(allorders!$O:$O,allorders!$L:$L,$A131,allorders!$AG:$AG,"&lt;="&amp;日期!$B$7,allorders!$AG:$AG,"&gt;="&amp;日期!$B$8,allorders!N:N,"Shipped")</f>
        <v>1</v>
      </c>
      <c r="E131">
        <f>SUMIFS(allorders!$O:$O,allorders!$L:$L,$A131,allorders!$AG:$AG,"&lt;="&amp;日期!$B$9,allorders!$AG:$AG,"&gt;="&amp;日期!$B$10,allorders!N:N,"Shipped")</f>
        <v>0</v>
      </c>
      <c r="F131">
        <f>SUMIFS(allorders!$O:$O,allorders!$L:$L,$A131,allorders!$AG:$AG,"&lt;="&amp;日期!$B$11,allorders!$AG:$AG,"&gt;="&amp;日期!$B$12,allorders!N:N,"Shipped")</f>
        <v>0</v>
      </c>
      <c r="G131">
        <f>SUMIFS(allorders!Q:Q,allorders!L:L,A131,allorders!AG:AG,"&lt;="&amp;日期!$B$5,allorders!AG:AG,"&gt;="&amp;日期!$B$12,allorders!N:N,"Shipped")/SUM(C131:F131)</f>
        <v>25.99</v>
      </c>
      <c r="H131">
        <f>SUMIFS(allorders!Q:Q,allorders!L:L,A131,allorders!AG:AG,"&gt;="&amp;日期!$B$12,allorders!AG:AG,"&lt;="&amp;日期!$B$5,allorders!N:N,"Shipped")</f>
        <v>25.99</v>
      </c>
      <c r="I131">
        <f t="shared" ref="I131:I157" si="2">SUM(C131:F131)</f>
        <v>1</v>
      </c>
    </row>
    <row r="132" spans="1:9">
      <c r="A132" s="5" t="s">
        <v>4502</v>
      </c>
      <c r="B132" t="str">
        <f>VLOOKUP(A132,'[1]子SKU-父SKU'!$A:$B,2,0)</f>
        <v>ST173</v>
      </c>
      <c r="C132">
        <f>SUMIFS(allorders!O:O,allorders!L:L,$A132,allorders!AG:AG,"&lt;="&amp;日期!$B$5,allorders!AG:AG,"&gt;="&amp;日期!$B$6,allorders!N:N,"Shipped")</f>
        <v>0</v>
      </c>
      <c r="D132">
        <f>SUMIFS(allorders!$O:$O,allorders!$L:$L,$A132,allorders!$AG:$AG,"&lt;="&amp;日期!$B$7,allorders!$AG:$AG,"&gt;="&amp;日期!$B$8,allorders!N:N,"Shipped")</f>
        <v>2</v>
      </c>
      <c r="E132">
        <f>SUMIFS(allorders!$O:$O,allorders!$L:$L,$A132,allorders!$AG:$AG,"&lt;="&amp;日期!$B$9,allorders!$AG:$AG,"&gt;="&amp;日期!$B$10,allorders!N:N,"Shipped")</f>
        <v>0</v>
      </c>
      <c r="F132">
        <f>SUMIFS(allorders!$O:$O,allorders!$L:$L,$A132,allorders!$AG:$AG,"&lt;="&amp;日期!$B$11,allorders!$AG:$AG,"&gt;="&amp;日期!$B$12,allorders!N:N,"Shipped")</f>
        <v>0</v>
      </c>
      <c r="G132">
        <f>SUMIFS(allorders!Q:Q,allorders!L:L,A132,allorders!AG:AG,"&lt;="&amp;日期!$B$5,allorders!AG:AG,"&gt;="&amp;日期!$B$12,allorders!N:N,"Shipped")/SUM(C132:F132)</f>
        <v>12.98</v>
      </c>
      <c r="H132">
        <f>SUMIFS(allorders!Q:Q,allorders!L:L,A132,allorders!AG:AG,"&gt;="&amp;日期!$B$12,allorders!AG:AG,"&lt;="&amp;日期!$B$5,allorders!N:N,"Shipped")</f>
        <v>25.96</v>
      </c>
      <c r="I132">
        <f t="shared" si="2"/>
        <v>2</v>
      </c>
    </row>
    <row r="133" spans="1:9">
      <c r="A133" s="5" t="s">
        <v>4532</v>
      </c>
      <c r="B133" t="str">
        <f>VLOOKUP(A133,'[1]子SKU-父SKU'!$A:$B,2,0)</f>
        <v>WF7125</v>
      </c>
      <c r="C133">
        <f>SUMIFS(allorders!O:O,allorders!L:L,$A133,allorders!AG:AG,"&lt;="&amp;日期!$B$5,allorders!AG:AG,"&gt;="&amp;日期!$B$6,allorders!N:N,"Shipped")</f>
        <v>0</v>
      </c>
      <c r="D133">
        <f>SUMIFS(allorders!$O:$O,allorders!$L:$L,$A133,allorders!$AG:$AG,"&lt;="&amp;日期!$B$7,allorders!$AG:$AG,"&gt;="&amp;日期!$B$8,allorders!N:N,"Shipped")</f>
        <v>1</v>
      </c>
      <c r="E133">
        <f>SUMIFS(allorders!$O:$O,allorders!$L:$L,$A133,allorders!$AG:$AG,"&lt;="&amp;日期!$B$9,allorders!$AG:$AG,"&gt;="&amp;日期!$B$10,allorders!N:N,"Shipped")</f>
        <v>0</v>
      </c>
      <c r="F133">
        <f>SUMIFS(allorders!$O:$O,allorders!$L:$L,$A133,allorders!$AG:$AG,"&lt;="&amp;日期!$B$11,allorders!$AG:$AG,"&gt;="&amp;日期!$B$12,allorders!N:N,"Shipped")</f>
        <v>0</v>
      </c>
      <c r="G133">
        <f>SUMIFS(allorders!Q:Q,allorders!L:L,A133,allorders!AG:AG,"&lt;="&amp;日期!$B$5,allorders!AG:AG,"&gt;="&amp;日期!$B$12,allorders!N:N,"Shipped")/SUM(C133:F133)</f>
        <v>12</v>
      </c>
      <c r="H133">
        <f>SUMIFS(allorders!Q:Q,allorders!L:L,A133,allorders!AG:AG,"&gt;="&amp;日期!$B$12,allorders!AG:AG,"&lt;="&amp;日期!$B$5,allorders!N:N,"Shipped")</f>
        <v>12</v>
      </c>
      <c r="I133">
        <f t="shared" si="2"/>
        <v>1</v>
      </c>
    </row>
    <row r="134" spans="1:9">
      <c r="A134" s="5" t="s">
        <v>4590</v>
      </c>
      <c r="B134" t="str">
        <f>VLOOKUP(A134,'[1]子SKU-父SKU'!$A:$B,2,0)</f>
        <v>MJ-IUYL230</v>
      </c>
      <c r="C134">
        <f>SUMIFS(allorders!O:O,allorders!L:L,$A134,allorders!AG:AG,"&lt;="&amp;日期!$B$5,allorders!AG:AG,"&gt;="&amp;日期!$B$6,allorders!N:N,"Shipped")</f>
        <v>0</v>
      </c>
      <c r="D134">
        <f>SUMIFS(allorders!$O:$O,allorders!$L:$L,$A134,allorders!$AG:$AG,"&lt;="&amp;日期!$B$7,allorders!$AG:$AG,"&gt;="&amp;日期!$B$8,allorders!N:N,"Shipped")</f>
        <v>1</v>
      </c>
      <c r="E134">
        <f>SUMIFS(allorders!$O:$O,allorders!$L:$L,$A134,allorders!$AG:$AG,"&lt;="&amp;日期!$B$9,allorders!$AG:$AG,"&gt;="&amp;日期!$B$10,allorders!N:N,"Shipped")</f>
        <v>0</v>
      </c>
      <c r="F134">
        <f>SUMIFS(allorders!$O:$O,allorders!$L:$L,$A134,allorders!$AG:$AG,"&lt;="&amp;日期!$B$11,allorders!$AG:$AG,"&gt;="&amp;日期!$B$12,allorders!N:N,"Shipped")</f>
        <v>0</v>
      </c>
      <c r="G134">
        <f>SUMIFS(allorders!Q:Q,allorders!L:L,A134,allorders!AG:AG,"&lt;="&amp;日期!$B$5,allorders!AG:AG,"&gt;="&amp;日期!$B$12,allorders!N:N,"Shipped")/SUM(C134:F134)</f>
        <v>11.99</v>
      </c>
      <c r="H134">
        <f>SUMIFS(allorders!Q:Q,allorders!L:L,A134,allorders!AG:AG,"&gt;="&amp;日期!$B$12,allorders!AG:AG,"&lt;="&amp;日期!$B$5,allorders!N:N,"Shipped")</f>
        <v>11.99</v>
      </c>
      <c r="I134">
        <f t="shared" si="2"/>
        <v>1</v>
      </c>
    </row>
    <row r="135" spans="1:9">
      <c r="A135" s="5" t="s">
        <v>4615</v>
      </c>
      <c r="B135" t="str">
        <f>VLOOKUP(A135,'[1]子SKU-父SKU'!$A:$B,2,0)</f>
        <v>XQ-IUYL260</v>
      </c>
      <c r="C135">
        <f>SUMIFS(allorders!O:O,allorders!L:L,$A135,allorders!AG:AG,"&lt;="&amp;日期!$B$5,allorders!AG:AG,"&gt;="&amp;日期!$B$6,allorders!N:N,"Shipped")</f>
        <v>1</v>
      </c>
      <c r="D135">
        <f>SUMIFS(allorders!$O:$O,allorders!$L:$L,$A135,allorders!$AG:$AG,"&lt;="&amp;日期!$B$7,allorders!$AG:$AG,"&gt;="&amp;日期!$B$8,allorders!N:N,"Shipped")</f>
        <v>1</v>
      </c>
      <c r="E135">
        <f>SUMIFS(allorders!$O:$O,allorders!$L:$L,$A135,allorders!$AG:$AG,"&lt;="&amp;日期!$B$9,allorders!$AG:$AG,"&gt;="&amp;日期!$B$10,allorders!N:N,"Shipped")</f>
        <v>0</v>
      </c>
      <c r="F135">
        <f>SUMIFS(allorders!$O:$O,allorders!$L:$L,$A135,allorders!$AG:$AG,"&lt;="&amp;日期!$B$11,allorders!$AG:$AG,"&gt;="&amp;日期!$B$12,allorders!N:N,"Shipped")</f>
        <v>0</v>
      </c>
      <c r="G135">
        <f>SUMIFS(allorders!Q:Q,allorders!L:L,A135,allorders!AG:AG,"&lt;="&amp;日期!$B$5,allorders!AG:AG,"&gt;="&amp;日期!$B$12,allorders!N:N,"Shipped")/SUM(C135:F135)</f>
        <v>9.9</v>
      </c>
      <c r="H135">
        <f>SUMIFS(allorders!Q:Q,allorders!L:L,A135,allorders!AG:AG,"&gt;="&amp;日期!$B$12,allorders!AG:AG,"&lt;="&amp;日期!$B$5,allorders!N:N,"Shipped")</f>
        <v>19.8</v>
      </c>
      <c r="I135">
        <f t="shared" si="2"/>
        <v>2</v>
      </c>
    </row>
    <row r="136" spans="1:9">
      <c r="A136" s="5" t="s">
        <v>4667</v>
      </c>
      <c r="B136" t="str">
        <f>VLOOKUP(A136,'[1]子SKU-父SKU'!$A:$B,2,0)</f>
        <v>LGQ-IUYL100</v>
      </c>
      <c r="C136">
        <f>SUMIFS(allorders!O:O,allorders!L:L,$A136,allorders!AG:AG,"&lt;="&amp;日期!$B$5,allorders!AG:AG,"&gt;="&amp;日期!$B$6,allorders!N:N,"Shipped")</f>
        <v>0</v>
      </c>
      <c r="D136">
        <f>SUMIFS(allorders!$O:$O,allorders!$L:$L,$A136,allorders!$AG:$AG,"&lt;="&amp;日期!$B$7,allorders!$AG:$AG,"&gt;="&amp;日期!$B$8,allorders!N:N,"Shipped")</f>
        <v>1</v>
      </c>
      <c r="E136">
        <f>SUMIFS(allorders!$O:$O,allorders!$L:$L,$A136,allorders!$AG:$AG,"&lt;="&amp;日期!$B$9,allorders!$AG:$AG,"&gt;="&amp;日期!$B$10,allorders!N:N,"Shipped")</f>
        <v>0</v>
      </c>
      <c r="F136">
        <f>SUMIFS(allorders!$O:$O,allorders!$L:$L,$A136,allorders!$AG:$AG,"&lt;="&amp;日期!$B$11,allorders!$AG:$AG,"&gt;="&amp;日期!$B$12,allorders!N:N,"Shipped")</f>
        <v>0</v>
      </c>
      <c r="G136">
        <f>SUMIFS(allorders!Q:Q,allorders!L:L,A136,allorders!AG:AG,"&lt;="&amp;日期!$B$5,allorders!AG:AG,"&gt;="&amp;日期!$B$12,allorders!N:N,"Shipped")/SUM(C136:F136)</f>
        <v>17.9</v>
      </c>
      <c r="H136">
        <f>SUMIFS(allorders!Q:Q,allorders!L:L,A136,allorders!AG:AG,"&gt;="&amp;日期!$B$12,allorders!AG:AG,"&lt;="&amp;日期!$B$5,allorders!N:N,"Shipped")</f>
        <v>17.9</v>
      </c>
      <c r="I136">
        <f t="shared" si="2"/>
        <v>1</v>
      </c>
    </row>
    <row r="137" spans="1:9">
      <c r="A137" s="5" t="s">
        <v>4767</v>
      </c>
      <c r="B137" t="str">
        <f>VLOOKUP(A137,'[1]子SKU-父SKU'!$A:$B,2,0)</f>
        <v>GW-LULHY</v>
      </c>
      <c r="C137">
        <f>SUMIFS(allorders!O:O,allorders!L:L,$A137,allorders!AG:AG,"&lt;="&amp;日期!$B$5,allorders!AG:AG,"&gt;="&amp;日期!$B$6,allorders!N:N,"Shipped")</f>
        <v>0</v>
      </c>
      <c r="D137">
        <f>SUMIFS(allorders!$O:$O,allorders!$L:$L,$A137,allorders!$AG:$AG,"&lt;="&amp;日期!$B$7,allorders!$AG:$AG,"&gt;="&amp;日期!$B$8,allorders!N:N,"Shipped")</f>
        <v>2</v>
      </c>
      <c r="E137">
        <f>SUMIFS(allorders!$O:$O,allorders!$L:$L,$A137,allorders!$AG:$AG,"&lt;="&amp;日期!$B$9,allorders!$AG:$AG,"&gt;="&amp;日期!$B$10,allorders!N:N,"Shipped")</f>
        <v>0</v>
      </c>
      <c r="F137">
        <f>SUMIFS(allorders!$O:$O,allorders!$L:$L,$A137,allorders!$AG:$AG,"&lt;="&amp;日期!$B$11,allorders!$AG:$AG,"&gt;="&amp;日期!$B$12,allorders!N:N,"Shipped")</f>
        <v>0</v>
      </c>
      <c r="G137">
        <f>SUMIFS(allorders!Q:Q,allorders!L:L,A137,allorders!AG:AG,"&lt;="&amp;日期!$B$5,allorders!AG:AG,"&gt;="&amp;日期!$B$12,allorders!N:N,"Shipped")/SUM(C137:F137)</f>
        <v>12.99</v>
      </c>
      <c r="H137">
        <f>SUMIFS(allorders!Q:Q,allorders!L:L,A137,allorders!AG:AG,"&gt;="&amp;日期!$B$12,allorders!AG:AG,"&lt;="&amp;日期!$B$5,allorders!N:N,"Shipped")</f>
        <v>25.98</v>
      </c>
      <c r="I137">
        <f t="shared" si="2"/>
        <v>2</v>
      </c>
    </row>
    <row r="138" spans="1:9">
      <c r="A138" s="5" t="s">
        <v>4801</v>
      </c>
      <c r="B138" t="str">
        <f>VLOOKUP(A138,'[1]子SKU-父SKU'!$A:$B,2,0)</f>
        <v>SCF-B01</v>
      </c>
      <c r="C138">
        <f>SUMIFS(allorders!O:O,allorders!L:L,$A138,allorders!AG:AG,"&lt;="&amp;日期!$B$5,allorders!AG:AG,"&gt;="&amp;日期!$B$6,allorders!N:N,"Shipped")</f>
        <v>0</v>
      </c>
      <c r="D138">
        <f>SUMIFS(allorders!$O:$O,allorders!$L:$L,$A138,allorders!$AG:$AG,"&lt;="&amp;日期!$B$7,allorders!$AG:$AG,"&gt;="&amp;日期!$B$8,allorders!N:N,"Shipped")</f>
        <v>1</v>
      </c>
      <c r="E138">
        <f>SUMIFS(allorders!$O:$O,allorders!$L:$L,$A138,allorders!$AG:$AG,"&lt;="&amp;日期!$B$9,allorders!$AG:$AG,"&gt;="&amp;日期!$B$10,allorders!N:N,"Shipped")</f>
        <v>0</v>
      </c>
      <c r="F138">
        <f>SUMIFS(allorders!$O:$O,allorders!$L:$L,$A138,allorders!$AG:$AG,"&lt;="&amp;日期!$B$11,allorders!$AG:$AG,"&gt;="&amp;日期!$B$12,allorders!N:N,"Shipped")</f>
        <v>0</v>
      </c>
      <c r="G138">
        <f>SUMIFS(allorders!Q:Q,allorders!L:L,A138,allorders!AG:AG,"&lt;="&amp;日期!$B$5,allorders!AG:AG,"&gt;="&amp;日期!$B$12,allorders!N:N,"Shipped")/SUM(C138:F138)</f>
        <v>20</v>
      </c>
      <c r="H138">
        <f>SUMIFS(allorders!Q:Q,allorders!L:L,A138,allorders!AG:AG,"&gt;="&amp;日期!$B$12,allorders!AG:AG,"&lt;="&amp;日期!$B$5,allorders!N:N,"Shipped")</f>
        <v>20</v>
      </c>
      <c r="I138">
        <f t="shared" si="2"/>
        <v>1</v>
      </c>
    </row>
    <row r="139" spans="1:9">
      <c r="A139" s="5" t="s">
        <v>4838</v>
      </c>
      <c r="B139" t="str">
        <f>VLOOKUP(A139,'[1]子SKU-父SKU'!$A:$B,2,0)</f>
        <v>ST006</v>
      </c>
      <c r="C139">
        <f>SUMIFS(allorders!O:O,allorders!L:L,$A139,allorders!AG:AG,"&lt;="&amp;日期!$B$5,allorders!AG:AG,"&gt;="&amp;日期!$B$6,allorders!N:N,"Shipped")</f>
        <v>0</v>
      </c>
      <c r="D139">
        <f>SUMIFS(allorders!$O:$O,allorders!$L:$L,$A139,allorders!$AG:$AG,"&lt;="&amp;日期!$B$7,allorders!$AG:$AG,"&gt;="&amp;日期!$B$8,allorders!N:N,"Shipped")</f>
        <v>1</v>
      </c>
      <c r="E139">
        <f>SUMIFS(allorders!$O:$O,allorders!$L:$L,$A139,allorders!$AG:$AG,"&lt;="&amp;日期!$B$9,allorders!$AG:$AG,"&gt;="&amp;日期!$B$10,allorders!N:N,"Shipped")</f>
        <v>0</v>
      </c>
      <c r="F139">
        <f>SUMIFS(allorders!$O:$O,allorders!$L:$L,$A139,allorders!$AG:$AG,"&lt;="&amp;日期!$B$11,allorders!$AG:$AG,"&gt;="&amp;日期!$B$12,allorders!N:N,"Shipped")</f>
        <v>0</v>
      </c>
      <c r="G139">
        <f>SUMIFS(allorders!Q:Q,allorders!L:L,A139,allorders!AG:AG,"&lt;="&amp;日期!$B$5,allorders!AG:AG,"&gt;="&amp;日期!$B$12,allorders!N:N,"Shipped")/SUM(C139:F139)</f>
        <v>12.98</v>
      </c>
      <c r="H139">
        <f>SUMIFS(allorders!Q:Q,allorders!L:L,A139,allorders!AG:AG,"&gt;="&amp;日期!$B$12,allorders!AG:AG,"&lt;="&amp;日期!$B$5,allorders!N:N,"Shipped")</f>
        <v>12.98</v>
      </c>
      <c r="I139">
        <f t="shared" si="2"/>
        <v>1</v>
      </c>
    </row>
    <row r="140" spans="1:9">
      <c r="A140" s="5" t="s">
        <v>4850</v>
      </c>
      <c r="B140" t="str">
        <f>VLOOKUP(A140,'[1]子SKU-父SKU'!$A:$B,2,0)</f>
        <v>ST173</v>
      </c>
      <c r="C140">
        <f>SUMIFS(allorders!O:O,allorders!L:L,$A140,allorders!AG:AG,"&lt;="&amp;日期!$B$5,allorders!AG:AG,"&gt;="&amp;日期!$B$6,allorders!N:N,"Shipped")</f>
        <v>0</v>
      </c>
      <c r="D140">
        <f>SUMIFS(allorders!$O:$O,allorders!$L:$L,$A140,allorders!$AG:$AG,"&lt;="&amp;日期!$B$7,allorders!$AG:$AG,"&gt;="&amp;日期!$B$8,allorders!N:N,"Shipped")</f>
        <v>1</v>
      </c>
      <c r="E140">
        <f>SUMIFS(allorders!$O:$O,allorders!$L:$L,$A140,allorders!$AG:$AG,"&lt;="&amp;日期!$B$9,allorders!$AG:$AG,"&gt;="&amp;日期!$B$10,allorders!N:N,"Shipped")</f>
        <v>0</v>
      </c>
      <c r="F140">
        <f>SUMIFS(allorders!$O:$O,allorders!$L:$L,$A140,allorders!$AG:$AG,"&lt;="&amp;日期!$B$11,allorders!$AG:$AG,"&gt;="&amp;日期!$B$12,allorders!N:N,"Shipped")</f>
        <v>0</v>
      </c>
      <c r="G140">
        <f>SUMIFS(allorders!Q:Q,allorders!L:L,A140,allorders!AG:AG,"&lt;="&amp;日期!$B$5,allorders!AG:AG,"&gt;="&amp;日期!$B$12,allorders!N:N,"Shipped")/SUM(C140:F140)</f>
        <v>10</v>
      </c>
      <c r="H140">
        <f>SUMIFS(allorders!Q:Q,allorders!L:L,A140,allorders!AG:AG,"&gt;="&amp;日期!$B$12,allorders!AG:AG,"&lt;="&amp;日期!$B$5,allorders!N:N,"Shipped")</f>
        <v>10</v>
      </c>
      <c r="I140">
        <f t="shared" si="2"/>
        <v>1</v>
      </c>
    </row>
    <row r="141" spans="1:9">
      <c r="A141" s="5" t="s">
        <v>4963</v>
      </c>
      <c r="B141" t="str">
        <f>VLOOKUP(A141,'[1]子SKU-父SKU'!$A:$B,2,0)</f>
        <v>XQ-IUYL260</v>
      </c>
      <c r="C141">
        <f>SUMIFS(allorders!O:O,allorders!L:L,$A141,allorders!AG:AG,"&lt;="&amp;日期!$B$5,allorders!AG:AG,"&gt;="&amp;日期!$B$6,allorders!N:N,"Shipped")</f>
        <v>1</v>
      </c>
      <c r="D141">
        <f>SUMIFS(allorders!$O:$O,allorders!$L:$L,$A141,allorders!$AG:$AG,"&lt;="&amp;日期!$B$7,allorders!$AG:$AG,"&gt;="&amp;日期!$B$8,allorders!N:N,"Shipped")</f>
        <v>0</v>
      </c>
      <c r="E141">
        <f>SUMIFS(allorders!$O:$O,allorders!$L:$L,$A141,allorders!$AG:$AG,"&lt;="&amp;日期!$B$9,allorders!$AG:$AG,"&gt;="&amp;日期!$B$10,allorders!N:N,"Shipped")</f>
        <v>0</v>
      </c>
      <c r="F141">
        <f>SUMIFS(allorders!$O:$O,allorders!$L:$L,$A141,allorders!$AG:$AG,"&lt;="&amp;日期!$B$11,allorders!$AG:$AG,"&gt;="&amp;日期!$B$12,allorders!N:N,"Shipped")</f>
        <v>0</v>
      </c>
      <c r="G141">
        <f>SUMIFS(allorders!Q:Q,allorders!L:L,A141,allorders!AG:AG,"&lt;="&amp;日期!$B$5,allorders!AG:AG,"&gt;="&amp;日期!$B$12,allorders!N:N,"Shipped")/SUM(C141:F141)</f>
        <v>9.9</v>
      </c>
      <c r="H141">
        <f>SUMIFS(allorders!Q:Q,allorders!L:L,A141,allorders!AG:AG,"&gt;="&amp;日期!$B$12,allorders!AG:AG,"&lt;="&amp;日期!$B$5,allorders!N:N,"Shipped")</f>
        <v>9.9</v>
      </c>
      <c r="I141">
        <f t="shared" si="2"/>
        <v>1</v>
      </c>
    </row>
    <row r="142" spans="1:9">
      <c r="A142" s="5" t="s">
        <v>5110</v>
      </c>
      <c r="B142" t="str">
        <f>VLOOKUP(A142,'[1]子SKU-父SKU'!$A:$B,2,0)</f>
        <v>WF7125</v>
      </c>
      <c r="C142">
        <f>SUMIFS(allorders!O:O,allorders!L:L,$A142,allorders!AG:AG,"&lt;="&amp;日期!$B$5,allorders!AG:AG,"&gt;="&amp;日期!$B$6,allorders!N:N,"Shipped")</f>
        <v>1</v>
      </c>
      <c r="D142">
        <f>SUMIFS(allorders!$O:$O,allorders!$L:$L,$A142,allorders!$AG:$AG,"&lt;="&amp;日期!$B$7,allorders!$AG:$AG,"&gt;="&amp;日期!$B$8,allorders!N:N,"Shipped")</f>
        <v>0</v>
      </c>
      <c r="E142">
        <f>SUMIFS(allorders!$O:$O,allorders!$L:$L,$A142,allorders!$AG:$AG,"&lt;="&amp;日期!$B$9,allorders!$AG:$AG,"&gt;="&amp;日期!$B$10,allorders!N:N,"Shipped")</f>
        <v>0</v>
      </c>
      <c r="F142">
        <f>SUMIFS(allorders!$O:$O,allorders!$L:$L,$A142,allorders!$AG:$AG,"&lt;="&amp;日期!$B$11,allorders!$AG:$AG,"&gt;="&amp;日期!$B$12,allorders!N:N,"Shipped")</f>
        <v>0</v>
      </c>
      <c r="G142">
        <f>SUMIFS(allorders!Q:Q,allorders!L:L,A142,allorders!AG:AG,"&lt;="&amp;日期!$B$5,allorders!AG:AG,"&gt;="&amp;日期!$B$12,allorders!N:N,"Shipped")/SUM(C142:F142)</f>
        <v>12</v>
      </c>
      <c r="H142">
        <f>SUMIFS(allorders!Q:Q,allorders!L:L,A142,allorders!AG:AG,"&gt;="&amp;日期!$B$12,allorders!AG:AG,"&lt;="&amp;日期!$B$5,allorders!N:N,"Shipped")</f>
        <v>12</v>
      </c>
      <c r="I142">
        <f t="shared" si="2"/>
        <v>1</v>
      </c>
    </row>
    <row r="143" spans="1:9">
      <c r="A143" s="5" t="s">
        <v>5192</v>
      </c>
      <c r="B143" t="str">
        <f>VLOOKUP(A143,'[1]子SKU-父SKU'!$A:$B,2,0)</f>
        <v>TZ-IUYL240</v>
      </c>
      <c r="C143">
        <f>SUMIFS(allorders!O:O,allorders!L:L,$A143,allorders!AG:AG,"&lt;="&amp;日期!$B$5,allorders!AG:AG,"&gt;="&amp;日期!$B$6,allorders!N:N,"Shipped")</f>
        <v>1</v>
      </c>
      <c r="D143">
        <f>SUMIFS(allorders!$O:$O,allorders!$L:$L,$A143,allorders!$AG:$AG,"&lt;="&amp;日期!$B$7,allorders!$AG:$AG,"&gt;="&amp;日期!$B$8,allorders!N:N,"Shipped")</f>
        <v>0</v>
      </c>
      <c r="E143">
        <f>SUMIFS(allorders!$O:$O,allorders!$L:$L,$A143,allorders!$AG:$AG,"&lt;="&amp;日期!$B$9,allorders!$AG:$AG,"&gt;="&amp;日期!$B$10,allorders!N:N,"Shipped")</f>
        <v>0</v>
      </c>
      <c r="F143">
        <f>SUMIFS(allorders!$O:$O,allorders!$L:$L,$A143,allorders!$AG:$AG,"&lt;="&amp;日期!$B$11,allorders!$AG:$AG,"&gt;="&amp;日期!$B$12,allorders!N:N,"Shipped")</f>
        <v>0</v>
      </c>
      <c r="G143">
        <f>SUMIFS(allorders!Q:Q,allorders!L:L,A143,allorders!AG:AG,"&lt;="&amp;日期!$B$5,allorders!AG:AG,"&gt;="&amp;日期!$B$12,allorders!N:N,"Shipped")/SUM(C143:F143)</f>
        <v>24.99</v>
      </c>
      <c r="H143">
        <f>SUMIFS(allorders!Q:Q,allorders!L:L,A143,allorders!AG:AG,"&gt;="&amp;日期!$B$12,allorders!AG:AG,"&lt;="&amp;日期!$B$5,allorders!N:N,"Shipped")</f>
        <v>24.99</v>
      </c>
      <c r="I143">
        <f t="shared" si="2"/>
        <v>1</v>
      </c>
    </row>
    <row r="144" spans="1:9">
      <c r="A144" s="5" t="s">
        <v>5231</v>
      </c>
      <c r="B144" t="str">
        <f>VLOOKUP(A144,'[1]子SKU-父SKU'!$A:$B,2,0)</f>
        <v>ST173</v>
      </c>
      <c r="C144">
        <f>SUMIFS(allorders!O:O,allorders!L:L,$A144,allorders!AG:AG,"&lt;="&amp;日期!$B$5,allorders!AG:AG,"&gt;="&amp;日期!$B$6,allorders!N:N,"Shipped")</f>
        <v>1</v>
      </c>
      <c r="D144">
        <f>SUMIFS(allorders!$O:$O,allorders!$L:$L,$A144,allorders!$AG:$AG,"&lt;="&amp;日期!$B$7,allorders!$AG:$AG,"&gt;="&amp;日期!$B$8,allorders!N:N,"Shipped")</f>
        <v>0</v>
      </c>
      <c r="E144">
        <f>SUMIFS(allorders!$O:$O,allorders!$L:$L,$A144,allorders!$AG:$AG,"&lt;="&amp;日期!$B$9,allorders!$AG:$AG,"&gt;="&amp;日期!$B$10,allorders!N:N,"Shipped")</f>
        <v>0</v>
      </c>
      <c r="F144">
        <f>SUMIFS(allorders!$O:$O,allorders!$L:$L,$A144,allorders!$AG:$AG,"&lt;="&amp;日期!$B$11,allorders!$AG:$AG,"&gt;="&amp;日期!$B$12,allorders!N:N,"Shipped")</f>
        <v>0</v>
      </c>
      <c r="G144">
        <f>SUMIFS(allorders!Q:Q,allorders!L:L,A144,allorders!AG:AG,"&lt;="&amp;日期!$B$5,allorders!AG:AG,"&gt;="&amp;日期!$B$12,allorders!N:N,"Shipped")/SUM(C144:F144)</f>
        <v>12.98</v>
      </c>
      <c r="H144">
        <f>SUMIFS(allorders!Q:Q,allorders!L:L,A144,allorders!AG:AG,"&gt;="&amp;日期!$B$12,allorders!AG:AG,"&lt;="&amp;日期!$B$5,allorders!N:N,"Shipped")</f>
        <v>12.98</v>
      </c>
      <c r="I144">
        <f t="shared" si="2"/>
        <v>1</v>
      </c>
    </row>
    <row r="145" spans="1:9">
      <c r="A145" s="5" t="s">
        <v>5303</v>
      </c>
      <c r="B145" t="str">
        <f>VLOOKUP(A145,'[1]子SKU-父SKU'!$A:$B,2,0)</f>
        <v>ST173</v>
      </c>
      <c r="C145">
        <f>SUMIFS(allorders!O:O,allorders!L:L,$A145,allorders!AG:AG,"&lt;="&amp;日期!$B$5,allorders!AG:AG,"&gt;="&amp;日期!$B$6,allorders!N:N,"Shipped")</f>
        <v>1</v>
      </c>
      <c r="D145">
        <f>SUMIFS(allorders!$O:$O,allorders!$L:$L,$A145,allorders!$AG:$AG,"&lt;="&amp;日期!$B$7,allorders!$AG:$AG,"&gt;="&amp;日期!$B$8,allorders!N:N,"Shipped")</f>
        <v>0</v>
      </c>
      <c r="E145">
        <f>SUMIFS(allorders!$O:$O,allorders!$L:$L,$A145,allorders!$AG:$AG,"&lt;="&amp;日期!$B$9,allorders!$AG:$AG,"&gt;="&amp;日期!$B$10,allorders!N:N,"Shipped")</f>
        <v>0</v>
      </c>
      <c r="F145">
        <f>SUMIFS(allorders!$O:$O,allorders!$L:$L,$A145,allorders!$AG:$AG,"&lt;="&amp;日期!$B$11,allorders!$AG:$AG,"&gt;="&amp;日期!$B$12,allorders!N:N,"Shipped")</f>
        <v>0</v>
      </c>
      <c r="G145">
        <f>SUMIFS(allorders!Q:Q,allorders!L:L,A145,allorders!AG:AG,"&lt;="&amp;日期!$B$5,allorders!AG:AG,"&gt;="&amp;日期!$B$12,allorders!N:N,"Shipped")/SUM(C145:F145)</f>
        <v>10</v>
      </c>
      <c r="H145">
        <f>SUMIFS(allorders!Q:Q,allorders!L:L,A145,allorders!AG:AG,"&gt;="&amp;日期!$B$12,allorders!AG:AG,"&lt;="&amp;日期!$B$5,allorders!N:N,"Shipped")</f>
        <v>10</v>
      </c>
      <c r="I145">
        <f t="shared" si="2"/>
        <v>1</v>
      </c>
    </row>
    <row r="146" spans="1:9">
      <c r="A146" s="5" t="s">
        <v>5398</v>
      </c>
      <c r="B146" t="str">
        <f>VLOOKUP(A146,'[1]子SKU-父SKU'!$A:$B,2,0)</f>
        <v>XQ-IUYL260</v>
      </c>
      <c r="C146">
        <f>SUMIFS(allorders!O:O,allorders!L:L,$A146,allorders!AG:AG,"&lt;="&amp;日期!$B$5,allorders!AG:AG,"&gt;="&amp;日期!$B$6,allorders!N:N,"Shipped")</f>
        <v>2</v>
      </c>
      <c r="D146">
        <f>SUMIFS(allorders!$O:$O,allorders!$L:$L,$A146,allorders!$AG:$AG,"&lt;="&amp;日期!$B$7,allorders!$AG:$AG,"&gt;="&amp;日期!$B$8,allorders!N:N,"Shipped")</f>
        <v>0</v>
      </c>
      <c r="E146">
        <f>SUMIFS(allorders!$O:$O,allorders!$L:$L,$A146,allorders!$AG:$AG,"&lt;="&amp;日期!$B$9,allorders!$AG:$AG,"&gt;="&amp;日期!$B$10,allorders!N:N,"Shipped")</f>
        <v>0</v>
      </c>
      <c r="F146">
        <f>SUMIFS(allorders!$O:$O,allorders!$L:$L,$A146,allorders!$AG:$AG,"&lt;="&amp;日期!$B$11,allorders!$AG:$AG,"&gt;="&amp;日期!$B$12,allorders!N:N,"Shipped")</f>
        <v>0</v>
      </c>
      <c r="G146">
        <f>SUMIFS(allorders!Q:Q,allorders!L:L,A146,allorders!AG:AG,"&lt;="&amp;日期!$B$5,allorders!AG:AG,"&gt;="&amp;日期!$B$12,allorders!N:N,"Shipped")/SUM(C146:F146)</f>
        <v>9.9</v>
      </c>
      <c r="H146">
        <f>SUMIFS(allorders!Q:Q,allorders!L:L,A146,allorders!AG:AG,"&gt;="&amp;日期!$B$12,allorders!AG:AG,"&lt;="&amp;日期!$B$5,allorders!N:N,"Shipped")</f>
        <v>19.8</v>
      </c>
      <c r="I146">
        <f t="shared" si="2"/>
        <v>2</v>
      </c>
    </row>
    <row r="147" spans="1:9">
      <c r="A147" s="5" t="s">
        <v>5478</v>
      </c>
      <c r="B147" t="str">
        <f>VLOOKUP(A147,'[1]子SKU-父SKU'!$A:$B,2,0)</f>
        <v>ST173</v>
      </c>
      <c r="C147">
        <f>SUMIFS(allorders!O:O,allorders!L:L,$A147,allorders!AG:AG,"&lt;="&amp;日期!$B$5,allorders!AG:AG,"&gt;="&amp;日期!$B$6,allorders!N:N,"Shipped")</f>
        <v>2</v>
      </c>
      <c r="D147">
        <f>SUMIFS(allorders!$O:$O,allorders!$L:$L,$A147,allorders!$AG:$AG,"&lt;="&amp;日期!$B$7,allorders!$AG:$AG,"&gt;="&amp;日期!$B$8,allorders!N:N,"Shipped")</f>
        <v>0</v>
      </c>
      <c r="E147">
        <f>SUMIFS(allorders!$O:$O,allorders!$L:$L,$A147,allorders!$AG:$AG,"&lt;="&amp;日期!$B$9,allorders!$AG:$AG,"&gt;="&amp;日期!$B$10,allorders!N:N,"Shipped")</f>
        <v>0</v>
      </c>
      <c r="F147">
        <f>SUMIFS(allorders!$O:$O,allorders!$L:$L,$A147,allorders!$AG:$AG,"&lt;="&amp;日期!$B$11,allorders!$AG:$AG,"&gt;="&amp;日期!$B$12,allorders!N:N,"Shipped")</f>
        <v>0</v>
      </c>
      <c r="G147">
        <f>SUMIFS(allorders!Q:Q,allorders!L:L,A147,allorders!AG:AG,"&lt;="&amp;日期!$B$5,allorders!AG:AG,"&gt;="&amp;日期!$B$12,allorders!N:N,"Shipped")/SUM(C147:F147)</f>
        <v>10</v>
      </c>
      <c r="H147">
        <f>SUMIFS(allorders!Q:Q,allorders!L:L,A147,allorders!AG:AG,"&gt;="&amp;日期!$B$12,allorders!AG:AG,"&lt;="&amp;日期!$B$5,allorders!N:N,"Shipped")</f>
        <v>20</v>
      </c>
      <c r="I147">
        <f t="shared" si="2"/>
        <v>2</v>
      </c>
    </row>
    <row r="148" spans="1:9">
      <c r="A148" s="5" t="s">
        <v>5513</v>
      </c>
      <c r="B148" t="str">
        <f>VLOOKUP(A148,'[1]子SKU-父SKU'!$A:$B,2,0)</f>
        <v>WF7125</v>
      </c>
      <c r="C148">
        <f>SUMIFS(allorders!O:O,allorders!L:L,$A148,allorders!AG:AG,"&lt;="&amp;日期!$B$5,allorders!AG:AG,"&gt;="&amp;日期!$B$6,allorders!N:N,"Shipped")</f>
        <v>1</v>
      </c>
      <c r="D148">
        <f>SUMIFS(allorders!$O:$O,allorders!$L:$L,$A148,allorders!$AG:$AG,"&lt;="&amp;日期!$B$7,allorders!$AG:$AG,"&gt;="&amp;日期!$B$8,allorders!N:N,"Shipped")</f>
        <v>0</v>
      </c>
      <c r="E148">
        <f>SUMIFS(allorders!$O:$O,allorders!$L:$L,$A148,allorders!$AG:$AG,"&lt;="&amp;日期!$B$9,allorders!$AG:$AG,"&gt;="&amp;日期!$B$10,allorders!N:N,"Shipped")</f>
        <v>0</v>
      </c>
      <c r="F148">
        <f>SUMIFS(allorders!$O:$O,allorders!$L:$L,$A148,allorders!$AG:$AG,"&lt;="&amp;日期!$B$11,allorders!$AG:$AG,"&gt;="&amp;日期!$B$12,allorders!N:N,"Shipped")</f>
        <v>0</v>
      </c>
      <c r="G148">
        <f>SUMIFS(allorders!Q:Q,allorders!L:L,A148,allorders!AG:AG,"&lt;="&amp;日期!$B$5,allorders!AG:AG,"&gt;="&amp;日期!$B$12,allorders!N:N,"Shipped")/SUM(C148:F148)</f>
        <v>12</v>
      </c>
      <c r="H148">
        <f>SUMIFS(allorders!Q:Q,allorders!L:L,A148,allorders!AG:AG,"&gt;="&amp;日期!$B$12,allorders!AG:AG,"&lt;="&amp;日期!$B$5,allorders!N:N,"Shipped")</f>
        <v>12</v>
      </c>
      <c r="I148">
        <f t="shared" si="2"/>
        <v>1</v>
      </c>
    </row>
    <row r="149" spans="1:9">
      <c r="A149" s="5" t="s">
        <v>5570</v>
      </c>
      <c r="B149" t="str">
        <f>VLOOKUP(A149,'[1]子SKU-父SKU'!$A:$B,2,0)</f>
        <v>WF7125</v>
      </c>
      <c r="C149">
        <f>SUMIFS(allorders!O:O,allorders!L:L,$A149,allorders!AG:AG,"&lt;="&amp;日期!$B$5,allorders!AG:AG,"&gt;="&amp;日期!$B$6,allorders!N:N,"Shipped")</f>
        <v>1</v>
      </c>
      <c r="D149">
        <f>SUMIFS(allorders!$O:$O,allorders!$L:$L,$A149,allorders!$AG:$AG,"&lt;="&amp;日期!$B$7,allorders!$AG:$AG,"&gt;="&amp;日期!$B$8,allorders!N:N,"Shipped")</f>
        <v>0</v>
      </c>
      <c r="E149">
        <f>SUMIFS(allorders!$O:$O,allorders!$L:$L,$A149,allorders!$AG:$AG,"&lt;="&amp;日期!$B$9,allorders!$AG:$AG,"&gt;="&amp;日期!$B$10,allorders!N:N,"Shipped")</f>
        <v>0</v>
      </c>
      <c r="F149">
        <f>SUMIFS(allorders!$O:$O,allorders!$L:$L,$A149,allorders!$AG:$AG,"&lt;="&amp;日期!$B$11,allorders!$AG:$AG,"&gt;="&amp;日期!$B$12,allorders!N:N,"Shipped")</f>
        <v>0</v>
      </c>
      <c r="G149">
        <f>SUMIFS(allorders!Q:Q,allorders!L:L,A149,allorders!AG:AG,"&lt;="&amp;日期!$B$5,allorders!AG:AG,"&gt;="&amp;日期!$B$12,allorders!N:N,"Shipped")/SUM(C149:F149)</f>
        <v>12</v>
      </c>
      <c r="H149">
        <f>SUMIFS(allorders!Q:Q,allorders!L:L,A149,allorders!AG:AG,"&gt;="&amp;日期!$B$12,allorders!AG:AG,"&lt;="&amp;日期!$B$5,allorders!N:N,"Shipped")</f>
        <v>12</v>
      </c>
      <c r="I149">
        <f t="shared" si="2"/>
        <v>1</v>
      </c>
    </row>
    <row r="150" spans="1:9">
      <c r="A150" s="5" t="s">
        <v>5634</v>
      </c>
      <c r="B150" t="str">
        <f>VLOOKUP(A150,'[1]子SKU-父SKU'!$A:$B,2,0)</f>
        <v>SCF-C01</v>
      </c>
      <c r="C150">
        <f>SUMIFS(allorders!O:O,allorders!L:L,$A150,allorders!AG:AG,"&lt;="&amp;日期!$B$5,allorders!AG:AG,"&gt;="&amp;日期!$B$6,allorders!N:N,"Shipped")</f>
        <v>0</v>
      </c>
      <c r="D150">
        <f>SUMIFS(allorders!$O:$O,allorders!$L:$L,$A150,allorders!$AG:$AG,"&lt;="&amp;日期!$B$7,allorders!$AG:$AG,"&gt;="&amp;日期!$B$8,allorders!N:N,"Shipped")</f>
        <v>0</v>
      </c>
      <c r="E150">
        <f>SUMIFS(allorders!$O:$O,allorders!$L:$L,$A150,allorders!$AG:$AG,"&lt;="&amp;日期!$B$9,allorders!$AG:$AG,"&gt;="&amp;日期!$B$10,allorders!N:N,"Shipped")</f>
        <v>0</v>
      </c>
      <c r="F150">
        <f>SUMIFS(allorders!$O:$O,allorders!$L:$L,$A150,allorders!$AG:$AG,"&lt;="&amp;日期!$B$11,allorders!$AG:$AG,"&gt;="&amp;日期!$B$12,allorders!N:N,"Shipped")</f>
        <v>0</v>
      </c>
      <c r="G150" t="e">
        <f>SUMIFS(allorders!Q:Q,allorders!L:L,A150,allorders!AG:AG,"&lt;="&amp;日期!$B$5,allorders!AG:AG,"&gt;="&amp;日期!$B$12,allorders!N:N,"Shipped")/SUM(C150:F150)</f>
        <v>#DIV/0!</v>
      </c>
      <c r="H150">
        <f>SUMIFS(allorders!Q:Q,allorders!L:L,A150,allorders!AG:AG,"&gt;="&amp;日期!$B$12,allorders!AG:AG,"&lt;="&amp;日期!$B$5,allorders!N:N,"Shipped")</f>
        <v>0</v>
      </c>
      <c r="I150">
        <f t="shared" si="2"/>
        <v>0</v>
      </c>
    </row>
    <row r="151" spans="1:9">
      <c r="A151" s="5" t="s">
        <v>5652</v>
      </c>
      <c r="B151" t="str">
        <f>VLOOKUP(A151,'[1]子SKU-父SKU'!$A:$B,2,0)</f>
        <v>SCF-C01</v>
      </c>
      <c r="C151">
        <f>SUMIFS(allorders!O:O,allorders!L:L,$A151,allorders!AG:AG,"&lt;="&amp;日期!$B$5,allorders!AG:AG,"&gt;="&amp;日期!$B$6,allorders!N:N,"Shipped")</f>
        <v>1</v>
      </c>
      <c r="D151">
        <f>SUMIFS(allorders!$O:$O,allorders!$L:$L,$A151,allorders!$AG:$AG,"&lt;="&amp;日期!$B$7,allorders!$AG:$AG,"&gt;="&amp;日期!$B$8,allorders!N:N,"Shipped")</f>
        <v>0</v>
      </c>
      <c r="E151">
        <f>SUMIFS(allorders!$O:$O,allorders!$L:$L,$A151,allorders!$AG:$AG,"&lt;="&amp;日期!$B$9,allorders!$AG:$AG,"&gt;="&amp;日期!$B$10,allorders!N:N,"Shipped")</f>
        <v>0</v>
      </c>
      <c r="F151">
        <f>SUMIFS(allorders!$O:$O,allorders!$L:$L,$A151,allorders!$AG:$AG,"&lt;="&amp;日期!$B$11,allorders!$AG:$AG,"&gt;="&amp;日期!$B$12,allorders!N:N,"Shipped")</f>
        <v>0</v>
      </c>
      <c r="G151">
        <f>SUMIFS(allorders!Q:Q,allorders!L:L,A151,allorders!AG:AG,"&lt;="&amp;日期!$B$5,allorders!AG:AG,"&gt;="&amp;日期!$B$12,allorders!N:N,"Shipped")/SUM(C151:F151)</f>
        <v>15</v>
      </c>
      <c r="H151">
        <f>SUMIFS(allorders!Q:Q,allorders!L:L,A151,allorders!AG:AG,"&gt;="&amp;日期!$B$12,allorders!AG:AG,"&lt;="&amp;日期!$B$5,allorders!N:N,"Shipped")</f>
        <v>15</v>
      </c>
      <c r="I151">
        <f t="shared" si="2"/>
        <v>1</v>
      </c>
    </row>
    <row r="152" spans="1:9">
      <c r="A152" s="5" t="s">
        <v>5679</v>
      </c>
      <c r="B152" t="str">
        <f>VLOOKUP(A152,'[1]子SKU-父SKU'!$A:$B,2,0)</f>
        <v>XQ-IUYL260</v>
      </c>
      <c r="C152">
        <f>SUMIFS(allorders!O:O,allorders!L:L,$A152,allorders!AG:AG,"&lt;="&amp;日期!$B$5,allorders!AG:AG,"&gt;="&amp;日期!$B$6,allorders!N:N,"Shipped")</f>
        <v>1</v>
      </c>
      <c r="D152">
        <f>SUMIFS(allorders!$O:$O,allorders!$L:$L,$A152,allorders!$AG:$AG,"&lt;="&amp;日期!$B$7,allorders!$AG:$AG,"&gt;="&amp;日期!$B$8,allorders!N:N,"Shipped")</f>
        <v>0</v>
      </c>
      <c r="E152">
        <f>SUMIFS(allorders!$O:$O,allorders!$L:$L,$A152,allorders!$AG:$AG,"&lt;="&amp;日期!$B$9,allorders!$AG:$AG,"&gt;="&amp;日期!$B$10,allorders!N:N,"Shipped")</f>
        <v>0</v>
      </c>
      <c r="F152">
        <f>SUMIFS(allorders!$O:$O,allorders!$L:$L,$A152,allorders!$AG:$AG,"&lt;="&amp;日期!$B$11,allorders!$AG:$AG,"&gt;="&amp;日期!$B$12,allorders!N:N,"Shipped")</f>
        <v>0</v>
      </c>
      <c r="G152">
        <f>SUMIFS(allorders!Q:Q,allorders!L:L,A152,allorders!AG:AG,"&lt;="&amp;日期!$B$5,allorders!AG:AG,"&gt;="&amp;日期!$B$12,allorders!N:N,"Shipped")/SUM(C152:F152)</f>
        <v>9.9</v>
      </c>
      <c r="H152">
        <f>SUMIFS(allorders!Q:Q,allorders!L:L,A152,allorders!AG:AG,"&gt;="&amp;日期!$B$12,allorders!AG:AG,"&lt;="&amp;日期!$B$5,allorders!N:N,"Shipped")</f>
        <v>9.9</v>
      </c>
      <c r="I152">
        <f t="shared" si="2"/>
        <v>1</v>
      </c>
    </row>
    <row r="153" spans="1:9">
      <c r="A153" s="5" t="s">
        <v>5851</v>
      </c>
      <c r="B153" t="str">
        <f>VLOOKUP(A153,'[1]子SKU-父SKU'!$A:$B,2,0)</f>
        <v>KZ-LY021</v>
      </c>
      <c r="C153">
        <f>SUMIFS(allorders!O:O,allorders!L:L,$A153,allorders!AG:AG,"&lt;="&amp;日期!$B$5,allorders!AG:AG,"&gt;="&amp;日期!$B$6,allorders!N:N,"Shipped")</f>
        <v>2</v>
      </c>
      <c r="D153">
        <f>SUMIFS(allorders!$O:$O,allorders!$L:$L,$A153,allorders!$AG:$AG,"&lt;="&amp;日期!$B$7,allorders!$AG:$AG,"&gt;="&amp;日期!$B$8,allorders!N:N,"Shipped")</f>
        <v>0</v>
      </c>
      <c r="E153">
        <f>SUMIFS(allorders!$O:$O,allorders!$L:$L,$A153,allorders!$AG:$AG,"&lt;="&amp;日期!$B$9,allorders!$AG:$AG,"&gt;="&amp;日期!$B$10,allorders!N:N,"Shipped")</f>
        <v>0</v>
      </c>
      <c r="F153">
        <f>SUMIFS(allorders!$O:$O,allorders!$L:$L,$A153,allorders!$AG:$AG,"&lt;="&amp;日期!$B$11,allorders!$AG:$AG,"&gt;="&amp;日期!$B$12,allorders!N:N,"Shipped")</f>
        <v>0</v>
      </c>
      <c r="G153">
        <f>SUMIFS(allorders!Q:Q,allorders!L:L,A153,allorders!AG:AG,"&lt;="&amp;日期!$B$5,allorders!AG:AG,"&gt;="&amp;日期!$B$12,allorders!N:N,"Shipped")/SUM(C153:F153)</f>
        <v>12</v>
      </c>
      <c r="H153">
        <f>SUMIFS(allorders!Q:Q,allorders!L:L,A153,allorders!AG:AG,"&gt;="&amp;日期!$B$12,allorders!AG:AG,"&lt;="&amp;日期!$B$5,allorders!N:N,"Shipped")</f>
        <v>24</v>
      </c>
      <c r="I153">
        <f t="shared" si="2"/>
        <v>2</v>
      </c>
    </row>
    <row r="154" spans="1:9">
      <c r="A154" s="5" t="s">
        <v>5920</v>
      </c>
      <c r="B154" t="str">
        <f>VLOOKUP(A154,'[1]子SKU-父SKU'!$A:$B,2,0)</f>
        <v>Pajamas-sb001</v>
      </c>
      <c r="C154">
        <f>SUMIFS(allorders!O:O,allorders!L:L,$A154,allorders!AG:AG,"&lt;="&amp;日期!$B$5,allorders!AG:AG,"&gt;="&amp;日期!$B$6,allorders!N:N,"Shipped")</f>
        <v>0</v>
      </c>
      <c r="D154">
        <f>SUMIFS(allorders!$O:$O,allorders!$L:$L,$A154,allorders!$AG:$AG,"&lt;="&amp;日期!$B$7,allorders!$AG:$AG,"&gt;="&amp;日期!$B$8,allorders!N:N,"Shipped")</f>
        <v>0</v>
      </c>
      <c r="E154">
        <f>SUMIFS(allorders!$O:$O,allorders!$L:$L,$A154,allorders!$AG:$AG,"&lt;="&amp;日期!$B$9,allorders!$AG:$AG,"&gt;="&amp;日期!$B$10,allorders!N:N,"Shipped")</f>
        <v>0</v>
      </c>
      <c r="F154">
        <f>SUMIFS(allorders!$O:$O,allorders!$L:$L,$A154,allorders!$AG:$AG,"&lt;="&amp;日期!$B$11,allorders!$AG:$AG,"&gt;="&amp;日期!$B$12,allorders!N:N,"Shipped")</f>
        <v>0</v>
      </c>
      <c r="G154" t="e">
        <f>SUMIFS(allorders!Q:Q,allorders!L:L,A154,allorders!AG:AG,"&lt;="&amp;日期!$B$5,allorders!AG:AG,"&gt;="&amp;日期!$B$12,allorders!N:N,"Shipped")/SUM(C154:F154)</f>
        <v>#DIV/0!</v>
      </c>
      <c r="H154">
        <f>SUMIFS(allorders!Q:Q,allorders!L:L,A154,allorders!AG:AG,"&gt;="&amp;日期!$B$12,allorders!AG:AG,"&lt;="&amp;日期!$B$5,allorders!N:N,"Shipped")</f>
        <v>0</v>
      </c>
      <c r="I154">
        <f t="shared" si="2"/>
        <v>0</v>
      </c>
    </row>
    <row r="155" spans="1:9">
      <c r="A155" s="5" t="s">
        <v>5977</v>
      </c>
      <c r="B155" t="str">
        <f>VLOOKUP(A155,'[1]子SKU-父SKU'!$A:$B,2,0)</f>
        <v>AQD-IUYL330</v>
      </c>
      <c r="C155">
        <f>SUMIFS(allorders!O:O,allorders!L:L,$A155,allorders!AG:AG,"&lt;="&amp;日期!$B$5,allorders!AG:AG,"&gt;="&amp;日期!$B$6,allorders!N:N,"Shipped")</f>
        <v>1</v>
      </c>
      <c r="D155">
        <f>SUMIFS(allorders!$O:$O,allorders!$L:$L,$A155,allorders!$AG:$AG,"&lt;="&amp;日期!$B$7,allorders!$AG:$AG,"&gt;="&amp;日期!$B$8,allorders!N:N,"Shipped")</f>
        <v>0</v>
      </c>
      <c r="E155">
        <f>SUMIFS(allorders!$O:$O,allorders!$L:$L,$A155,allorders!$AG:$AG,"&lt;="&amp;日期!$B$9,allorders!$AG:$AG,"&gt;="&amp;日期!$B$10,allorders!N:N,"Shipped")</f>
        <v>0</v>
      </c>
      <c r="F155">
        <f>SUMIFS(allorders!$O:$O,allorders!$L:$L,$A155,allorders!$AG:$AG,"&lt;="&amp;日期!$B$11,allorders!$AG:$AG,"&gt;="&amp;日期!$B$12,allorders!N:N,"Shipped")</f>
        <v>0</v>
      </c>
      <c r="G155">
        <f>SUMIFS(allorders!Q:Q,allorders!L:L,A155,allorders!AG:AG,"&lt;="&amp;日期!$B$5,allorders!AG:AG,"&gt;="&amp;日期!$B$12,allorders!N:N,"Shipped")/SUM(C155:F155)</f>
        <v>8.99</v>
      </c>
      <c r="H155">
        <f>SUMIFS(allorders!Q:Q,allorders!L:L,A155,allorders!AG:AG,"&gt;="&amp;日期!$B$12,allorders!AG:AG,"&lt;="&amp;日期!$B$5,allorders!N:N,"Shipped")</f>
        <v>8.99</v>
      </c>
      <c r="I155">
        <f t="shared" si="2"/>
        <v>1</v>
      </c>
    </row>
    <row r="156" spans="1:9">
      <c r="A156" s="5" t="s">
        <v>6243</v>
      </c>
      <c r="B156" t="str">
        <f>VLOOKUP(A156,'[1]子SKU-父SKU'!$A:$B,2,0)</f>
        <v>ST172</v>
      </c>
      <c r="C156">
        <f>SUMIFS(allorders!O:O,allorders!L:L,$A156,allorders!AG:AG,"&lt;="&amp;日期!$B$5,allorders!AG:AG,"&gt;="&amp;日期!$B$6,allorders!N:N,"Shipped")</f>
        <v>1</v>
      </c>
      <c r="D156">
        <f>SUMIFS(allorders!$O:$O,allorders!$L:$L,$A156,allorders!$AG:$AG,"&lt;="&amp;日期!$B$7,allorders!$AG:$AG,"&gt;="&amp;日期!$B$8,allorders!N:N,"Shipped")</f>
        <v>0</v>
      </c>
      <c r="E156">
        <f>SUMIFS(allorders!$O:$O,allorders!$L:$L,$A156,allorders!$AG:$AG,"&lt;="&amp;日期!$B$9,allorders!$AG:$AG,"&gt;="&amp;日期!$B$10,allorders!N:N,"Shipped")</f>
        <v>0</v>
      </c>
      <c r="F156">
        <f>SUMIFS(allorders!$O:$O,allorders!$L:$L,$A156,allorders!$AG:$AG,"&lt;="&amp;日期!$B$11,allorders!$AG:$AG,"&gt;="&amp;日期!$B$12,allorders!N:N,"Shipped")</f>
        <v>0</v>
      </c>
      <c r="G156">
        <f>SUMIFS(allorders!Q:Q,allorders!L:L,A156,allorders!AG:AG,"&lt;="&amp;日期!$B$5,allorders!AG:AG,"&gt;="&amp;日期!$B$12,allorders!N:N,"Shipped")/SUM(C156:F156)</f>
        <v>14.98</v>
      </c>
      <c r="H156">
        <f>SUMIFS(allorders!Q:Q,allorders!L:L,A156,allorders!AG:AG,"&gt;="&amp;日期!$B$12,allorders!AG:AG,"&lt;="&amp;日期!$B$5,allorders!N:N,"Shipped")</f>
        <v>14.98</v>
      </c>
      <c r="I156">
        <f t="shared" si="2"/>
        <v>1</v>
      </c>
    </row>
    <row r="157" spans="1:9">
      <c r="A157" s="5" t="s">
        <v>6247</v>
      </c>
      <c r="B157" t="str">
        <f>VLOOKUP(A157,'[1]子SKU-父SKU'!$A:$B,2,0)</f>
        <v>ST172</v>
      </c>
      <c r="C157">
        <f>SUMIFS(allorders!O:O,allorders!L:L,$A157,allorders!AG:AG,"&lt;="&amp;日期!$B$5,allorders!AG:AG,"&gt;="&amp;日期!$B$6,allorders!N:N,"Shipped")</f>
        <v>1</v>
      </c>
      <c r="D157">
        <f>SUMIFS(allorders!$O:$O,allorders!$L:$L,$A157,allorders!$AG:$AG,"&lt;="&amp;日期!$B$7,allorders!$AG:$AG,"&gt;="&amp;日期!$B$8,allorders!N:N,"Shipped")</f>
        <v>0</v>
      </c>
      <c r="E157">
        <f>SUMIFS(allorders!$O:$O,allorders!$L:$L,$A157,allorders!$AG:$AG,"&lt;="&amp;日期!$B$9,allorders!$AG:$AG,"&gt;="&amp;日期!$B$10,allorders!N:N,"Shipped")</f>
        <v>0</v>
      </c>
      <c r="F157">
        <f>SUMIFS(allorders!$O:$O,allorders!$L:$L,$A157,allorders!$AG:$AG,"&lt;="&amp;日期!$B$11,allorders!$AG:$AG,"&gt;="&amp;日期!$B$12,allorders!N:N,"Shipped")</f>
        <v>0</v>
      </c>
      <c r="G157">
        <f>SUMIFS(allorders!Q:Q,allorders!L:L,A157,allorders!AG:AG,"&lt;="&amp;日期!$B$5,allorders!AG:AG,"&gt;="&amp;日期!$B$12,allorders!N:N,"Shipped")/SUM(C157:F157)</f>
        <v>15.98</v>
      </c>
      <c r="H157">
        <f>SUMIFS(allorders!Q:Q,allorders!L:L,A157,allorders!AG:AG,"&gt;="&amp;日期!$B$12,allorders!AG:AG,"&lt;="&amp;日期!$B$5,allorders!N:N,"Shipped")</f>
        <v>15.98</v>
      </c>
      <c r="I157">
        <f t="shared" si="2"/>
        <v>1</v>
      </c>
    </row>
    <row r="1338" spans="1:1">
      <c r="A1338" s="5" t="s">
        <v>102</v>
      </c>
    </row>
    <row r="1373" spans="1:1">
      <c r="A1373" s="5" t="s">
        <v>244</v>
      </c>
    </row>
  </sheetData>
  <autoFilter ref="A3:I157">
    <extLst/>
  </autoFilter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B3" sqref="B3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6305</v>
      </c>
      <c r="B1" s="1">
        <f>B12</f>
        <v>43262</v>
      </c>
      <c r="C1" s="2"/>
    </row>
    <row r="2" spans="1:3">
      <c r="A2" t="s">
        <v>6306</v>
      </c>
      <c r="B2" s="1">
        <v>43289</v>
      </c>
      <c r="C2" s="2"/>
    </row>
    <row r="4" spans="1:1">
      <c r="A4" t="s">
        <v>6307</v>
      </c>
    </row>
    <row r="5" spans="1:2">
      <c r="A5" t="s">
        <v>6308</v>
      </c>
      <c r="B5" s="3">
        <f>B2</f>
        <v>43289</v>
      </c>
    </row>
    <row r="6" spans="1:2">
      <c r="A6" t="s">
        <v>6309</v>
      </c>
      <c r="B6" s="2">
        <f>B5-6</f>
        <v>43283</v>
      </c>
    </row>
    <row r="7" spans="1:2">
      <c r="A7" t="s">
        <v>6310</v>
      </c>
      <c r="B7" s="2">
        <f>B5-7</f>
        <v>43282</v>
      </c>
    </row>
    <row r="8" spans="1:2">
      <c r="A8" t="s">
        <v>6311</v>
      </c>
      <c r="B8" s="2">
        <f>B5-13</f>
        <v>43276</v>
      </c>
    </row>
    <row r="9" spans="1:2">
      <c r="A9" t="s">
        <v>6312</v>
      </c>
      <c r="B9" s="2">
        <f>B5-14</f>
        <v>43275</v>
      </c>
    </row>
    <row r="10" spans="1:2">
      <c r="A10" t="s">
        <v>6313</v>
      </c>
      <c r="B10" s="2">
        <f>B5-20</f>
        <v>43269</v>
      </c>
    </row>
    <row r="11" spans="1:2">
      <c r="A11" t="s">
        <v>6314</v>
      </c>
      <c r="B11" s="2">
        <f>B5-21</f>
        <v>43268</v>
      </c>
    </row>
    <row r="12" spans="1:2">
      <c r="A12" t="s">
        <v>6315</v>
      </c>
      <c r="B12" s="2">
        <f>B5-27</f>
        <v>43262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27"/>
  <sheetViews>
    <sheetView topLeftCell="A2" workbookViewId="0">
      <selection activeCell="D12" sqref="D12"/>
    </sheetView>
  </sheetViews>
  <sheetFormatPr defaultColWidth="9" defaultRowHeight="14.25" outlineLevelCol="1"/>
  <cols>
    <col min="1" max="1" width="13.375" customWidth="1"/>
    <col min="2" max="2" width="12.625"/>
  </cols>
  <sheetData>
    <row r="1" spans="1:2">
      <c r="A1" t="s">
        <v>6297</v>
      </c>
      <c r="B1" t="s">
        <v>6316</v>
      </c>
    </row>
    <row r="2" spans="1:2">
      <c r="A2" t="s">
        <v>6317</v>
      </c>
      <c r="B2">
        <f>SUMIF(库存报告使用数据处理!B:B,A2,库存报告使用数据处理!H:H)/SUMIF(库存报告使用数据处理!B:B,A2,库存报告使用数据处理!I:I)</f>
        <v>14.3016</v>
      </c>
    </row>
    <row r="3" spans="1:2">
      <c r="A3" t="s">
        <v>6318</v>
      </c>
      <c r="B3">
        <f>SUMIF(库存报告使用数据处理!B:B,A3,库存报告使用数据处理!H:H)/SUMIF(库存报告使用数据处理!B:B,A3,库存报告使用数据处理!I:I)</f>
        <v>17.5333974358974</v>
      </c>
    </row>
    <row r="4" spans="1:2">
      <c r="A4" t="s">
        <v>6319</v>
      </c>
      <c r="B4">
        <f>SUMIF(库存报告使用数据处理!B:B,A4,库存报告使用数据处理!H:H)/SUMIF(库存报告使用数据处理!B:B,A4,库存报告使用数据处理!I:I)</f>
        <v>15</v>
      </c>
    </row>
    <row r="5" spans="1:2">
      <c r="A5" t="s">
        <v>194</v>
      </c>
      <c r="B5">
        <f>SUMIF(库存报告使用数据处理!B:B,A5,库存报告使用数据处理!H:H)/SUMIF(库存报告使用数据处理!B:B,A5,库存报告使用数据处理!I:I)</f>
        <v>36.99</v>
      </c>
    </row>
    <row r="6" spans="1:2">
      <c r="A6" t="s">
        <v>6320</v>
      </c>
      <c r="B6">
        <f>SUMIF(库存报告使用数据处理!B:B,A6,库存报告使用数据处理!H:H)/SUMIF(库存报告使用数据处理!B:B,A6,库存报告使用数据处理!I:I)</f>
        <v>24.82</v>
      </c>
    </row>
    <row r="7" spans="1:2">
      <c r="A7" t="s">
        <v>6321</v>
      </c>
      <c r="B7">
        <f>SUMIF(库存报告使用数据处理!B:B,A7,库存报告使用数据处理!H:H)/SUMIF(库存报告使用数据处理!B:B,A7,库存报告使用数据处理!I:I)</f>
        <v>12.2026315789474</v>
      </c>
    </row>
    <row r="8" spans="1:2">
      <c r="A8" t="s">
        <v>6322</v>
      </c>
      <c r="B8">
        <f>SUMIF(库存报告使用数据处理!B:B,A8,库存报告使用数据处理!H:H)/SUMIF(库存报告使用数据处理!B:B,A8,库存报告使用数据处理!I:I)</f>
        <v>10</v>
      </c>
    </row>
    <row r="9" spans="1:2">
      <c r="A9" t="s">
        <v>6323</v>
      </c>
      <c r="B9">
        <f>SUMIF(库存报告使用数据处理!B:B,A9,库存报告使用数据处理!H:H)/SUMIF(库存报告使用数据处理!B:B,A9,库存报告使用数据处理!I:I)</f>
        <v>17.9290909090909</v>
      </c>
    </row>
    <row r="10" spans="1:2">
      <c r="A10" t="s">
        <v>6324</v>
      </c>
      <c r="B10">
        <f>SUMIF(库存报告使用数据处理!B:B,A10,库存报告使用数据处理!H:H)/SUMIF(库存报告使用数据处理!B:B,A10,库存报告使用数据处理!I:I)</f>
        <v>11.2022222222222</v>
      </c>
    </row>
    <row r="11" spans="1:2">
      <c r="A11" t="s">
        <v>6325</v>
      </c>
      <c r="B11">
        <f>SUMIF(库存报告使用数据处理!B:B,A11,库存报告使用数据处理!H:H)/SUMIF(库存报告使用数据处理!B:B,A11,库存报告使用数据处理!I:I)</f>
        <v>9.9</v>
      </c>
    </row>
    <row r="12" spans="1:2">
      <c r="A12" t="s">
        <v>6326</v>
      </c>
      <c r="B12">
        <f>SUMIF(库存报告使用数据处理!B:B,A12,库存报告使用数据处理!H:H)/SUMIF(库存报告使用数据处理!B:B,A12,库存报告使用数据处理!I:I)</f>
        <v>16.5425</v>
      </c>
    </row>
    <row r="13" spans="1:2">
      <c r="A13" t="s">
        <v>6327</v>
      </c>
      <c r="B13">
        <f>SUMIF(库存报告使用数据处理!B:B,A13,库存报告使用数据处理!H:H)/SUMIF(库存报告使用数据处理!B:B,A13,库存报告使用数据处理!I:I)</f>
        <v>10.98</v>
      </c>
    </row>
    <row r="14" spans="1:2">
      <c r="A14" t="s">
        <v>6328</v>
      </c>
      <c r="B14">
        <f>SUMIF(库存报告使用数据处理!B:B,A14,库存报告使用数据处理!H:H)/SUMIF(库存报告使用数据处理!B:B,A14,库存报告使用数据处理!I:I)</f>
        <v>12</v>
      </c>
    </row>
    <row r="15" spans="1:2">
      <c r="A15" t="s">
        <v>6329</v>
      </c>
      <c r="B15">
        <f>SUMIF(库存报告使用数据处理!B:B,A15,库存报告使用数据处理!H:H)/SUMIF(库存报告使用数据处理!B:B,A15,库存报告使用数据处理!I:I)</f>
        <v>20</v>
      </c>
    </row>
    <row r="16" spans="1:2">
      <c r="A16" t="s">
        <v>6330</v>
      </c>
      <c r="B16">
        <f>SUMIF(库存报告使用数据处理!B:B,A16,库存报告使用数据处理!H:H)/SUMIF(库存报告使用数据处理!B:B,A16,库存报告使用数据处理!I:I)</f>
        <v>15.6466666666667</v>
      </c>
    </row>
    <row r="17" spans="1:2">
      <c r="A17" t="s">
        <v>6331</v>
      </c>
      <c r="B17">
        <f>SUMIF(库存报告使用数据处理!B:B,A17,库存报告使用数据处理!H:H)/SUMIF(库存报告使用数据处理!B:B,A17,库存报告使用数据处理!I:I)</f>
        <v>29.99</v>
      </c>
    </row>
    <row r="18" spans="1:2">
      <c r="A18" t="s">
        <v>6332</v>
      </c>
      <c r="B18">
        <f>SUMIF(库存报告使用数据处理!B:B,A18,库存报告使用数据处理!H:H)/SUMIF(库存报告使用数据处理!B:B,A18,库存报告使用数据处理!I:I)</f>
        <v>25.99</v>
      </c>
    </row>
    <row r="19" spans="1:2">
      <c r="A19" t="s">
        <v>6333</v>
      </c>
      <c r="B19">
        <f>SUMIF(库存报告使用数据处理!B:B,A19,库存报告使用数据处理!H:H)/SUMIF(库存报告使用数据处理!B:B,A19,库存报告使用数据处理!I:I)</f>
        <v>33.4185714285714</v>
      </c>
    </row>
    <row r="20" spans="1:2">
      <c r="A20" t="s">
        <v>6334</v>
      </c>
      <c r="B20">
        <f>SUMIF(库存报告使用数据处理!B:B,A20,库存报告使用数据处理!H:H)/SUMIF(库存报告使用数据处理!B:B,A20,库存报告使用数据处理!I:I)</f>
        <v>25.99</v>
      </c>
    </row>
    <row r="21" spans="1:2">
      <c r="A21" t="s">
        <v>6335</v>
      </c>
      <c r="B21">
        <f>SUMIF(库存报告使用数据处理!B:B,A21,库存报告使用数据处理!H:H)/SUMIF(库存报告使用数据处理!B:B,A21,库存报告使用数据处理!I:I)</f>
        <v>18.76</v>
      </c>
    </row>
    <row r="22" spans="1:2">
      <c r="A22" t="s">
        <v>6336</v>
      </c>
      <c r="B22">
        <f>SUMIF(库存报告使用数据处理!B:B,A22,库存报告使用数据处理!H:H)/SUMIF(库存报告使用数据处理!B:B,A22,库存报告使用数据处理!I:I)</f>
        <v>15.98</v>
      </c>
    </row>
    <row r="23" spans="1:2">
      <c r="A23" t="s">
        <v>6337</v>
      </c>
      <c r="B23">
        <f>SUMIF(库存报告使用数据处理!B:B,A23,库存报告使用数据处理!H:H)/SUMIF(库存报告使用数据处理!B:B,A23,库存报告使用数据处理!I:I)</f>
        <v>20.99</v>
      </c>
    </row>
    <row r="24" spans="1:2">
      <c r="A24" t="s">
        <v>6338</v>
      </c>
      <c r="B24">
        <f>SUMIF(库存报告使用数据处理!B:B,A24,库存报告使用数据处理!H:H)/SUMIF(库存报告使用数据处理!B:B,A24,库存报告使用数据处理!I:I)</f>
        <v>8.99</v>
      </c>
    </row>
    <row r="25" spans="1:2">
      <c r="A25" t="s">
        <v>6339</v>
      </c>
      <c r="B25">
        <f>SUMIF(库存报告使用数据处理!B:B,A25,库存报告使用数据处理!H:H)/SUMIF(库存报告使用数据处理!B:B,A25,库存报告使用数据处理!I:I)</f>
        <v>17.5</v>
      </c>
    </row>
    <row r="26" spans="1:2">
      <c r="A26" t="s">
        <v>6340</v>
      </c>
      <c r="B26">
        <f>SUMIF(库存报告使用数据处理!B:B,A26,库存报告使用数据处理!H:H)/SUMIF(库存报告使用数据处理!B:B,A26,库存报告使用数据处理!I:I)</f>
        <v>11.99</v>
      </c>
    </row>
    <row r="27" spans="1:2">
      <c r="A27" t="s">
        <v>6341</v>
      </c>
      <c r="B27">
        <f>SUMIF(库存报告使用数据处理!B:B,A27,库存报告使用数据处理!H:H)/SUMIF(库存报告使用数据处理!B:B,A27,库存报告使用数据处理!I:I)</f>
        <v>12</v>
      </c>
    </row>
  </sheetData>
  <autoFilter ref="A1:B31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676275</xdr:colOff>
                <xdr:row>1</xdr:row>
                <xdr:rowOff>0</xdr:rowOff>
              </from>
              <to>
                <xdr:col>4</xdr:col>
                <xdr:colOff>657225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2018-07-10T07:23:07Z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